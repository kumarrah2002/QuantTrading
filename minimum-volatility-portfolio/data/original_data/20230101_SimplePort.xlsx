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blp\data\"/>
    </mc:Choice>
  </mc:AlternateContent>
  <xr:revisionPtr revIDLastSave="0" documentId="8_{F6AF4A45-D241-4E8A-BF38-B3BD0A5C530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10" i="1" l="1"/>
  <c r="U601" i="1"/>
  <c r="U665" i="1"/>
  <c r="U288" i="1"/>
  <c r="U102" i="1"/>
  <c r="U59" i="1"/>
  <c r="U558" i="1"/>
  <c r="U722" i="1"/>
  <c r="U678" i="1"/>
  <c r="U286" i="1"/>
  <c r="U154" i="1"/>
  <c r="U579" i="1"/>
  <c r="U945" i="1"/>
  <c r="U97" i="1"/>
  <c r="U153" i="1"/>
  <c r="U671" i="1"/>
  <c r="U81" i="1"/>
  <c r="U826" i="1"/>
  <c r="U66" i="1"/>
  <c r="U227" i="1"/>
  <c r="U159" i="1"/>
  <c r="U318" i="1"/>
  <c r="U840" i="1"/>
  <c r="U637" i="1"/>
  <c r="U845" i="1"/>
  <c r="U349" i="1"/>
  <c r="U293" i="1"/>
  <c r="U811" i="1"/>
  <c r="U350" i="1"/>
  <c r="U942" i="1"/>
  <c r="U363" i="1"/>
  <c r="U106" i="1"/>
  <c r="U667" i="1"/>
  <c r="U647" i="1"/>
  <c r="U137" i="1"/>
  <c r="U775" i="1"/>
  <c r="U570" i="1"/>
  <c r="U783" i="1"/>
  <c r="U618" i="1"/>
  <c r="U849" i="1"/>
  <c r="U564" i="1"/>
  <c r="U602" i="1"/>
  <c r="U896" i="1"/>
  <c r="U754" i="1"/>
  <c r="U737" i="1"/>
  <c r="U786" i="1"/>
  <c r="U398" i="1"/>
  <c r="U542" i="1"/>
  <c r="U658" i="1"/>
  <c r="U809" i="1"/>
  <c r="U830" i="1"/>
  <c r="U175" i="1"/>
  <c r="U527" i="1"/>
  <c r="U532" i="1"/>
  <c r="U47" i="1"/>
  <c r="U541" i="1"/>
  <c r="U916" i="1"/>
  <c r="U842" i="1"/>
  <c r="U611" i="1"/>
  <c r="U258" i="1"/>
  <c r="U593" i="1"/>
  <c r="U513" i="1"/>
  <c r="U119" i="1"/>
  <c r="U160" i="1"/>
  <c r="U644" i="1"/>
  <c r="U684" i="1"/>
  <c r="U322" i="1"/>
  <c r="U778" i="1"/>
  <c r="U437" i="1"/>
  <c r="U621" i="1"/>
  <c r="U105" i="1"/>
  <c r="U82" i="1"/>
  <c r="U500" i="1"/>
  <c r="U12" i="1"/>
  <c r="U810" i="1"/>
  <c r="U533" i="1"/>
  <c r="U33" i="1"/>
  <c r="U698" i="1"/>
  <c r="U718" i="1"/>
  <c r="U847" i="1"/>
  <c r="U276" i="1"/>
  <c r="U167" i="1"/>
  <c r="U151" i="1"/>
  <c r="U188" i="1"/>
  <c r="U313" i="1"/>
  <c r="U435" i="1"/>
  <c r="U760" i="1"/>
  <c r="U788" i="1"/>
  <c r="U758" i="1"/>
  <c r="U581" i="1"/>
  <c r="U451" i="1"/>
  <c r="U584" i="1"/>
  <c r="U576" i="1"/>
  <c r="U50" i="1"/>
  <c r="U717" i="1"/>
  <c r="U214" i="1"/>
  <c r="U921" i="1"/>
  <c r="U670" i="1"/>
  <c r="U785" i="1"/>
  <c r="U900" i="1"/>
  <c r="U463" i="1"/>
  <c r="U481" i="1"/>
  <c r="U609" i="1"/>
  <c r="U706" i="1"/>
  <c r="U898" i="1"/>
  <c r="U395" i="1"/>
  <c r="U370" i="1"/>
  <c r="U772" i="1"/>
  <c r="U417" i="1"/>
  <c r="U850" i="1"/>
  <c r="U148" i="1"/>
  <c r="U876" i="1"/>
  <c r="U52" i="1"/>
  <c r="U554" i="1"/>
  <c r="U206" i="1"/>
  <c r="U297" i="1"/>
  <c r="U496" i="1"/>
  <c r="U926" i="1"/>
  <c r="U802" i="1"/>
  <c r="U487" i="1"/>
  <c r="U824" i="1"/>
  <c r="U339" i="1"/>
  <c r="U680" i="1"/>
  <c r="U181" i="1"/>
  <c r="U294" i="1"/>
  <c r="U336" i="1"/>
  <c r="U832" i="1"/>
  <c r="U25" i="1"/>
  <c r="U431" i="1"/>
  <c r="U471" i="1"/>
  <c r="U260" i="1"/>
  <c r="U643" i="1"/>
  <c r="U688" i="1"/>
  <c r="U120" i="1"/>
  <c r="U556" i="1"/>
  <c r="U64" i="1"/>
  <c r="U713" i="1"/>
  <c r="U405" i="1"/>
  <c r="U668" i="1"/>
  <c r="U355" i="1"/>
  <c r="U38" i="1"/>
  <c r="U899" i="1"/>
  <c r="U582" i="1"/>
  <c r="U88" i="1"/>
  <c r="U724" i="1"/>
  <c r="U45" i="1"/>
  <c r="U529" i="1"/>
  <c r="U362" i="1"/>
  <c r="U677" i="1"/>
  <c r="U625" i="1"/>
  <c r="U468" i="1"/>
  <c r="U275" i="1"/>
  <c r="U244" i="1"/>
  <c r="U357" i="1"/>
  <c r="U691" i="1"/>
  <c r="U940" i="1"/>
  <c r="U928" i="1"/>
  <c r="U342" i="1"/>
  <c r="U517" i="1"/>
  <c r="U55" i="1"/>
  <c r="U689" i="1"/>
  <c r="U767" i="1"/>
  <c r="U506" i="1"/>
  <c r="U561" i="1"/>
  <c r="U140" i="1"/>
  <c r="U587" i="1"/>
  <c r="U661" i="1"/>
  <c r="U237" i="1"/>
  <c r="U103" i="1"/>
  <c r="U429" i="1"/>
  <c r="U613" i="1"/>
  <c r="U283" i="1"/>
  <c r="U262" i="1"/>
  <c r="U866" i="1"/>
  <c r="U287" i="1"/>
  <c r="U15" i="1"/>
  <c r="U467" i="1"/>
  <c r="U8" i="1"/>
  <c r="U777" i="1"/>
  <c r="U11" i="1"/>
  <c r="U504" i="1"/>
  <c r="U409" i="1"/>
  <c r="U600" i="1"/>
  <c r="U150" i="1"/>
  <c r="U595" i="1"/>
  <c r="U268" i="1"/>
  <c r="U645" i="1"/>
  <c r="U488" i="1"/>
  <c r="U897" i="1"/>
  <c r="U198" i="1"/>
  <c r="U101" i="1"/>
  <c r="U924" i="1"/>
  <c r="U135" i="1"/>
  <c r="U191" i="1"/>
  <c r="U497" i="1"/>
  <c r="U865" i="1"/>
  <c r="U426" i="1"/>
  <c r="U43" i="1"/>
  <c r="U112" i="1"/>
  <c r="U16" i="1"/>
  <c r="U407" i="1"/>
  <c r="U211" i="1"/>
  <c r="U80" i="1"/>
  <c r="U332" i="1"/>
  <c r="U745" i="1"/>
  <c r="U178" i="1"/>
  <c r="U701" i="1"/>
  <c r="U460" i="1"/>
  <c r="U257" i="1"/>
  <c r="U918" i="1"/>
  <c r="U186" i="1"/>
  <c r="U937" i="1"/>
  <c r="U400" i="1"/>
  <c r="U270" i="1"/>
  <c r="U247" i="1"/>
  <c r="U177" i="1"/>
  <c r="U461" i="1"/>
  <c r="U272" i="1"/>
  <c r="U559" i="1"/>
  <c r="U805" i="1"/>
  <c r="U462" i="1"/>
  <c r="U751" i="1"/>
  <c r="U314" i="1"/>
  <c r="U499" i="1"/>
  <c r="U915" i="1"/>
  <c r="U622" i="1"/>
  <c r="U172" i="1"/>
  <c r="U823" i="1"/>
  <c r="U614" i="1"/>
  <c r="U841" i="1"/>
  <c r="U369" i="1"/>
  <c r="U263" i="1"/>
  <c r="U182" i="1"/>
  <c r="U801" i="1"/>
  <c r="U459" i="1"/>
  <c r="U890" i="1"/>
  <c r="U759" i="1"/>
  <c r="U221" i="1"/>
  <c r="U242" i="1"/>
  <c r="U939" i="1"/>
  <c r="U768" i="1"/>
  <c r="U440" i="1"/>
  <c r="U477" i="1"/>
  <c r="U280" i="1"/>
  <c r="U343" i="1"/>
  <c r="U721" i="1"/>
  <c r="U56" i="1"/>
  <c r="U815" i="1"/>
  <c r="U796" i="1"/>
  <c r="U61" i="1"/>
  <c r="U279" i="1"/>
  <c r="U507" i="1"/>
  <c r="U115" i="1"/>
  <c r="U657" i="1"/>
  <c r="U229" i="1"/>
  <c r="U895" i="1"/>
  <c r="U306" i="1"/>
  <c r="U690" i="1"/>
  <c r="U638" i="1"/>
  <c r="U740" i="1"/>
  <c r="U816" i="1"/>
  <c r="U697" i="1"/>
  <c r="U818" i="1"/>
  <c r="U430" i="1"/>
  <c r="U807" i="1"/>
  <c r="U264" i="1"/>
  <c r="U486" i="1"/>
  <c r="U382" i="1"/>
  <c r="U397" i="1"/>
  <c r="U692" i="1"/>
  <c r="U162" i="1"/>
  <c r="U315" i="1"/>
  <c r="U125" i="1"/>
  <c r="U389" i="1"/>
  <c r="U877" i="1"/>
  <c r="U87" i="1"/>
  <c r="U655" i="1"/>
  <c r="U863" i="1"/>
  <c r="U424" i="1"/>
  <c r="U822" i="1"/>
  <c r="U265" i="1"/>
  <c r="U200" i="1"/>
  <c r="U568" i="1"/>
  <c r="U727" i="1"/>
  <c r="U859" i="1"/>
  <c r="U380" i="1"/>
  <c r="U789" i="1"/>
  <c r="U354" i="1"/>
  <c r="U252" i="1"/>
  <c r="U344" i="1"/>
  <c r="U18" i="1"/>
  <c r="U864" i="1"/>
  <c r="U736" i="1"/>
  <c r="U540" i="1"/>
  <c r="U323" i="1"/>
  <c r="U379" i="1"/>
  <c r="U166" i="1"/>
  <c r="U36" i="1"/>
  <c r="U98" i="1"/>
  <c r="U203" i="1"/>
  <c r="U903" i="1"/>
  <c r="U356" i="1"/>
  <c r="U628" i="1"/>
  <c r="U792" i="1"/>
  <c r="U216" i="1"/>
  <c r="U522" i="1"/>
  <c r="U495" i="1"/>
  <c r="U837" i="1"/>
  <c r="U821" i="1"/>
  <c r="U648" i="1"/>
  <c r="U109" i="1"/>
  <c r="U226" i="1"/>
  <c r="U376" i="1"/>
  <c r="U133" i="1"/>
  <c r="U780" i="1"/>
  <c r="U551" i="1"/>
  <c r="U793" i="1"/>
  <c r="U594" i="1"/>
  <c r="U474" i="1"/>
  <c r="U248" i="1"/>
  <c r="U20" i="1"/>
  <c r="U146" i="1"/>
  <c r="U630" i="1"/>
  <c r="U168" i="1"/>
  <c r="U735" i="1"/>
  <c r="U913" i="1"/>
  <c r="U385" i="1"/>
  <c r="U707" i="1"/>
  <c r="U190" i="1"/>
  <c r="U715" i="1"/>
  <c r="U708" i="1"/>
  <c r="U165" i="1"/>
  <c r="U86" i="1"/>
  <c r="U63" i="1"/>
  <c r="U282" i="1"/>
  <c r="U302" i="1"/>
  <c r="U666" i="1"/>
  <c r="U598" i="1"/>
  <c r="U473" i="1"/>
  <c r="U205" i="1"/>
  <c r="U26" i="1"/>
  <c r="U121" i="1"/>
  <c r="U860" i="1"/>
  <c r="U537" i="1"/>
  <c r="U608" i="1"/>
  <c r="U207" i="1"/>
  <c r="U773" i="1"/>
  <c r="U512" i="1"/>
  <c r="U386" i="1"/>
  <c r="U781" i="1"/>
  <c r="U448" i="1"/>
  <c r="U604" i="1"/>
  <c r="U138" i="1"/>
  <c r="U307" i="1"/>
  <c r="U820" i="1"/>
  <c r="U392" i="1"/>
  <c r="U882" i="1"/>
  <c r="U427" i="1"/>
  <c r="U340" i="1"/>
  <c r="U563" i="1"/>
  <c r="U640" i="1"/>
  <c r="U912" i="1"/>
  <c r="U871" i="1"/>
  <c r="U476" i="1"/>
  <c r="U131" i="1"/>
  <c r="U909" i="1"/>
  <c r="U126" i="1"/>
  <c r="U372" i="1"/>
  <c r="U914" i="1"/>
  <c r="U40" i="1"/>
  <c r="U406" i="1"/>
  <c r="U674" i="1"/>
  <c r="U489" i="1"/>
  <c r="U549" i="1"/>
  <c r="U384" i="1"/>
  <c r="U158" i="1"/>
  <c r="U28" i="1"/>
  <c r="U681" i="1"/>
  <c r="U879" i="1"/>
  <c r="U817" i="1"/>
  <c r="U833" i="1"/>
  <c r="U225" i="1"/>
  <c r="U699" i="1"/>
  <c r="U224" i="1"/>
  <c r="U29" i="1"/>
  <c r="U790" i="1"/>
  <c r="U79" i="1"/>
  <c r="U505" i="1"/>
  <c r="U592" i="1"/>
  <c r="U31" i="1"/>
  <c r="U77" i="1"/>
  <c r="U607" i="1"/>
  <c r="U274" i="1"/>
  <c r="U797" i="1"/>
  <c r="U679" i="1"/>
  <c r="U880" i="1"/>
  <c r="U411" i="1"/>
  <c r="U885" i="1"/>
  <c r="U184" i="1"/>
  <c r="U326" i="1"/>
  <c r="U348" i="1"/>
  <c r="U114" i="1"/>
  <c r="U804" i="1"/>
  <c r="U729" i="1"/>
  <c r="U329" i="1"/>
  <c r="U46" i="1"/>
  <c r="U100" i="1"/>
  <c r="U132" i="1"/>
  <c r="U631" i="1"/>
  <c r="U454" i="1"/>
  <c r="U173" i="1"/>
  <c r="U712" i="1"/>
  <c r="U738" i="1"/>
  <c r="U352" i="1"/>
  <c r="U58" i="1"/>
  <c r="U862" i="1"/>
  <c r="U41" i="1"/>
  <c r="U74" i="1"/>
  <c r="U324" i="1"/>
  <c r="U739" i="1"/>
  <c r="U610" i="1"/>
  <c r="U192" i="1"/>
  <c r="U249" i="1"/>
  <c r="U925" i="1"/>
  <c r="U42" i="1"/>
  <c r="U612" i="1"/>
  <c r="U583" i="1"/>
  <c r="U799" i="1"/>
  <c r="U271" i="1"/>
  <c r="U366" i="1"/>
  <c r="U653" i="1"/>
  <c r="U65" i="1"/>
  <c r="U626" i="1"/>
  <c r="U404" i="1"/>
  <c r="U373" i="1"/>
  <c r="U835" i="1"/>
  <c r="U769" i="1"/>
  <c r="U750" i="1"/>
  <c r="U908" i="1"/>
  <c r="U763" i="1"/>
  <c r="U91" i="1"/>
  <c r="U683" i="1"/>
  <c r="U676" i="1"/>
  <c r="U394" i="1"/>
  <c r="U375" i="1"/>
  <c r="U480" i="1"/>
  <c r="U142" i="1"/>
  <c r="U800" i="1"/>
  <c r="U936" i="1"/>
  <c r="U232" i="1"/>
  <c r="U291" i="1"/>
  <c r="U669" i="1"/>
  <c r="U292" i="1"/>
  <c r="U523" i="1"/>
  <c r="U228" i="1"/>
  <c r="U853" i="1"/>
  <c r="U743" i="1"/>
  <c r="U730" i="1"/>
  <c r="U285" i="1"/>
  <c r="U906" i="1"/>
  <c r="U873" i="1"/>
  <c r="U516" i="1"/>
  <c r="U753" i="1"/>
  <c r="U623" i="1"/>
  <c r="U803" i="1"/>
  <c r="U553" i="1"/>
  <c r="U575" i="1"/>
  <c r="U83" i="1"/>
  <c r="U164" i="1"/>
  <c r="U764" i="1"/>
  <c r="U603" i="1"/>
  <c r="U457" i="1"/>
  <c r="U259" i="1"/>
  <c r="U492" i="1"/>
  <c r="U368" i="1"/>
  <c r="U654" i="1"/>
  <c r="U434" i="1"/>
  <c r="U10" i="1"/>
  <c r="U605" i="1"/>
  <c r="U714" i="1"/>
  <c r="U433" i="1"/>
  <c r="U383" i="1"/>
  <c r="U732" i="1"/>
  <c r="U883" i="1"/>
  <c r="U725" i="1"/>
  <c r="U246" i="1"/>
  <c r="U567" i="1"/>
  <c r="U508" i="1"/>
  <c r="U555" i="1"/>
  <c r="U208" i="1"/>
  <c r="U887" i="1"/>
  <c r="U548" i="1"/>
  <c r="U861" i="1"/>
  <c r="U573" i="1"/>
  <c r="U415" i="1"/>
  <c r="U599" i="1"/>
  <c r="U656" i="1"/>
  <c r="U686" i="1"/>
  <c r="U269" i="1"/>
  <c r="U479" i="1"/>
  <c r="U230" i="1"/>
  <c r="U413" i="1"/>
  <c r="U502" i="1"/>
  <c r="U649" i="1"/>
  <c r="U490" i="1"/>
  <c r="U525" i="1"/>
  <c r="U118" i="1"/>
  <c r="U179" i="1"/>
  <c r="U941" i="1"/>
  <c r="U425" i="1"/>
  <c r="U856" i="1"/>
  <c r="U127" i="1"/>
  <c r="U456" i="1"/>
  <c r="U418" i="1"/>
  <c r="U705" i="1"/>
  <c r="U92" i="1"/>
  <c r="U436" i="1"/>
  <c r="U494" i="1"/>
  <c r="U446" i="1"/>
  <c r="U509" i="1"/>
  <c r="U752" i="1"/>
  <c r="U726" i="1"/>
  <c r="U933" i="1"/>
  <c r="U239" i="1"/>
  <c r="U855" i="1"/>
  <c r="U378" i="1"/>
  <c r="U401" i="1"/>
  <c r="U54" i="1"/>
  <c r="U449" i="1"/>
  <c r="U744" i="1"/>
  <c r="U694" i="1"/>
  <c r="U682" i="1"/>
  <c r="U825" i="1"/>
  <c r="U278" i="1"/>
  <c r="U301" i="1"/>
  <c r="U310" i="1"/>
  <c r="U547" i="1"/>
  <c r="U560" i="1"/>
  <c r="U328" i="1"/>
  <c r="U284" i="1"/>
  <c r="U212" i="1"/>
  <c r="U444" i="1"/>
  <c r="U571" i="1"/>
  <c r="U465" i="1"/>
  <c r="U641" i="1"/>
  <c r="U95" i="1"/>
  <c r="U639" i="1"/>
  <c r="U30" i="1"/>
  <c r="U240" i="1"/>
  <c r="U675" i="1"/>
  <c r="U381" i="1"/>
  <c r="U104" i="1"/>
  <c r="U589" i="1"/>
  <c r="U703" i="1"/>
  <c r="U741" i="1"/>
  <c r="U360" i="1"/>
  <c r="U794" i="1"/>
  <c r="U884" i="1"/>
  <c r="U515" i="1"/>
  <c r="U334" i="1"/>
  <c r="U452" i="1"/>
  <c r="U147" i="1"/>
  <c r="U747" i="1"/>
  <c r="U720" i="1"/>
  <c r="U660" i="1"/>
  <c r="U472" i="1"/>
  <c r="U687" i="1"/>
  <c r="U157" i="1"/>
  <c r="U7" i="1"/>
  <c r="U491" i="1"/>
  <c r="U202" i="1"/>
  <c r="U514" i="1"/>
  <c r="U938" i="1"/>
  <c r="U24" i="1"/>
  <c r="U881" i="1"/>
  <c r="U236" i="1"/>
  <c r="U295" i="1"/>
  <c r="U78" i="1"/>
  <c r="U787" i="1"/>
  <c r="U742" i="1"/>
  <c r="U450" i="1"/>
  <c r="U189" i="1"/>
  <c r="U27" i="1"/>
  <c r="U469" i="1"/>
  <c r="U371" i="1"/>
  <c r="U662" i="1"/>
  <c r="U316" i="1"/>
  <c r="U210" i="1"/>
  <c r="U617" i="1"/>
  <c r="U217" i="1"/>
  <c r="U233" i="1"/>
  <c r="U748" i="1"/>
  <c r="U891" i="1"/>
  <c r="U634" i="1"/>
  <c r="U290" i="1"/>
  <c r="U867" i="1"/>
  <c r="U196" i="1"/>
  <c r="U851" i="1"/>
  <c r="U839" i="1"/>
  <c r="U62" i="1"/>
  <c r="U129" i="1"/>
  <c r="U910" i="1"/>
  <c r="U569" i="1"/>
  <c r="U443" i="1"/>
  <c r="U531" i="1"/>
  <c r="U423" i="1"/>
  <c r="U5" i="1"/>
  <c r="U756" i="1"/>
  <c r="U944" i="1"/>
  <c r="U546" i="1"/>
  <c r="U374" i="1"/>
  <c r="U325" i="1"/>
  <c r="U123" i="1"/>
  <c r="U711" i="1"/>
  <c r="U606" i="1"/>
  <c r="U550" i="1"/>
  <c r="U13" i="1"/>
  <c r="U161" i="1"/>
  <c r="U635" i="1"/>
  <c r="U716" i="1"/>
  <c r="U844" i="1"/>
  <c r="U779" i="1"/>
  <c r="U231" i="1"/>
  <c r="U365" i="1"/>
  <c r="U144" i="1"/>
  <c r="U250" i="1"/>
  <c r="U180" i="1"/>
  <c r="U124" i="1"/>
  <c r="U163" i="1"/>
  <c r="U734" i="1"/>
  <c r="U585" i="1"/>
  <c r="U17" i="1"/>
  <c r="U416" i="1"/>
  <c r="U445" i="1"/>
  <c r="U49" i="1"/>
  <c r="U309" i="1"/>
  <c r="U299" i="1"/>
  <c r="U791" i="1"/>
  <c r="U695" i="1"/>
  <c r="U113" i="1"/>
  <c r="U254" i="1"/>
  <c r="U347" i="1"/>
  <c r="U399" i="1"/>
  <c r="U946" i="1"/>
  <c r="U358" i="1"/>
  <c r="U770" i="1"/>
  <c r="U597" i="1"/>
  <c r="U659" i="1"/>
  <c r="U419" i="1"/>
  <c r="U377" i="1"/>
  <c r="U827" i="1"/>
  <c r="U503" i="1"/>
  <c r="U857" i="1"/>
  <c r="U136" i="1"/>
  <c r="U107" i="1"/>
  <c r="U171" i="1"/>
  <c r="U204" i="1"/>
  <c r="U312" i="1"/>
  <c r="U412" i="1"/>
  <c r="U441" i="1"/>
  <c r="U361" i="1"/>
  <c r="U731" i="1"/>
  <c r="U590" i="1"/>
  <c r="U439" i="1"/>
  <c r="U195" i="1"/>
  <c r="U222" i="1"/>
  <c r="U520" i="1"/>
  <c r="U917" i="1"/>
  <c r="U317" i="1"/>
  <c r="U646" i="1"/>
  <c r="U566" i="1"/>
  <c r="U303" i="1"/>
  <c r="U67" i="1"/>
  <c r="U110" i="1"/>
  <c r="U176" i="1"/>
  <c r="U530" i="1"/>
  <c r="U9" i="1"/>
  <c r="U535" i="1"/>
  <c r="U931" i="1"/>
  <c r="U762" i="1"/>
  <c r="U557" i="1"/>
  <c r="U526" i="1"/>
  <c r="U710" i="1"/>
  <c r="U929" i="1"/>
  <c r="U565" i="1"/>
  <c r="U633" i="1"/>
  <c r="U616" i="1"/>
  <c r="U650" i="1"/>
  <c r="U223" i="1"/>
  <c r="U19" i="1"/>
  <c r="U185" i="1"/>
  <c r="U414" i="1"/>
  <c r="U846" i="1"/>
  <c r="U122" i="1"/>
  <c r="U169" i="1"/>
  <c r="U484" i="1"/>
  <c r="U894" i="1"/>
  <c r="U829" i="1"/>
  <c r="U93" i="1"/>
  <c r="U709" i="1"/>
  <c r="U466" i="1"/>
  <c r="U53" i="1"/>
  <c r="U346" i="1"/>
  <c r="U534" i="1"/>
  <c r="U765" i="1"/>
  <c r="U143" i="1"/>
  <c r="U528" i="1"/>
  <c r="U70" i="1"/>
  <c r="U543" i="1"/>
  <c r="U44" i="1"/>
  <c r="U277" i="1"/>
  <c r="U774" i="1"/>
  <c r="U311" i="1"/>
  <c r="U642" i="1"/>
  <c r="U364" i="1"/>
  <c r="U498" i="1"/>
  <c r="U72" i="1"/>
  <c r="U51" i="1"/>
  <c r="U155" i="1"/>
  <c r="U784" i="1"/>
  <c r="U620" i="1"/>
  <c r="U393" i="1"/>
  <c r="U733" i="1"/>
  <c r="U524" i="1"/>
  <c r="U245" i="1"/>
  <c r="U99" i="1"/>
  <c r="U749" i="1"/>
  <c r="U627" i="1"/>
  <c r="U422" i="1"/>
  <c r="U814" i="1"/>
  <c r="U359" i="1"/>
  <c r="U521" i="1"/>
  <c r="U220" i="1"/>
  <c r="U518" i="1"/>
  <c r="U580" i="1"/>
  <c r="U704" i="1"/>
  <c r="U552" i="1"/>
  <c r="U145" i="1"/>
  <c r="U673" i="1"/>
  <c r="U432" i="1"/>
  <c r="U935" i="1"/>
  <c r="U578" i="1"/>
  <c r="U111" i="1"/>
  <c r="U907" i="1"/>
  <c r="U338" i="1"/>
  <c r="U57" i="1"/>
  <c r="U213" i="1"/>
  <c r="U501" i="1"/>
  <c r="U403" i="1"/>
  <c r="U199" i="1"/>
  <c r="U874" i="1"/>
  <c r="U300" i="1"/>
  <c r="U901" i="1"/>
  <c r="U834" i="1"/>
  <c r="U215" i="1"/>
  <c r="U84" i="1"/>
  <c r="U615" i="1"/>
  <c r="U134" i="1"/>
  <c r="U442" i="1"/>
  <c r="U886" i="1"/>
  <c r="U685" i="1"/>
  <c r="U771" i="1"/>
  <c r="U367" i="1"/>
  <c r="U71" i="1"/>
  <c r="U243" i="1"/>
  <c r="U183" i="1"/>
  <c r="U273" i="1"/>
  <c r="U544" i="1"/>
  <c r="U453" i="1"/>
  <c r="U209" i="1"/>
  <c r="U539" i="1"/>
  <c r="U464" i="1"/>
  <c r="U892" i="1"/>
  <c r="U320" i="1"/>
  <c r="U854" i="1"/>
  <c r="U391" i="1"/>
  <c r="U904" i="1"/>
  <c r="U197" i="1"/>
  <c r="U351" i="1"/>
  <c r="U387" i="1"/>
  <c r="U130" i="1"/>
  <c r="U69" i="1"/>
  <c r="U128" i="1"/>
  <c r="U858" i="1"/>
  <c r="U234" i="1"/>
  <c r="U39" i="1"/>
  <c r="U187" i="1"/>
  <c r="U73" i="1"/>
  <c r="U852" i="1"/>
  <c r="U577" i="1"/>
  <c r="U795" i="1"/>
  <c r="U870" i="1"/>
  <c r="U201" i="1"/>
  <c r="U838" i="1"/>
  <c r="U848" i="1"/>
  <c r="U90" i="1"/>
  <c r="U174" i="1"/>
  <c r="U235" i="1"/>
  <c r="U511" i="1"/>
  <c r="U345" i="1"/>
  <c r="U238" i="1"/>
  <c r="U922" i="1"/>
  <c r="U519" i="1"/>
  <c r="U141" i="1"/>
  <c r="U919" i="1"/>
  <c r="U48" i="1"/>
  <c r="U588" i="1"/>
  <c r="U562" i="1"/>
  <c r="U475" i="1"/>
  <c r="U305" i="1"/>
  <c r="U75" i="1"/>
  <c r="U253" i="1"/>
  <c r="U911" i="1"/>
  <c r="U34" i="1"/>
  <c r="U629" i="1"/>
  <c r="U37" i="1"/>
  <c r="U572" i="1"/>
  <c r="U333" i="1"/>
  <c r="U757" i="1"/>
  <c r="U755" i="1"/>
  <c r="U696" i="1"/>
  <c r="U396" i="1"/>
  <c r="U335" i="1"/>
  <c r="U23" i="1"/>
  <c r="U218" i="1"/>
  <c r="U934" i="1"/>
  <c r="U624" i="1"/>
  <c r="U388" i="1"/>
  <c r="U410" i="1"/>
  <c r="U89" i="1"/>
  <c r="U761" i="1"/>
  <c r="U693" i="1"/>
  <c r="U455" i="1"/>
  <c r="U447" i="1"/>
  <c r="U408" i="1"/>
  <c r="U458" i="1"/>
  <c r="U421" i="1"/>
  <c r="U6" i="1"/>
  <c r="U149" i="1"/>
  <c r="U591" i="1"/>
  <c r="U267" i="1"/>
  <c r="U636" i="1"/>
  <c r="U619" i="1"/>
  <c r="U478" i="1"/>
  <c r="U536" i="1"/>
  <c r="U60" i="1"/>
  <c r="U76" i="1"/>
  <c r="U298" i="1"/>
  <c r="U117" i="1"/>
  <c r="U930" i="1"/>
  <c r="U331" i="1"/>
  <c r="U664" i="1"/>
  <c r="U574" i="1"/>
  <c r="U586" i="1"/>
  <c r="U746" i="1"/>
  <c r="U14" i="1"/>
  <c r="U261" i="1"/>
  <c r="U304" i="1"/>
  <c r="U68" i="1"/>
  <c r="U596" i="1"/>
  <c r="U652" i="1"/>
  <c r="U702" i="1"/>
  <c r="U493" i="1"/>
  <c r="U813" i="1"/>
  <c r="U219" i="1"/>
  <c r="U266" i="1"/>
  <c r="U94" i="1"/>
  <c r="U798" i="1"/>
  <c r="U116" i="1"/>
  <c r="U843" i="1"/>
  <c r="U438" i="1"/>
  <c r="U330" i="1"/>
  <c r="U308" i="1"/>
  <c r="U483" i="1"/>
  <c r="U485" i="1"/>
  <c r="U920" i="1"/>
  <c r="U545" i="1"/>
  <c r="U893" i="1"/>
  <c r="U281" i="1"/>
  <c r="U390" i="1"/>
  <c r="U538" i="1"/>
  <c r="U470" i="1"/>
  <c r="U21" i="1"/>
  <c r="U139" i="1"/>
  <c r="U869" i="1"/>
  <c r="U108" i="1"/>
  <c r="U932" i="1"/>
  <c r="U296" i="1"/>
  <c r="U872" i="1"/>
  <c r="U251" i="1"/>
  <c r="U831" i="1"/>
  <c r="U482" i="1"/>
  <c r="U241" i="1"/>
  <c r="U256" i="1"/>
  <c r="U878" i="1"/>
  <c r="U828" i="1"/>
  <c r="U782" i="1"/>
  <c r="U420" i="1"/>
  <c r="U719" i="1"/>
  <c r="U156" i="1"/>
  <c r="U32" i="1"/>
  <c r="U868" i="1"/>
  <c r="U723" i="1"/>
  <c r="U806" i="1"/>
  <c r="U943" i="1"/>
  <c r="U194" i="1"/>
  <c r="U927" i="1"/>
  <c r="U819" i="1"/>
  <c r="U700" i="1"/>
  <c r="U193" i="1"/>
  <c r="U672" i="1"/>
  <c r="U319" i="1"/>
  <c r="U875" i="1"/>
  <c r="U327" i="1"/>
  <c r="U836" i="1"/>
  <c r="U808" i="1"/>
  <c r="U902" i="1"/>
  <c r="U888" i="1"/>
  <c r="U905" i="1"/>
  <c r="U923" i="1"/>
  <c r="U402" i="1"/>
  <c r="U428" i="1"/>
  <c r="U85" i="1"/>
  <c r="U651" i="1"/>
  <c r="U321" i="1"/>
  <c r="U170" i="1"/>
  <c r="U353" i="1"/>
  <c r="U776" i="1"/>
  <c r="U337" i="1"/>
  <c r="U341" i="1"/>
  <c r="U22" i="1"/>
  <c r="U255" i="1"/>
  <c r="U96" i="1"/>
  <c r="U35" i="1"/>
  <c r="U289" i="1"/>
  <c r="U663" i="1"/>
  <c r="U728" i="1"/>
  <c r="U152" i="1"/>
  <c r="U632" i="1"/>
  <c r="U889" i="1"/>
  <c r="U766" i="1"/>
  <c r="U812" i="1"/>
</calcChain>
</file>

<file path=xl/sharedStrings.xml><?xml version="1.0" encoding="utf-8"?>
<sst xmlns="http://schemas.openxmlformats.org/spreadsheetml/2006/main" count="5690" uniqueCount="3018">
  <si>
    <t>EQY_FUND_CRNCY</t>
  </si>
  <si>
    <t>REL_INDEX</t>
  </si>
  <si>
    <t>FA_ADJUSTED</t>
  </si>
  <si>
    <t>LCL</t>
  </si>
  <si>
    <t>Ticker</t>
  </si>
  <si>
    <t>Short Name</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</si>
  <si>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</si>
  <si>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</si>
  <si>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</si>
  <si>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</si>
  <si>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</si>
  <si>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</si>
  <si>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</si>
  <si>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</si>
  <si>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</si>
  <si>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</si>
  <si>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</si>
  <si>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</si>
  <si>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</si>
  <si>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</si>
  <si>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</si>
  <si>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</si>
  <si>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</si>
  <si>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</si>
  <si>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</si>
  <si>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</si>
  <si>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</si>
  <si>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</si>
  <si>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</si>
  <si>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</si>
  <si>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</si>
  <si>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</si>
  <si>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</si>
  <si>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</si>
  <si>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(942 securities)</t>
  </si>
  <si>
    <t>2307820D US Equity</t>
  </si>
  <si>
    <t>CRH PLC-ADR</t>
  </si>
  <si>
    <t>2307820D US</t>
  </si>
  <si>
    <t>Materials</t>
  </si>
  <si>
    <t>Construction Materials</t>
  </si>
  <si>
    <t>9982165D US Equity</t>
  </si>
  <si>
    <t>FERGUSON PLC</t>
  </si>
  <si>
    <t>9982165D US</t>
  </si>
  <si>
    <t>Industrials</t>
  </si>
  <si>
    <t>Trading Companies &amp; Distributors</t>
  </si>
  <si>
    <t>9995214D US Equity</t>
  </si>
  <si>
    <t>LINDE PLC/OLD</t>
  </si>
  <si>
    <t>9995214D US</t>
  </si>
  <si>
    <t>Chemicals</t>
  </si>
  <si>
    <t>Industrial Gases</t>
  </si>
  <si>
    <t>AAGIY US Equity</t>
  </si>
  <si>
    <t>AIA GROUP LT-ADR</t>
  </si>
  <si>
    <t>AAGIY US</t>
  </si>
  <si>
    <t>Financials</t>
  </si>
  <si>
    <t>Insurance</t>
  </si>
  <si>
    <t>Life &amp; Health Insurance</t>
  </si>
  <si>
    <t>AAIGF US Equity</t>
  </si>
  <si>
    <t>AIA</t>
  </si>
  <si>
    <t>AAIGF US</t>
  </si>
  <si>
    <t>AAL US Equity</t>
  </si>
  <si>
    <t>AMERICAN AIRLINE</t>
  </si>
  <si>
    <t>AAL US</t>
  </si>
  <si>
    <t>Passenger Airlines</t>
  </si>
  <si>
    <t>AAPL US Equity</t>
  </si>
  <si>
    <t>APPLE INC</t>
  </si>
  <si>
    <t>AAPL US</t>
  </si>
  <si>
    <t>Information Technology</t>
  </si>
  <si>
    <t>Technology Hardware, Storage &amp; Peripherals</t>
  </si>
  <si>
    <t>AAUKF US Equity</t>
  </si>
  <si>
    <t>ANGLO AMER PLC</t>
  </si>
  <si>
    <t>AAUKF US</t>
  </si>
  <si>
    <t>Metals &amp; Mining</t>
  </si>
  <si>
    <t>Diversified Metals &amp; Mining</t>
  </si>
  <si>
    <t>AAVMY US Equity</t>
  </si>
  <si>
    <t>ABN AMRO BAN ADR</t>
  </si>
  <si>
    <t>AAVMY US</t>
  </si>
  <si>
    <t>Banks</t>
  </si>
  <si>
    <t>Diversified Banks</t>
  </si>
  <si>
    <t>ABBNY US Equity</t>
  </si>
  <si>
    <t>ABB LTD-ADR</t>
  </si>
  <si>
    <t>ABBNY US</t>
  </si>
  <si>
    <t>Electrical Equipment</t>
  </si>
  <si>
    <t>Electrical Components &amp; Equipment</t>
  </si>
  <si>
    <t>ABBV US Equity</t>
  </si>
  <si>
    <t>ABBVIE INC</t>
  </si>
  <si>
    <t>ABBV US</t>
  </si>
  <si>
    <t>Health Care</t>
  </si>
  <si>
    <t>Biotechnology</t>
  </si>
  <si>
    <t>ABEV US Equity</t>
  </si>
  <si>
    <t>AMBEV SA-ADR</t>
  </si>
  <si>
    <t>ABEV US</t>
  </si>
  <si>
    <t>Consumer Staples</t>
  </si>
  <si>
    <t>Beverages</t>
  </si>
  <si>
    <t>Brewers</t>
  </si>
  <si>
    <t>ABFOF US Equity</t>
  </si>
  <si>
    <t>ABERTIS</t>
  </si>
  <si>
    <t>ABFOF US</t>
  </si>
  <si>
    <t>Transportation Infrastructure</t>
  </si>
  <si>
    <t>Highways &amp; Railtracks</t>
  </si>
  <si>
    <t>ABLZF US Equity</t>
  </si>
  <si>
    <t>ABB LTD-REG</t>
  </si>
  <si>
    <t>ABLZF US</t>
  </si>
  <si>
    <t>ABMRF US Equity</t>
  </si>
  <si>
    <t>ABN AMRO BANK-CV</t>
  </si>
  <si>
    <t>ABMRF US</t>
  </si>
  <si>
    <t>ABNB US Equity</t>
  </si>
  <si>
    <t>AIRBNB INC-A</t>
  </si>
  <si>
    <t>ABNB US</t>
  </si>
  <si>
    <t>Consumer Discretionary</t>
  </si>
  <si>
    <t>Hotels, Restaurants &amp; Leisure</t>
  </si>
  <si>
    <t>Hotels, Resorts &amp; Cruise Lines</t>
  </si>
  <si>
    <t>ABT US Equity</t>
  </si>
  <si>
    <t>ABBOTT LABS</t>
  </si>
  <si>
    <t>ABT US</t>
  </si>
  <si>
    <t>Health Care Equipment &amp; Supplies</t>
  </si>
  <si>
    <t>Health Care Equipment</t>
  </si>
  <si>
    <t>ACGBF US Equity</t>
  </si>
  <si>
    <t>ABC-H</t>
  </si>
  <si>
    <t>ACGBF US</t>
  </si>
  <si>
    <t>ACGBY US Equity</t>
  </si>
  <si>
    <t>AGRICULTURAL-ADR</t>
  </si>
  <si>
    <t>ACGBY US</t>
  </si>
  <si>
    <t>ACGL US Equity</t>
  </si>
  <si>
    <t>ARCH CAPITAL GRP</t>
  </si>
  <si>
    <t>ACGL US</t>
  </si>
  <si>
    <t>Property &amp; Casualty Insurance</t>
  </si>
  <si>
    <t>ACHHY US Equity</t>
  </si>
  <si>
    <t>ALUMINUM COR-ADR</t>
  </si>
  <si>
    <t>ACHHY US</t>
  </si>
  <si>
    <t>Aluminum</t>
  </si>
  <si>
    <t>ACI US Equity</t>
  </si>
  <si>
    <t>ALBERTSONS COS-A</t>
  </si>
  <si>
    <t>ACI US</t>
  </si>
  <si>
    <t>Consumer Staples Distribution &amp; Retail</t>
  </si>
  <si>
    <t>Food Retail</t>
  </si>
  <si>
    <t>ACN US Equity</t>
  </si>
  <si>
    <t>ACCENTURE PLC-A</t>
  </si>
  <si>
    <t>ACN US</t>
  </si>
  <si>
    <t>IT Services</t>
  </si>
  <si>
    <t>IT Consulting &amp; Other Services</t>
  </si>
  <si>
    <t>ACSAF US Equity</t>
  </si>
  <si>
    <t>ACS</t>
  </si>
  <si>
    <t>ACSAF US</t>
  </si>
  <si>
    <t>Construction &amp; Engineering</t>
  </si>
  <si>
    <t>ACSAY US Equity</t>
  </si>
  <si>
    <t>ACS ACTIVI-ADR</t>
  </si>
  <si>
    <t>ACSAY US</t>
  </si>
  <si>
    <t>ADBE US Equity</t>
  </si>
  <si>
    <t>ADOBE INC</t>
  </si>
  <si>
    <t>ADBE US</t>
  </si>
  <si>
    <t>Software</t>
  </si>
  <si>
    <t>Application Software</t>
  </si>
  <si>
    <t>ADDDF US Equity</t>
  </si>
  <si>
    <t>ADIDAS AG</t>
  </si>
  <si>
    <t>ADDDF US</t>
  </si>
  <si>
    <t>Textiles, Apparel &amp; Luxury Goods</t>
  </si>
  <si>
    <t>Apparel, Accessories &amp; Luxury Goods</t>
  </si>
  <si>
    <t>ADDYY US Equity</t>
  </si>
  <si>
    <t>ADIDAS AG-ADR</t>
  </si>
  <si>
    <t>ADDYY US</t>
  </si>
  <si>
    <t>ADI US Equity</t>
  </si>
  <si>
    <t>ANALOG DEVICES</t>
  </si>
  <si>
    <t>ADI US</t>
  </si>
  <si>
    <t>Semiconductors &amp; Semiconductor Equipment</t>
  </si>
  <si>
    <t>Semiconductors</t>
  </si>
  <si>
    <t>ADM US Equity</t>
  </si>
  <si>
    <t>ARCHER-DANIELS</t>
  </si>
  <si>
    <t>ADM US</t>
  </si>
  <si>
    <t>Food Products</t>
  </si>
  <si>
    <t>Agricultural Products &amp; Services</t>
  </si>
  <si>
    <t>ADP US Equity</t>
  </si>
  <si>
    <t>AUTOMATIC DATA</t>
  </si>
  <si>
    <t>ADP US</t>
  </si>
  <si>
    <t>Professional Services</t>
  </si>
  <si>
    <t>Human Resource &amp; Employment Services</t>
  </si>
  <si>
    <t>ADRNY US Equity</t>
  </si>
  <si>
    <t>KONINKLIJKE-ADR</t>
  </si>
  <si>
    <t>ADRNY US</t>
  </si>
  <si>
    <t>AEE US Equity</t>
  </si>
  <si>
    <t>AMEREN CORP</t>
  </si>
  <si>
    <t>AEE US</t>
  </si>
  <si>
    <t>Utilities</t>
  </si>
  <si>
    <t>Multi-Utilities</t>
  </si>
  <si>
    <t>AEP US Equity</t>
  </si>
  <si>
    <t>AMERICAN ELECTRI</t>
  </si>
  <si>
    <t>AEP US</t>
  </si>
  <si>
    <t>Electric Utilities</t>
  </si>
  <si>
    <t>AER US Equity</t>
  </si>
  <si>
    <t>AERCAP HOLDINGS</t>
  </si>
  <si>
    <t>AER US</t>
  </si>
  <si>
    <t>AES US Equity</t>
  </si>
  <si>
    <t>AES CORP</t>
  </si>
  <si>
    <t>AES US</t>
  </si>
  <si>
    <t>Independent Power and Renewable Electricity Producers</t>
  </si>
  <si>
    <t>Independent Power Producers &amp; Energy Traders</t>
  </si>
  <si>
    <t>AFL US Equity</t>
  </si>
  <si>
    <t>AFLAC INC</t>
  </si>
  <si>
    <t>AFL US</t>
  </si>
  <si>
    <t>AGESF US Equity</t>
  </si>
  <si>
    <t>AGEAS</t>
  </si>
  <si>
    <t>AGESF US</t>
  </si>
  <si>
    <t>Multi-line Insurance</t>
  </si>
  <si>
    <t>AGESY US Equity</t>
  </si>
  <si>
    <t>AGEAS -SPON ADR</t>
  </si>
  <si>
    <t>AGESY US</t>
  </si>
  <si>
    <t>AGR US Equity</t>
  </si>
  <si>
    <t>AVANGRID INC</t>
  </si>
  <si>
    <t>AGR US</t>
  </si>
  <si>
    <t>AGRPF US Equity</t>
  </si>
  <si>
    <t>ABSA GROUP LTD</t>
  </si>
  <si>
    <t>AGRPF US</t>
  </si>
  <si>
    <t>AGRPY US Equity</t>
  </si>
  <si>
    <t>ABSA GROUP - ADR</t>
  </si>
  <si>
    <t>AGRPY US</t>
  </si>
  <si>
    <t>AHCHF US Equity</t>
  </si>
  <si>
    <t>CONCH CEMENT-H</t>
  </si>
  <si>
    <t>AHCHF US</t>
  </si>
  <si>
    <t>AHCHY US Equity</t>
  </si>
  <si>
    <t>CEM-H-ADR</t>
  </si>
  <si>
    <t>AHCHY US</t>
  </si>
  <si>
    <t>AHODF US Equity</t>
  </si>
  <si>
    <t>KONINKLIJKE AHOL</t>
  </si>
  <si>
    <t>AHODF US</t>
  </si>
  <si>
    <t>AICAF US Equity</t>
  </si>
  <si>
    <t>AIR CHINA LTD-H</t>
  </si>
  <si>
    <t>AICAF US</t>
  </si>
  <si>
    <t>AIG US Equity</t>
  </si>
  <si>
    <t>AMERICAN INTERNA</t>
  </si>
  <si>
    <t>AIG US</t>
  </si>
  <si>
    <t>AIQUF US Equity</t>
  </si>
  <si>
    <t>AIR LIQUIDE SA</t>
  </si>
  <si>
    <t>AIQUF US</t>
  </si>
  <si>
    <t>AIQUY US Equity</t>
  </si>
  <si>
    <t>AIR LIQ-UNSP ADR</t>
  </si>
  <si>
    <t>AIQUY US</t>
  </si>
  <si>
    <t>AIRYY US Equity</t>
  </si>
  <si>
    <t>AIR CHINA-SP-ADR</t>
  </si>
  <si>
    <t>AIRYY US</t>
  </si>
  <si>
    <t>AJG US Equity</t>
  </si>
  <si>
    <t>ARTHUR J GALLAGH</t>
  </si>
  <si>
    <t>AJG US</t>
  </si>
  <si>
    <t>Insurance Brokers</t>
  </si>
  <si>
    <t>AKBDY US Equity</t>
  </si>
  <si>
    <t>AKBANK-144A ADR</t>
  </si>
  <si>
    <t>AKBDY US</t>
  </si>
  <si>
    <t>AKSJF US Equity</t>
  </si>
  <si>
    <t>SBERBANK</t>
  </si>
  <si>
    <t>AKSJF US</t>
  </si>
  <si>
    <t>ALC US Equity</t>
  </si>
  <si>
    <t>ALCON INC</t>
  </si>
  <si>
    <t>ALC US</t>
  </si>
  <si>
    <t>Health Care Supplies</t>
  </si>
  <si>
    <t>ALIZF US Equity</t>
  </si>
  <si>
    <t>ALLIANZ SE-REG</t>
  </si>
  <si>
    <t>ALIZF US</t>
  </si>
  <si>
    <t>ALIZY US Equity</t>
  </si>
  <si>
    <t>ALLIANZ-UNSP ADR</t>
  </si>
  <si>
    <t>ALIZY US</t>
  </si>
  <si>
    <t>ALL US Equity</t>
  </si>
  <si>
    <t>ALLSTATE CORP</t>
  </si>
  <si>
    <t>ALL US</t>
  </si>
  <si>
    <t>ALLY US Equity</t>
  </si>
  <si>
    <t>ALLY FINANCIAL I</t>
  </si>
  <si>
    <t>ALLY US</t>
  </si>
  <si>
    <t>Consumer Finance</t>
  </si>
  <si>
    <t>ALMMF US Equity</t>
  </si>
  <si>
    <t>ALUMINUM CORP-H</t>
  </si>
  <si>
    <t>ALMMF US</t>
  </si>
  <si>
    <t>ALPMF US Equity</t>
  </si>
  <si>
    <t>ASTELLAS PHARMA</t>
  </si>
  <si>
    <t>ALPMF US</t>
  </si>
  <si>
    <t>Pharmaceuticals</t>
  </si>
  <si>
    <t>ALPMY US Equity</t>
  </si>
  <si>
    <t>ASTELLAS PH-ADR</t>
  </si>
  <si>
    <t>ALPMY US</t>
  </si>
  <si>
    <t>AMAT US Equity</t>
  </si>
  <si>
    <t>APPLIED MATERIAL</t>
  </si>
  <si>
    <t>AMAT US</t>
  </si>
  <si>
    <t>Semiconductor Materials &amp; Equipment</t>
  </si>
  <si>
    <t>AMD US Equity</t>
  </si>
  <si>
    <t>ADV MICRO DEVICE</t>
  </si>
  <si>
    <t>AMD US</t>
  </si>
  <si>
    <t>AMGN US Equity</t>
  </si>
  <si>
    <t>AMGEN INC</t>
  </si>
  <si>
    <t>AMGN US</t>
  </si>
  <si>
    <t>AMKAF US Equity</t>
  </si>
  <si>
    <t>AP MOLLER-A</t>
  </si>
  <si>
    <t>AMKAF US</t>
  </si>
  <si>
    <t>Marine Transportation</t>
  </si>
  <si>
    <t>AMKBF US Equity</t>
  </si>
  <si>
    <t>AP MOLLER-B</t>
  </si>
  <si>
    <t>AMKBF US</t>
  </si>
  <si>
    <t>AMKBY US Equity</t>
  </si>
  <si>
    <t>A P MOLLER-B-ADR</t>
  </si>
  <si>
    <t>AMKBY US</t>
  </si>
  <si>
    <t>AMP US Equity</t>
  </si>
  <si>
    <t>AMERIPRISE FINAN</t>
  </si>
  <si>
    <t>AMP US</t>
  </si>
  <si>
    <t>Capital Markets</t>
  </si>
  <si>
    <t>Asset Management &amp; Custody Banks</t>
  </si>
  <si>
    <t>AMSYF US Equity</t>
  </si>
  <si>
    <t>ARCELORMITTAL</t>
  </si>
  <si>
    <t>AMSYF US</t>
  </si>
  <si>
    <t>Steel</t>
  </si>
  <si>
    <t>AMT US Equity</t>
  </si>
  <si>
    <t>AMERICAN TOWER C</t>
  </si>
  <si>
    <t>AMT US</t>
  </si>
  <si>
    <t>Real Estate</t>
  </si>
  <si>
    <t>Specialized REITs</t>
  </si>
  <si>
    <t>Telecom Tower REITs</t>
  </si>
  <si>
    <t>AMZN US Equity</t>
  </si>
  <si>
    <t>AMAZON.COM INC</t>
  </si>
  <si>
    <t>AMZN US</t>
  </si>
  <si>
    <t>Broadline Retail</t>
  </si>
  <si>
    <t>ANCTF US Equity</t>
  </si>
  <si>
    <t>ALIMEN COUCHE</t>
  </si>
  <si>
    <t>ANCTF US</t>
  </si>
  <si>
    <t>ANEWF US Equity</t>
  </si>
  <si>
    <t>AUST AND NZ BANK</t>
  </si>
  <si>
    <t>ANEWF US</t>
  </si>
  <si>
    <t>ANZBY US Equity</t>
  </si>
  <si>
    <t>AUST &amp; NZ BK-ADR</t>
  </si>
  <si>
    <t>ANZBY US</t>
  </si>
  <si>
    <t>AON US Equity</t>
  </si>
  <si>
    <t>AON PLC-CLASS A</t>
  </si>
  <si>
    <t>AON US</t>
  </si>
  <si>
    <t>AONNF US Equity</t>
  </si>
  <si>
    <t>AEON CO LTD</t>
  </si>
  <si>
    <t>AONNF US</t>
  </si>
  <si>
    <t>Consumer Staples Merchandise Retail</t>
  </si>
  <si>
    <t>AONNY US Equity</t>
  </si>
  <si>
    <t>AEON CO LTD-ADR</t>
  </si>
  <si>
    <t>AONNY US</t>
  </si>
  <si>
    <t>APD US Equity</t>
  </si>
  <si>
    <t>AIR PRODS &amp; CHEM</t>
  </si>
  <si>
    <t>APD US</t>
  </si>
  <si>
    <t>APH US Equity</t>
  </si>
  <si>
    <t>AMPHENOL CORP-A</t>
  </si>
  <si>
    <t>APH US</t>
  </si>
  <si>
    <t>Electronic Equipment, Instruments &amp; Components</t>
  </si>
  <si>
    <t>Electronic Components</t>
  </si>
  <si>
    <t>APO US Equity</t>
  </si>
  <si>
    <t>APOLLO GLOBAL MA</t>
  </si>
  <si>
    <t>APO US</t>
  </si>
  <si>
    <t>Financial Services</t>
  </si>
  <si>
    <t>Diversified Financial Services</t>
  </si>
  <si>
    <t>ARZGF US Equity</t>
  </si>
  <si>
    <t>GENERALI</t>
  </si>
  <si>
    <t>ARZGF US</t>
  </si>
  <si>
    <t>ARZGY US Equity</t>
  </si>
  <si>
    <t>ASSICURAZI-ADR</t>
  </si>
  <si>
    <t>ARZGY US</t>
  </si>
  <si>
    <t>ASML US Equity</t>
  </si>
  <si>
    <t>ASML HOLDING-NY</t>
  </si>
  <si>
    <t>ASML US</t>
  </si>
  <si>
    <t>ASMLF US Equity</t>
  </si>
  <si>
    <t>ASML HOLDING NV</t>
  </si>
  <si>
    <t>ASMLF US</t>
  </si>
  <si>
    <t>ASUTZ US Equity</t>
  </si>
  <si>
    <t>ASUSTEK COMP-GDR</t>
  </si>
  <si>
    <t>ASUTZ US</t>
  </si>
  <si>
    <t>ASX US Equity</t>
  </si>
  <si>
    <t>ASE TECHN-ADR</t>
  </si>
  <si>
    <t>ASX US</t>
  </si>
  <si>
    <t>ATVI US Equity</t>
  </si>
  <si>
    <t>ACTIVISION BLIZZ</t>
  </si>
  <si>
    <t>ATVI US</t>
  </si>
  <si>
    <t>Communication Services</t>
  </si>
  <si>
    <t>Entertainment</t>
  </si>
  <si>
    <t>Interactive Home Entertainment</t>
  </si>
  <si>
    <t>AVGO US Equity</t>
  </si>
  <si>
    <t>BROADCOM INC</t>
  </si>
  <si>
    <t>AVGO US</t>
  </si>
  <si>
    <t>AXAHF US Equity</t>
  </si>
  <si>
    <t>AXA</t>
  </si>
  <si>
    <t>AXAHF US</t>
  </si>
  <si>
    <t>AXAHY US Equity</t>
  </si>
  <si>
    <t>AXA -ADR</t>
  </si>
  <si>
    <t>AXAHY US</t>
  </si>
  <si>
    <t>AXBKY US Equity</t>
  </si>
  <si>
    <t>AXIS BANK- GDR</t>
  </si>
  <si>
    <t>AXBKY US</t>
  </si>
  <si>
    <t>AXP US Equity</t>
  </si>
  <si>
    <t>AMERICAN EXPRESS</t>
  </si>
  <si>
    <t>AXP US</t>
  </si>
  <si>
    <t>AZO US Equity</t>
  </si>
  <si>
    <t>AUTOZONE INC</t>
  </si>
  <si>
    <t>AZO US</t>
  </si>
  <si>
    <t>Specialty Retail</t>
  </si>
  <si>
    <t>Automotive Retail</t>
  </si>
  <si>
    <t>BA US Equity</t>
  </si>
  <si>
    <t>BOEING CO/THE</t>
  </si>
  <si>
    <t>BA US</t>
  </si>
  <si>
    <t>Aerospace &amp; Defense</t>
  </si>
  <si>
    <t>BABA US Equity</t>
  </si>
  <si>
    <t>ALIBABA GRP-ADR</t>
  </si>
  <si>
    <t>BABA US</t>
  </si>
  <si>
    <t>BABAF US Equity</t>
  </si>
  <si>
    <t>BABA-W</t>
  </si>
  <si>
    <t>BABAF US</t>
  </si>
  <si>
    <t>BAC US Equity</t>
  </si>
  <si>
    <t>BANK OF AMERICA</t>
  </si>
  <si>
    <t>BAC US</t>
  </si>
  <si>
    <t>BACHF US Equity</t>
  </si>
  <si>
    <t>BANK OF CHINA-H</t>
  </si>
  <si>
    <t>BACHF US</t>
  </si>
  <si>
    <t>BACHY US Equity</t>
  </si>
  <si>
    <t>BANK OF CHIN-ADR</t>
  </si>
  <si>
    <t>BACHY US</t>
  </si>
  <si>
    <t>BAESF US Equity</t>
  </si>
  <si>
    <t>BAE SYSTEMS PLC</t>
  </si>
  <si>
    <t>BAESF US</t>
  </si>
  <si>
    <t>BAESY US Equity</t>
  </si>
  <si>
    <t>BAE SYSTEMS -ADR</t>
  </si>
  <si>
    <t>BAESY US</t>
  </si>
  <si>
    <t>BAIDF US Equity</t>
  </si>
  <si>
    <t>BIDU-SW</t>
  </si>
  <si>
    <t>BAIDF US</t>
  </si>
  <si>
    <t>Interactive Media &amp; Services</t>
  </si>
  <si>
    <t>BAMXF US Equity</t>
  </si>
  <si>
    <t>BMW AG</t>
  </si>
  <si>
    <t>BAMXF US</t>
  </si>
  <si>
    <t>Automobiles</t>
  </si>
  <si>
    <t>Automobile Manufacturers</t>
  </si>
  <si>
    <t>BASFY US Equity</t>
  </si>
  <si>
    <t>BASF SE-ADR</t>
  </si>
  <si>
    <t>BASFY US</t>
  </si>
  <si>
    <t>Diversified Chemicals</t>
  </si>
  <si>
    <t>BAX US Equity</t>
  </si>
  <si>
    <t>BAXTER INTL INC</t>
  </si>
  <si>
    <t>BAX US</t>
  </si>
  <si>
    <t>BAYRY US Equity</t>
  </si>
  <si>
    <t>BAYER AG-ADR</t>
  </si>
  <si>
    <t>BAYRY US</t>
  </si>
  <si>
    <t>BAYZF US Equity</t>
  </si>
  <si>
    <t>BAYER AG-REG</t>
  </si>
  <si>
    <t>BAYZF US</t>
  </si>
  <si>
    <t>BBD US Equity</t>
  </si>
  <si>
    <t>BRADESCO-ADR</t>
  </si>
  <si>
    <t>BBD US</t>
  </si>
  <si>
    <t>BBDO US Equity</t>
  </si>
  <si>
    <t>BBDO US</t>
  </si>
  <si>
    <t>BBVA US Equity</t>
  </si>
  <si>
    <t>BANCO BILBAO-ADR</t>
  </si>
  <si>
    <t>BBVA US</t>
  </si>
  <si>
    <t>BBVXF US Equity</t>
  </si>
  <si>
    <t>BBVA</t>
  </si>
  <si>
    <t>BBVXF US</t>
  </si>
  <si>
    <t>BBY US Equity</t>
  </si>
  <si>
    <t>BEST BUY CO INC</t>
  </si>
  <si>
    <t>BBY US</t>
  </si>
  <si>
    <t>Computer &amp; Electronics Retail</t>
  </si>
  <si>
    <t>BCDRF US Equity</t>
  </si>
  <si>
    <t>BANCO SANTANDER</t>
  </si>
  <si>
    <t>BCDRF US</t>
  </si>
  <si>
    <t>BCE US Equity</t>
  </si>
  <si>
    <t>BCE INC</t>
  </si>
  <si>
    <t>BCE US</t>
  </si>
  <si>
    <t>Diversified Telecommunication Services</t>
  </si>
  <si>
    <t>Integrated Telecommunication Services</t>
  </si>
  <si>
    <t>BCLYF US Equity</t>
  </si>
  <si>
    <t>BARCLAYS PLC</t>
  </si>
  <si>
    <t>BCLYF US</t>
  </si>
  <si>
    <t>BCS US Equity</t>
  </si>
  <si>
    <t>BARCLAYS PLC-ADR</t>
  </si>
  <si>
    <t>BCS US</t>
  </si>
  <si>
    <t>BDORY US Equity</t>
  </si>
  <si>
    <t>BANCO DO BRA-ADR</t>
  </si>
  <si>
    <t>BDORY US</t>
  </si>
  <si>
    <t>BDX US Equity</t>
  </si>
  <si>
    <t>BECTON DICKINSON</t>
  </si>
  <si>
    <t>BDX US</t>
  </si>
  <si>
    <t>BFFAF US Equity</t>
  </si>
  <si>
    <t>BASF SE</t>
  </si>
  <si>
    <t>BFFAF US</t>
  </si>
  <si>
    <t>BHF US Equity</t>
  </si>
  <si>
    <t>BRIGHTHOUSE FINA</t>
  </si>
  <si>
    <t>BHF US</t>
  </si>
  <si>
    <t>BHP US Equity</t>
  </si>
  <si>
    <t>BHP GROUP-ADR</t>
  </si>
  <si>
    <t>BHP US</t>
  </si>
  <si>
    <t>BHPLF US Equity</t>
  </si>
  <si>
    <t>BHP GROUP LTD</t>
  </si>
  <si>
    <t>BHPLF US</t>
  </si>
  <si>
    <t>BIDU US Equity</t>
  </si>
  <si>
    <t>BAIDU INC-SP ADR</t>
  </si>
  <si>
    <t>BIDU US</t>
  </si>
  <si>
    <t>BIIB US Equity</t>
  </si>
  <si>
    <t>BIOGEN INC</t>
  </si>
  <si>
    <t>BIIB US</t>
  </si>
  <si>
    <t>BK US Equity</t>
  </si>
  <si>
    <t>BANK NY MELLON</t>
  </si>
  <si>
    <t>BK US</t>
  </si>
  <si>
    <t>BKHPF US Equity</t>
  </si>
  <si>
    <t>BANK HAPOALIM</t>
  </si>
  <si>
    <t>BKHPF US</t>
  </si>
  <si>
    <t>BKHYY US Equity</t>
  </si>
  <si>
    <t>BANK HAPOALI-ADR</t>
  </si>
  <si>
    <t>BKHYY US</t>
  </si>
  <si>
    <t>BKNG US Equity</t>
  </si>
  <si>
    <t>BOOKING HOLDINGS</t>
  </si>
  <si>
    <t>BKNG US</t>
  </si>
  <si>
    <t>BKR US Equity</t>
  </si>
  <si>
    <t>BAKER HUGHES CO</t>
  </si>
  <si>
    <t>BKR US</t>
  </si>
  <si>
    <t>Energy</t>
  </si>
  <si>
    <t>Energy Equipment &amp; Services</t>
  </si>
  <si>
    <t>Oil &amp; Gas Equipment &amp; Services</t>
  </si>
  <si>
    <t>BKRIF US Equity</t>
  </si>
  <si>
    <t>BANK OF IRELAND</t>
  </si>
  <si>
    <t>BKRIF US</t>
  </si>
  <si>
    <t>BKRIY US Equity</t>
  </si>
  <si>
    <t>BANK OF IREL-ADR</t>
  </si>
  <si>
    <t>BKRIY US</t>
  </si>
  <si>
    <t>BMO US Equity</t>
  </si>
  <si>
    <t>BANK OF MONTREAL</t>
  </si>
  <si>
    <t>BMO US</t>
  </si>
  <si>
    <t>BMWYY US Equity</t>
  </si>
  <si>
    <t>BAYERISCHE-ADR</t>
  </si>
  <si>
    <t>BMWYY US</t>
  </si>
  <si>
    <t>BMY US Equity</t>
  </si>
  <si>
    <t>BRISTOL-MYER SQB</t>
  </si>
  <si>
    <t>BMY US</t>
  </si>
  <si>
    <t>BN US Equity</t>
  </si>
  <si>
    <t>BROOKFIELD CORP</t>
  </si>
  <si>
    <t>BN US</t>
  </si>
  <si>
    <t>BNDSF US Equity</t>
  </si>
  <si>
    <t>BANCO SABADELL</t>
  </si>
  <si>
    <t>BNDSF US</t>
  </si>
  <si>
    <t>BNDSY US Equity</t>
  </si>
  <si>
    <t>BANCO DE SAB-ADR</t>
  </si>
  <si>
    <t>BNDSY US</t>
  </si>
  <si>
    <t>BNPQF US Equity</t>
  </si>
  <si>
    <t>BNP PARIBAS</t>
  </si>
  <si>
    <t>BNPQF US</t>
  </si>
  <si>
    <t>BNPQY US Equity</t>
  </si>
  <si>
    <t>BNP PARIBAS-ADR</t>
  </si>
  <si>
    <t>BNPQY US</t>
  </si>
  <si>
    <t>BNPZY US Equity</t>
  </si>
  <si>
    <t>BNP PARIBAS-144A</t>
  </si>
  <si>
    <t>BNPZY US</t>
  </si>
  <si>
    <t>BNS US Equity</t>
  </si>
  <si>
    <t>BANK OF NOVA SCO</t>
  </si>
  <si>
    <t>BNS US</t>
  </si>
  <si>
    <t>BNTX US Equity</t>
  </si>
  <si>
    <t>BIONTECH SE-ADR</t>
  </si>
  <si>
    <t>BNTX US</t>
  </si>
  <si>
    <t>BOUYF US Equity</t>
  </si>
  <si>
    <t>BOUYGUES SA</t>
  </si>
  <si>
    <t>BOUYF US</t>
  </si>
  <si>
    <t>BOUYY US Equity</t>
  </si>
  <si>
    <t>BOUYGUES-UNS ADR</t>
  </si>
  <si>
    <t>BOUYY US</t>
  </si>
  <si>
    <t>BP US Equity</t>
  </si>
  <si>
    <t>BP PLC-ADR</t>
  </si>
  <si>
    <t>BP US</t>
  </si>
  <si>
    <t>Oil, Gas &amp; Consumable Fuels</t>
  </si>
  <si>
    <t>Integrated Oil &amp; Gas</t>
  </si>
  <si>
    <t>BPAQF US Equity</t>
  </si>
  <si>
    <t>BP PLC</t>
  </si>
  <si>
    <t>BPAQF US</t>
  </si>
  <si>
    <t>BRDCF US Equity</t>
  </si>
  <si>
    <t>BRIDGESTONE CORP</t>
  </si>
  <si>
    <t>BRDCF US</t>
  </si>
  <si>
    <t>Automobile Components</t>
  </si>
  <si>
    <t>Tires &amp; Rubber</t>
  </si>
  <si>
    <t>BRDCY US Equity</t>
  </si>
  <si>
    <t>BRIDGESTONE-ADR</t>
  </si>
  <si>
    <t>BRDCY US</t>
  </si>
  <si>
    <t>BRK/A US Equity</t>
  </si>
  <si>
    <t>BERKSHIRE HATH-A</t>
  </si>
  <si>
    <t>BRK/A US</t>
  </si>
  <si>
    <t>Multi-Sector Holdings</t>
  </si>
  <si>
    <t>BRK/B US Equity</t>
  </si>
  <si>
    <t>BERKSHIRE HATH-B</t>
  </si>
  <si>
    <t>BRK/B US</t>
  </si>
  <si>
    <t>BSQKZ US Equity</t>
  </si>
  <si>
    <t>BLOCK INC - CDI</t>
  </si>
  <si>
    <t>BSQKZ US</t>
  </si>
  <si>
    <t>Transaction &amp; Payment Processing Services</t>
  </si>
  <si>
    <t>BSX US Equity</t>
  </si>
  <si>
    <t>BOSTON SCIENTIFC</t>
  </si>
  <si>
    <t>BSX US</t>
  </si>
  <si>
    <t>BX US Equity</t>
  </si>
  <si>
    <t>BLACKSTONE INC</t>
  </si>
  <si>
    <t>BX US</t>
  </si>
  <si>
    <t>BYDDF US Equity</t>
  </si>
  <si>
    <t>BYD COMPANY</t>
  </si>
  <si>
    <t>BYDDF US</t>
  </si>
  <si>
    <t>BYDDY US Equity</t>
  </si>
  <si>
    <t>BYD CO-UNSP ADR</t>
  </si>
  <si>
    <t>BYDDY US</t>
  </si>
  <si>
    <t>BYMOF US Equity</t>
  </si>
  <si>
    <t>BMW AG - PRF</t>
  </si>
  <si>
    <t>BYMOF US</t>
  </si>
  <si>
    <t>C US Equity</t>
  </si>
  <si>
    <t>CITIGROUP INC</t>
  </si>
  <si>
    <t>C US</t>
  </si>
  <si>
    <t>CAH US Equity</t>
  </si>
  <si>
    <t>CARDINAL HEALTH</t>
  </si>
  <si>
    <t>CAH US</t>
  </si>
  <si>
    <t>Health Care Providers &amp; Services</t>
  </si>
  <si>
    <t>Health Care Distributors</t>
  </si>
  <si>
    <t>CAIXY US Equity</t>
  </si>
  <si>
    <t>CAIXABANK-ADR</t>
  </si>
  <si>
    <t>CAIXY US</t>
  </si>
  <si>
    <t>CAJFF US Equity</t>
  </si>
  <si>
    <t>CANON INC</t>
  </si>
  <si>
    <t>CAJFF US</t>
  </si>
  <si>
    <t>CAJPY US Equity</t>
  </si>
  <si>
    <t>CANON INC-ADR</t>
  </si>
  <si>
    <t>CAJPY US</t>
  </si>
  <si>
    <t>CAOVF US Equity</t>
  </si>
  <si>
    <t>CHINA OVERSEAS</t>
  </si>
  <si>
    <t>CAOVF US</t>
  </si>
  <si>
    <t>Real Estate Management &amp; Development</t>
  </si>
  <si>
    <t>Real Estate Development</t>
  </si>
  <si>
    <t>CAOVY US Equity</t>
  </si>
  <si>
    <t>CHINA OVER-ADR</t>
  </si>
  <si>
    <t>CAOVY US</t>
  </si>
  <si>
    <t>CAPMF US Equity</t>
  </si>
  <si>
    <t>CAPGEMINI SE</t>
  </si>
  <si>
    <t>CAPMF US</t>
  </si>
  <si>
    <t>CARR US Equity</t>
  </si>
  <si>
    <t>CARRIER GLOB</t>
  </si>
  <si>
    <t>CARR US</t>
  </si>
  <si>
    <t>Building Products</t>
  </si>
  <si>
    <t>CAT US Equity</t>
  </si>
  <si>
    <t>CATERPILLAR INC</t>
  </si>
  <si>
    <t>CAT US</t>
  </si>
  <si>
    <t>Machinery</t>
  </si>
  <si>
    <t>Construction Machinery &amp; Heavy Transportation Equipment</t>
  </si>
  <si>
    <t>CB US Equity</t>
  </si>
  <si>
    <t>CHUBB LTD</t>
  </si>
  <si>
    <t>CB US</t>
  </si>
  <si>
    <t>CBAUF US Equity</t>
  </si>
  <si>
    <t>COMMONW BK AUSTR</t>
  </si>
  <si>
    <t>CBAUF US</t>
  </si>
  <si>
    <t>CBRE US Equity</t>
  </si>
  <si>
    <t>CBRE GROUP INC-A</t>
  </si>
  <si>
    <t>CBRE US</t>
  </si>
  <si>
    <t>Real Estate Services</t>
  </si>
  <si>
    <t>CBUMF US Equity</t>
  </si>
  <si>
    <t>CHINA NATL BDG-H</t>
  </si>
  <si>
    <t>CBUMF US</t>
  </si>
  <si>
    <t>CBUMY US Equity</t>
  </si>
  <si>
    <t>CHINA NATL-ADR</t>
  </si>
  <si>
    <t>CBUMY US</t>
  </si>
  <si>
    <t>CCEP US Equity</t>
  </si>
  <si>
    <t>COCA-COLA EUROPA</t>
  </si>
  <si>
    <t>CCEP US</t>
  </si>
  <si>
    <t>Soft Drinks &amp; Non-alcoholic Beverages</t>
  </si>
  <si>
    <t>CCI US Equity</t>
  </si>
  <si>
    <t>CROWN CASTLE INC</t>
  </si>
  <si>
    <t>CCI US</t>
  </si>
  <si>
    <t>CCOZF US Equity</t>
  </si>
  <si>
    <t>CHINA COAL ENE-H</t>
  </si>
  <si>
    <t>CCOZF US</t>
  </si>
  <si>
    <t>Coal &amp; Consumable Fuels</t>
  </si>
  <si>
    <t>CCOZY US Equity</t>
  </si>
  <si>
    <t>CHINA COAL E-ADR</t>
  </si>
  <si>
    <t>CCOZY US</t>
  </si>
  <si>
    <t>CDW US Equity</t>
  </si>
  <si>
    <t>CDW CORP/DE</t>
  </si>
  <si>
    <t>CDW US</t>
  </si>
  <si>
    <t>Technology Distributors</t>
  </si>
  <si>
    <t>CEG US Equity</t>
  </si>
  <si>
    <t>CONSTELLATION EN</t>
  </si>
  <si>
    <t>CEG US</t>
  </si>
  <si>
    <t>CELG-R US Equity</t>
  </si>
  <si>
    <t>BMY- CELGENE-CVR</t>
  </si>
  <si>
    <t>CELG-R US</t>
  </si>
  <si>
    <t>CFG US Equity</t>
  </si>
  <si>
    <t>CITIZENS FINANCI</t>
  </si>
  <si>
    <t>CFG US</t>
  </si>
  <si>
    <t>Regional Banks</t>
  </si>
  <si>
    <t>CFRHF US Equity</t>
  </si>
  <si>
    <t>CIE FINANCI-REG</t>
  </si>
  <si>
    <t>CFRHF US</t>
  </si>
  <si>
    <t>CFRUY US Equity</t>
  </si>
  <si>
    <t>CIE FINANCI-ADR</t>
  </si>
  <si>
    <t>CFRUY US</t>
  </si>
  <si>
    <t>CGEMY US Equity</t>
  </si>
  <si>
    <t>CAPGEMINI - ADR</t>
  </si>
  <si>
    <t>CGEMY US</t>
  </si>
  <si>
    <t>CGXYY US Equity</t>
  </si>
  <si>
    <t>CHINA GALAXY-ADR</t>
  </si>
  <si>
    <t>CGXYY US</t>
  </si>
  <si>
    <t>Investment Banking &amp; Brokerage</t>
  </si>
  <si>
    <t>CHBJF US Equity</t>
  </si>
  <si>
    <t>CITIC BANK-H</t>
  </si>
  <si>
    <t>CHBJF US</t>
  </si>
  <si>
    <t>CHCJY US Equity</t>
  </si>
  <si>
    <t>CHINA CITIC-ADR</t>
  </si>
  <si>
    <t>CHCJY US</t>
  </si>
  <si>
    <t>CHKIF US Equity</t>
  </si>
  <si>
    <t>CHINA SOUTHERN-H</t>
  </si>
  <si>
    <t>CHKIF US</t>
  </si>
  <si>
    <t>CHTR US Equity</t>
  </si>
  <si>
    <t>CHARTER COMMUN-A</t>
  </si>
  <si>
    <t>CHTR US</t>
  </si>
  <si>
    <t>Media</t>
  </si>
  <si>
    <t>Cable &amp; Satellite</t>
  </si>
  <si>
    <t>CHVKY US Equity</t>
  </si>
  <si>
    <t>CHINA VANKE-UNSP</t>
  </si>
  <si>
    <t>CHVKY US</t>
  </si>
  <si>
    <t>CI US Equity</t>
  </si>
  <si>
    <t>THE CIGNA GROUP</t>
  </si>
  <si>
    <t>CI US</t>
  </si>
  <si>
    <t>Health Care Services</t>
  </si>
  <si>
    <t>CICOF US Equity</t>
  </si>
  <si>
    <t>COSCO SHIP HOL-H</t>
  </si>
  <si>
    <t>CICOF US</t>
  </si>
  <si>
    <t>CICOY US Equity</t>
  </si>
  <si>
    <t>CHINA COSCO-ADR</t>
  </si>
  <si>
    <t>CICOY US</t>
  </si>
  <si>
    <t>CINSF US Equity</t>
  </si>
  <si>
    <t>CHINA TAIPING IN</t>
  </si>
  <si>
    <t>CINSF US</t>
  </si>
  <si>
    <t>CIXPF US Equity</t>
  </si>
  <si>
    <t>CAIXABANK SA</t>
  </si>
  <si>
    <t>CIXPF US</t>
  </si>
  <si>
    <t>CJNHF US Equity</t>
  </si>
  <si>
    <t>CHINA JINMAO HOL</t>
  </si>
  <si>
    <t>CJNHF US</t>
  </si>
  <si>
    <t>CJPRF US Equity</t>
  </si>
  <si>
    <t>CENTRAL JAPAN RL</t>
  </si>
  <si>
    <t>CJPRF US</t>
  </si>
  <si>
    <t>Ground Transportation</t>
  </si>
  <si>
    <t>Rail Transportation</t>
  </si>
  <si>
    <t>CJPRY US Equity</t>
  </si>
  <si>
    <t>CENTRAL JAPA-ADR</t>
  </si>
  <si>
    <t>CJPRY US</t>
  </si>
  <si>
    <t>CL US Equity</t>
  </si>
  <si>
    <t>COLGATE-PALMOLIV</t>
  </si>
  <si>
    <t>CL US</t>
  </si>
  <si>
    <t>Household Products</t>
  </si>
  <si>
    <t>CM US Equity</t>
  </si>
  <si>
    <t>CAN IMPL BK COMM</t>
  </si>
  <si>
    <t>CM US</t>
  </si>
  <si>
    <t>CMCSA US Equity</t>
  </si>
  <si>
    <t>COMCAST CORP-A</t>
  </si>
  <si>
    <t>CMCSA US</t>
  </si>
  <si>
    <t>CME US Equity</t>
  </si>
  <si>
    <t>CME GROUP INC</t>
  </si>
  <si>
    <t>CME US</t>
  </si>
  <si>
    <t>Financial Exchanges &amp; Data</t>
  </si>
  <si>
    <t>CMI US Equity</t>
  </si>
  <si>
    <t>CUMMINS INC</t>
  </si>
  <si>
    <t>CMI US</t>
  </si>
  <si>
    <t>CMTDF US Equity</t>
  </si>
  <si>
    <t>SUMITOMO MITSUI</t>
  </si>
  <si>
    <t>CMTDF US</t>
  </si>
  <si>
    <t>CMWAY US Equity</t>
  </si>
  <si>
    <t>COMMONW BK-ADR</t>
  </si>
  <si>
    <t>CMWAY US</t>
  </si>
  <si>
    <t>CMXHF US Equity</t>
  </si>
  <si>
    <t>CSL LTD</t>
  </si>
  <si>
    <t>CMXHF US</t>
  </si>
  <si>
    <t>CNC US Equity</t>
  </si>
  <si>
    <t>CENTENE CORP</t>
  </si>
  <si>
    <t>CNC US</t>
  </si>
  <si>
    <t>Managed Health Care</t>
  </si>
  <si>
    <t>CNH US Equity</t>
  </si>
  <si>
    <t>CNH INDUSTRIAL N</t>
  </si>
  <si>
    <t>CNH US</t>
  </si>
  <si>
    <t>Agricultural &amp; Farm Machinery</t>
  </si>
  <si>
    <t>CNI US Equity</t>
  </si>
  <si>
    <t>CAN NATL RAILWAY</t>
  </si>
  <si>
    <t>CNI US</t>
  </si>
  <si>
    <t>CNP US Equity</t>
  </si>
  <si>
    <t>CENTERPOINT ENER</t>
  </si>
  <si>
    <t>CNP US</t>
  </si>
  <si>
    <t>CNQ US Equity</t>
  </si>
  <si>
    <t>CAN NATURAL RES</t>
  </si>
  <si>
    <t>CNQ US</t>
  </si>
  <si>
    <t>Oil &amp; Gas Exploration &amp; Production</t>
  </si>
  <si>
    <t>CODGF US Equity</t>
  </si>
  <si>
    <t>SAINT GOBAIN</t>
  </si>
  <si>
    <t>CODGF US</t>
  </si>
  <si>
    <t>CODYY US Equity</t>
  </si>
  <si>
    <t>COMPAGNIE DE-ADR</t>
  </si>
  <si>
    <t>CODYY US</t>
  </si>
  <si>
    <t>COF US Equity</t>
  </si>
  <si>
    <t>CAPITAL ONE FINA</t>
  </si>
  <si>
    <t>COF US</t>
  </si>
  <si>
    <t>COP US Equity</t>
  </si>
  <si>
    <t>CONOCOPHILLIPS</t>
  </si>
  <si>
    <t>COP US</t>
  </si>
  <si>
    <t>COR US Equity</t>
  </si>
  <si>
    <t>CENCORA INC</t>
  </si>
  <si>
    <t>COR US</t>
  </si>
  <si>
    <t>COST US Equity</t>
  </si>
  <si>
    <t>COSTCO WHOLESALE</t>
  </si>
  <si>
    <t>COST US</t>
  </si>
  <si>
    <t>CP US Equity</t>
  </si>
  <si>
    <t>CANADIAN PACIFIC</t>
  </si>
  <si>
    <t>CP US</t>
  </si>
  <si>
    <t>CPPCY US Equity</t>
  </si>
  <si>
    <t>CP ALL PCL-ADR</t>
  </si>
  <si>
    <t>CPPCY US</t>
  </si>
  <si>
    <t>CRARF US Equity</t>
  </si>
  <si>
    <t>CREDIT AGRICOLE</t>
  </si>
  <si>
    <t>CRARF US</t>
  </si>
  <si>
    <t>CRARY US Equity</t>
  </si>
  <si>
    <t>CREDIT AGRI-ADR</t>
  </si>
  <si>
    <t>CRARY US</t>
  </si>
  <si>
    <t>CRBJF US Equity</t>
  </si>
  <si>
    <t>CHINA RES LAND</t>
  </si>
  <si>
    <t>CRBJF US</t>
  </si>
  <si>
    <t>CRBJY US Equity</t>
  </si>
  <si>
    <t>CHINA RESOU-ADR</t>
  </si>
  <si>
    <t>CRBJY US</t>
  </si>
  <si>
    <t>CRCBY US Equity</t>
  </si>
  <si>
    <t>CHONGQUING RURAL</t>
  </si>
  <si>
    <t>CRCBY US</t>
  </si>
  <si>
    <t>CRERF US Equity</t>
  </si>
  <si>
    <t>CARREFOUR SA</t>
  </si>
  <si>
    <t>CRERF US</t>
  </si>
  <si>
    <t>CRH US Equity</t>
  </si>
  <si>
    <t>CRH PLC</t>
  </si>
  <si>
    <t>CRH US</t>
  </si>
  <si>
    <t>CRM US Equity</t>
  </si>
  <si>
    <t>SALESFORCE INC</t>
  </si>
  <si>
    <t>CRM US</t>
  </si>
  <si>
    <t>CRRFY US Equity</t>
  </si>
  <si>
    <t>CARREFOUR SA-ADR</t>
  </si>
  <si>
    <t>CRRFY US</t>
  </si>
  <si>
    <t>CRZBF US Equity</t>
  </si>
  <si>
    <t>COMMERZBANK</t>
  </si>
  <si>
    <t>CRZBF US</t>
  </si>
  <si>
    <t>CRZBY US Equity</t>
  </si>
  <si>
    <t>COMMERZBANK-ADR</t>
  </si>
  <si>
    <t>CRZBY US</t>
  </si>
  <si>
    <t>CS US Equity</t>
  </si>
  <si>
    <t>CREDIT SUISS-ADR</t>
  </si>
  <si>
    <t>CS US</t>
  </si>
  <si>
    <t>Diversified Capital Markets</t>
  </si>
  <si>
    <t>CSCO US Equity</t>
  </si>
  <si>
    <t>CISCO SYSTEMS</t>
  </si>
  <si>
    <t>CSCO US</t>
  </si>
  <si>
    <t>Communications Equipment</t>
  </si>
  <si>
    <t>CSGKF US Equity</t>
  </si>
  <si>
    <t>CREDIT SUISS-REG</t>
  </si>
  <si>
    <t>CSGKF US</t>
  </si>
  <si>
    <t>CSLLY US Equity</t>
  </si>
  <si>
    <t>CSL LTD-SPON ADR</t>
  </si>
  <si>
    <t>CSLLY US</t>
  </si>
  <si>
    <t>CSUAY US Equity</t>
  </si>
  <si>
    <t>CHINA SHENH-ADR</t>
  </si>
  <si>
    <t>CSUAY US</t>
  </si>
  <si>
    <t>CSX US Equity</t>
  </si>
  <si>
    <t>CSX CORP</t>
  </si>
  <si>
    <t>CSX US</t>
  </si>
  <si>
    <t>CTIHY US Equity</t>
  </si>
  <si>
    <t>CHINA TAI-UN ADR</t>
  </si>
  <si>
    <t>CTIHY US</t>
  </si>
  <si>
    <t>CTOWY US Equity</t>
  </si>
  <si>
    <t>CHINA-UNSP ADR</t>
  </si>
  <si>
    <t>CTOWY US</t>
  </si>
  <si>
    <t>CTRYF US Equity</t>
  </si>
  <si>
    <t>COUNTRY GARDEN</t>
  </si>
  <si>
    <t>CTRYF US</t>
  </si>
  <si>
    <t>CTRYY US Equity</t>
  </si>
  <si>
    <t>CTRYY US</t>
  </si>
  <si>
    <t>CTSH US Equity</t>
  </si>
  <si>
    <t>COGNIZANT TECH-A</t>
  </si>
  <si>
    <t>CTSH US</t>
  </si>
  <si>
    <t>CTTAF US Equity</t>
  </si>
  <si>
    <t>CONTINENTAL AG</t>
  </si>
  <si>
    <t>CTTAF US</t>
  </si>
  <si>
    <t>Automotive Parts &amp; Equipment</t>
  </si>
  <si>
    <t>CTTAY US Equity</t>
  </si>
  <si>
    <t>CONTL AG-ADR</t>
  </si>
  <si>
    <t>CTTAY US</t>
  </si>
  <si>
    <t>CTVA US Equity</t>
  </si>
  <si>
    <t>CORTEVA INC</t>
  </si>
  <si>
    <t>CTVA US</t>
  </si>
  <si>
    <t>Fertilizers &amp; Agricultural Chemicals</t>
  </si>
  <si>
    <t>CUAEF US Equity</t>
  </si>
  <si>
    <t>CHINA SHENHUA-H</t>
  </si>
  <si>
    <t>CUAEF US</t>
  </si>
  <si>
    <t>CVE US Equity</t>
  </si>
  <si>
    <t>CENOVUS ENERGY</t>
  </si>
  <si>
    <t>CVE US</t>
  </si>
  <si>
    <t>CVPBF US Equity</t>
  </si>
  <si>
    <t>CP ALL PCL-F</t>
  </si>
  <si>
    <t>CVPBF US</t>
  </si>
  <si>
    <t>CVPUF US Equity</t>
  </si>
  <si>
    <t>CP ALL PCL-NVDR</t>
  </si>
  <si>
    <t>CVPUF US</t>
  </si>
  <si>
    <t>CVS US Equity</t>
  </si>
  <si>
    <t>CVS HEALTH CORP</t>
  </si>
  <si>
    <t>CVS US</t>
  </si>
  <si>
    <t>CVX US Equity</t>
  </si>
  <si>
    <t>CHEVRON CORP</t>
  </si>
  <si>
    <t>CVX US</t>
  </si>
  <si>
    <t>D US Equity</t>
  </si>
  <si>
    <t>DOMINION ENERGY</t>
  </si>
  <si>
    <t>D US</t>
  </si>
  <si>
    <t>DAL US Equity</t>
  </si>
  <si>
    <t>DELTA AIR LI</t>
  </si>
  <si>
    <t>DAL US</t>
  </si>
  <si>
    <t>DANOY US Equity</t>
  </si>
  <si>
    <t>DANONE-ADR</t>
  </si>
  <si>
    <t>DANOY US</t>
  </si>
  <si>
    <t>Packaged Foods &amp; Meats</t>
  </si>
  <si>
    <t>DB US Equity</t>
  </si>
  <si>
    <t>DEUTSCHE BANK-RG</t>
  </si>
  <si>
    <t>DB US</t>
  </si>
  <si>
    <t>DBOEF US Equity</t>
  </si>
  <si>
    <t>DEUTSCHE BOERSE</t>
  </si>
  <si>
    <t>DBOEF US</t>
  </si>
  <si>
    <t>DBOEY US Equity</t>
  </si>
  <si>
    <t>DEUTSCHE BOE-ADR</t>
  </si>
  <si>
    <t>DBOEY US</t>
  </si>
  <si>
    <t>DBSDF US Equity</t>
  </si>
  <si>
    <t>DBS GROUP HLDGS</t>
  </si>
  <si>
    <t>DBSDF US</t>
  </si>
  <si>
    <t>DBSDY US Equity</t>
  </si>
  <si>
    <t>DBS GROUP HO-ADR</t>
  </si>
  <si>
    <t>DBSDY US</t>
  </si>
  <si>
    <t>DCNSF US Equity</t>
  </si>
  <si>
    <t>DAI-ICHI LIFE HO</t>
  </si>
  <si>
    <t>DCNSF US</t>
  </si>
  <si>
    <t>DD US Equity</t>
  </si>
  <si>
    <t>DUPONT DE NEMOUR</t>
  </si>
  <si>
    <t>DD US</t>
  </si>
  <si>
    <t>Specialty Chemicals</t>
  </si>
  <si>
    <t>DE US Equity</t>
  </si>
  <si>
    <t>DEERE &amp; CO</t>
  </si>
  <si>
    <t>DE US</t>
  </si>
  <si>
    <t>DELL US Equity</t>
  </si>
  <si>
    <t>DELL TECHN-C</t>
  </si>
  <si>
    <t>DELL US</t>
  </si>
  <si>
    <t>DFS US Equity</t>
  </si>
  <si>
    <t>DISCOVER FINANCI</t>
  </si>
  <si>
    <t>DFS US</t>
  </si>
  <si>
    <t>DG US Equity</t>
  </si>
  <si>
    <t>DOLLAR GENERAL C</t>
  </si>
  <si>
    <t>DG US</t>
  </si>
  <si>
    <t>DHI US Equity</t>
  </si>
  <si>
    <t>DR HORTON INC</t>
  </si>
  <si>
    <t>DHI US</t>
  </si>
  <si>
    <t>Household Durables</t>
  </si>
  <si>
    <t>Homebuilding</t>
  </si>
  <si>
    <t>DHLGY US Equity</t>
  </si>
  <si>
    <t>DHL GROUP-ADR</t>
  </si>
  <si>
    <t>DHLGY US</t>
  </si>
  <si>
    <t>Air Freight &amp; Logistics</t>
  </si>
  <si>
    <t>DHR US Equity</t>
  </si>
  <si>
    <t>DANAHER CORP</t>
  </si>
  <si>
    <t>DHR US</t>
  </si>
  <si>
    <t>Life Sciences Tools &amp; Services</t>
  </si>
  <si>
    <t>DIDIY US Equity</t>
  </si>
  <si>
    <t>DIDI GLOBAL INC</t>
  </si>
  <si>
    <t>DIDIY US</t>
  </si>
  <si>
    <t>Passenger Ground Transportation</t>
  </si>
  <si>
    <t>DIS US Equity</t>
  </si>
  <si>
    <t>WALT DISNEY CO/T</t>
  </si>
  <si>
    <t>DIS US</t>
  </si>
  <si>
    <t>Movies &amp; Entertainment</t>
  </si>
  <si>
    <t>DKILF US Equity</t>
  </si>
  <si>
    <t>DAIKIN INDS</t>
  </si>
  <si>
    <t>DKILF US</t>
  </si>
  <si>
    <t>DKILY US Equity</t>
  </si>
  <si>
    <t>DAIKIN INDUS-ADR</t>
  </si>
  <si>
    <t>DKILY US</t>
  </si>
  <si>
    <t>DLAKF US Equity</t>
  </si>
  <si>
    <t>DEUTSCHE LUFT-RG</t>
  </si>
  <si>
    <t>DLAKF US</t>
  </si>
  <si>
    <t>DLAKY US Equity</t>
  </si>
  <si>
    <t>LUFTHANSA-SP ADR</t>
  </si>
  <si>
    <t>DLAKY US</t>
  </si>
  <si>
    <t>DLICY US Equity</t>
  </si>
  <si>
    <t>DLICY US</t>
  </si>
  <si>
    <t>DLR US Equity</t>
  </si>
  <si>
    <t>DIGITAL REALTY</t>
  </si>
  <si>
    <t>DLR US</t>
  </si>
  <si>
    <t>Data Center REITs</t>
  </si>
  <si>
    <t>DLTR US Equity</t>
  </si>
  <si>
    <t>DOLLAR TREE INC</t>
  </si>
  <si>
    <t>DLTR US</t>
  </si>
  <si>
    <t>DNKEY US Equity</t>
  </si>
  <si>
    <t>DANSKE BANK-ADR</t>
  </si>
  <si>
    <t>DNKEY US</t>
  </si>
  <si>
    <t>DNSKF US Equity</t>
  </si>
  <si>
    <t>DANSKE BANK A/S</t>
  </si>
  <si>
    <t>DNSKF US</t>
  </si>
  <si>
    <t>DNZOF US Equity</t>
  </si>
  <si>
    <t>DENSO CORP</t>
  </si>
  <si>
    <t>DNZOF US</t>
  </si>
  <si>
    <t>DNZOY US Equity</t>
  </si>
  <si>
    <t>DENSO CORP-ADR</t>
  </si>
  <si>
    <t>DNZOY US</t>
  </si>
  <si>
    <t>DOW US Equity</t>
  </si>
  <si>
    <t>DOW INC</t>
  </si>
  <si>
    <t>DOW US</t>
  </si>
  <si>
    <t>Commodity Chemicals</t>
  </si>
  <si>
    <t>DPSTF US Equity</t>
  </si>
  <si>
    <t>DHL GROUP</t>
  </si>
  <si>
    <t>DPSTF US</t>
  </si>
  <si>
    <t>DSDVF US Equity</t>
  </si>
  <si>
    <t>DSV A/S</t>
  </si>
  <si>
    <t>DSDVF US</t>
  </si>
  <si>
    <t>DSDVY US Equity</t>
  </si>
  <si>
    <t>DSV A/S - UNSP A</t>
  </si>
  <si>
    <t>DSDVY US</t>
  </si>
  <si>
    <t>DSECF US Equity</t>
  </si>
  <si>
    <t>DAIWA SECS GRP</t>
  </si>
  <si>
    <t>DSECF US</t>
  </si>
  <si>
    <t>DSEEY US Equity</t>
  </si>
  <si>
    <t>DAIWA SECS-ADR</t>
  </si>
  <si>
    <t>DSEEY US</t>
  </si>
  <si>
    <t>DSKYF US Equity</t>
  </si>
  <si>
    <t>DAIICHI SANKYO</t>
  </si>
  <si>
    <t>DSKYF US</t>
  </si>
  <si>
    <t>DSNKY US Equity</t>
  </si>
  <si>
    <t>DAIICHI SAN-ADR</t>
  </si>
  <si>
    <t>DSNKY US</t>
  </si>
  <si>
    <t>DTE US Equity</t>
  </si>
  <si>
    <t>DTE ENERGY CO</t>
  </si>
  <si>
    <t>DTE US</t>
  </si>
  <si>
    <t>DTEGF US Equity</t>
  </si>
  <si>
    <t>DEUTSCHE TELEKOM</t>
  </si>
  <si>
    <t>DTEGF US</t>
  </si>
  <si>
    <t>DTEGY US Equity</t>
  </si>
  <si>
    <t>DEUTSCHE TEL-ADR</t>
  </si>
  <si>
    <t>DTEGY US</t>
  </si>
  <si>
    <t>DTGHF US Equity</t>
  </si>
  <si>
    <t>DAIMLER TRUCK HO</t>
  </si>
  <si>
    <t>DTGHF US</t>
  </si>
  <si>
    <t>DTRUY US Equity</t>
  </si>
  <si>
    <t>DAIM - SPON ADR</t>
  </si>
  <si>
    <t>DTRUY US</t>
  </si>
  <si>
    <t>DUK US Equity</t>
  </si>
  <si>
    <t>DUKE ENERGY CORP</t>
  </si>
  <si>
    <t>DUK US</t>
  </si>
  <si>
    <t>DVN US Equity</t>
  </si>
  <si>
    <t>DEVON ENERGY CO</t>
  </si>
  <si>
    <t>DVN US</t>
  </si>
  <si>
    <t>DWAHF US Equity</t>
  </si>
  <si>
    <t>DAIWA HOUSE INDU</t>
  </si>
  <si>
    <t>DWAHF US</t>
  </si>
  <si>
    <t>Diversified Real Estate Activities</t>
  </si>
  <si>
    <t>DWAHY US Equity</t>
  </si>
  <si>
    <t>DAIWA HOUSE-ADR</t>
  </si>
  <si>
    <t>DWAHY US</t>
  </si>
  <si>
    <t>E US Equity</t>
  </si>
  <si>
    <t>ENI SPA-ADR</t>
  </si>
  <si>
    <t>E US</t>
  </si>
  <si>
    <t>EADSF US Equity</t>
  </si>
  <si>
    <t>AIRBUS SE</t>
  </si>
  <si>
    <t>EADSF US</t>
  </si>
  <si>
    <t>EADSY US Equity</t>
  </si>
  <si>
    <t>AIRBUS -ADR</t>
  </si>
  <si>
    <t>EADSY US</t>
  </si>
  <si>
    <t>EBKDY US Equity</t>
  </si>
  <si>
    <t>ERSTE GROUP-ADRE</t>
  </si>
  <si>
    <t>EBKDY US</t>
  </si>
  <si>
    <t>EBKOF US Equity</t>
  </si>
  <si>
    <t>ERSTE GROUP BANK</t>
  </si>
  <si>
    <t>EBKOF US</t>
  </si>
  <si>
    <t>EBR US Equity</t>
  </si>
  <si>
    <t>ELETROBRAS-ADR</t>
  </si>
  <si>
    <t>EBR US</t>
  </si>
  <si>
    <t>EBR/B US Equity</t>
  </si>
  <si>
    <t>ELETROBRAS-ADR P</t>
  </si>
  <si>
    <t>EBR/B US</t>
  </si>
  <si>
    <t>ECL US Equity</t>
  </si>
  <si>
    <t>ECOLAB INC</t>
  </si>
  <si>
    <t>ECL US</t>
  </si>
  <si>
    <t>ED US Equity</t>
  </si>
  <si>
    <t>CONS EDISON INC</t>
  </si>
  <si>
    <t>ED US</t>
  </si>
  <si>
    <t>EDPFY US Equity</t>
  </si>
  <si>
    <t>ENERGIAS-SP ADR</t>
  </si>
  <si>
    <t>EDPFY US</t>
  </si>
  <si>
    <t>EEEP US Equity</t>
  </si>
  <si>
    <t>EP3OIL INC</t>
  </si>
  <si>
    <t>EEEP US</t>
  </si>
  <si>
    <t>EFGSF US Equity</t>
  </si>
  <si>
    <t>EIFFAGE</t>
  </si>
  <si>
    <t>EFGSF US</t>
  </si>
  <si>
    <t>EFGSY US Equity</t>
  </si>
  <si>
    <t>EIFFAGE-UNSP ADR</t>
  </si>
  <si>
    <t>EFGSY US</t>
  </si>
  <si>
    <t>EG US Equity</t>
  </si>
  <si>
    <t>EVEREST GROUP LT</t>
  </si>
  <si>
    <t>EG US</t>
  </si>
  <si>
    <t>Reinsurance</t>
  </si>
  <si>
    <t>EIPAF US Equity</t>
  </si>
  <si>
    <t>ENI SPA</t>
  </si>
  <si>
    <t>EIPAF US</t>
  </si>
  <si>
    <t>EIX US Equity</t>
  </si>
  <si>
    <t>EDISON INTL</t>
  </si>
  <si>
    <t>EIX US</t>
  </si>
  <si>
    <t>EJPRF US Equity</t>
  </si>
  <si>
    <t>EAST JAPAN RAIL</t>
  </si>
  <si>
    <t>EJPRF US</t>
  </si>
  <si>
    <t>EJPRY US Equity</t>
  </si>
  <si>
    <t>EAST RAILWAY-ADR</t>
  </si>
  <si>
    <t>EJPRY US</t>
  </si>
  <si>
    <t>EL US Equity</t>
  </si>
  <si>
    <t>ESTEE LAUDER</t>
  </si>
  <si>
    <t>EL US</t>
  </si>
  <si>
    <t>Personal Care Products</t>
  </si>
  <si>
    <t>ELCPF US Equity</t>
  </si>
  <si>
    <t>EDP SA</t>
  </si>
  <si>
    <t>ELCPF US</t>
  </si>
  <si>
    <t>ELV US Equity</t>
  </si>
  <si>
    <t>ELEVANCE HEALTH</t>
  </si>
  <si>
    <t>ELV US</t>
  </si>
  <si>
    <t>EMR US Equity</t>
  </si>
  <si>
    <t>EMERSON ELEC CO</t>
  </si>
  <si>
    <t>EMR US</t>
  </si>
  <si>
    <t>ENAKF US Equity</t>
  </si>
  <si>
    <t>E.ON SE</t>
  </si>
  <si>
    <t>ENAKF US</t>
  </si>
  <si>
    <t>ENB US Equity</t>
  </si>
  <si>
    <t>ENBRIDGE INC</t>
  </si>
  <si>
    <t>ENB US</t>
  </si>
  <si>
    <t>Oil &amp; Gas Storage &amp; Transportation</t>
  </si>
  <si>
    <t>ENGIY US Equity</t>
  </si>
  <si>
    <t>ENGIE-ADR</t>
  </si>
  <si>
    <t>ENGIY US</t>
  </si>
  <si>
    <t>ENGQF US Equity</t>
  </si>
  <si>
    <t>ENGIE</t>
  </si>
  <si>
    <t>ENGQF US</t>
  </si>
  <si>
    <t>ENLAY US Equity</t>
  </si>
  <si>
    <t>ENEL SPA - ADR</t>
  </si>
  <si>
    <t>ENLAY US</t>
  </si>
  <si>
    <t>EOG US Equity</t>
  </si>
  <si>
    <t>EOG RESOURCES</t>
  </si>
  <si>
    <t>EOG US</t>
  </si>
  <si>
    <t>EONGY US Equity</t>
  </si>
  <si>
    <t>E.ON SE-ADR</t>
  </si>
  <si>
    <t>EONGY US</t>
  </si>
  <si>
    <t>EPD US Equity</t>
  </si>
  <si>
    <t>ENTERPRISE PRODU</t>
  </si>
  <si>
    <t>EPD US</t>
  </si>
  <si>
    <t>EQH US Equity</t>
  </si>
  <si>
    <t>EQUITABLE HOLDIN</t>
  </si>
  <si>
    <t>EQH US</t>
  </si>
  <si>
    <t>EQIX US Equity</t>
  </si>
  <si>
    <t>EQUINIX INC</t>
  </si>
  <si>
    <t>EQIX US</t>
  </si>
  <si>
    <t>ERIC US Equity</t>
  </si>
  <si>
    <t>ERICSSON LM-ADR</t>
  </si>
  <si>
    <t>ERIC US</t>
  </si>
  <si>
    <t>ERIXF US Equity</t>
  </si>
  <si>
    <t>ERICSSON LM-B</t>
  </si>
  <si>
    <t>ERIXF US</t>
  </si>
  <si>
    <t>ES US Equity</t>
  </si>
  <si>
    <t>EVERSOURCE ENERG</t>
  </si>
  <si>
    <t>ES US</t>
  </si>
  <si>
    <t>ESOCF US Equity</t>
  </si>
  <si>
    <t>ENEL SPA</t>
  </si>
  <si>
    <t>ESOCF US</t>
  </si>
  <si>
    <t>ET US Equity</t>
  </si>
  <si>
    <t>ENERGY TRANSFER</t>
  </si>
  <si>
    <t>ET US</t>
  </si>
  <si>
    <t>ETN US Equity</t>
  </si>
  <si>
    <t>EATON CORP PLC</t>
  </si>
  <si>
    <t>ETN US</t>
  </si>
  <si>
    <t>ETR US Equity</t>
  </si>
  <si>
    <t>ENTERGY CORP</t>
  </si>
  <si>
    <t>ETR US</t>
  </si>
  <si>
    <t>EXC US Equity</t>
  </si>
  <si>
    <t>EXELON CORP</t>
  </si>
  <si>
    <t>EXC US</t>
  </si>
  <si>
    <t>F US Equity</t>
  </si>
  <si>
    <t>FORD MOTOR CO</t>
  </si>
  <si>
    <t>F US</t>
  </si>
  <si>
    <t>FANDF US Equity</t>
  </si>
  <si>
    <t>FIRSTRAND LTD</t>
  </si>
  <si>
    <t>FANDF US</t>
  </si>
  <si>
    <t>FANDY US Equity</t>
  </si>
  <si>
    <t>FIRSTRAND-UN ADR</t>
  </si>
  <si>
    <t>FANDY US</t>
  </si>
  <si>
    <t>FANG US Equity</t>
  </si>
  <si>
    <t>DIAMONDBACK ENER</t>
  </si>
  <si>
    <t>FANG US</t>
  </si>
  <si>
    <t>FCNCA US Equity</t>
  </si>
  <si>
    <t>FIRST CITIZENS-A</t>
  </si>
  <si>
    <t>FCNCA US</t>
  </si>
  <si>
    <t>FCNCB US Equity</t>
  </si>
  <si>
    <t>FIRST CITIZENS-B</t>
  </si>
  <si>
    <t>FCNCB US</t>
  </si>
  <si>
    <t>FCX US Equity</t>
  </si>
  <si>
    <t>FREEPORT-MCMORAN</t>
  </si>
  <si>
    <t>FCX US</t>
  </si>
  <si>
    <t>Copper</t>
  </si>
  <si>
    <t>FDX US Equity</t>
  </si>
  <si>
    <t>FEDEX CORP</t>
  </si>
  <si>
    <t>FDX US</t>
  </si>
  <si>
    <t>FE US Equity</t>
  </si>
  <si>
    <t>FIRSTENERGY CORP</t>
  </si>
  <si>
    <t>FE US</t>
  </si>
  <si>
    <t>FERN US Equity</t>
  </si>
  <si>
    <t>FERNHILL CORP</t>
  </si>
  <si>
    <t>FERN US</t>
  </si>
  <si>
    <t>N/A</t>
  </si>
  <si>
    <t>FFHMY US Equity</t>
  </si>
  <si>
    <t>FIRST FINL - GDR</t>
  </si>
  <si>
    <t>FFHMY US</t>
  </si>
  <si>
    <t>FI US Equity</t>
  </si>
  <si>
    <t>FISERV INC</t>
  </si>
  <si>
    <t>FI US</t>
  </si>
  <si>
    <t>FIS US Equity</t>
  </si>
  <si>
    <t>FIDELITY NATIONA</t>
  </si>
  <si>
    <t>FIS US</t>
  </si>
  <si>
    <t>FITB US Equity</t>
  </si>
  <si>
    <t>FIFTH THIRD BANC</t>
  </si>
  <si>
    <t>FITB US</t>
  </si>
  <si>
    <t>FJTSF US Equity</t>
  </si>
  <si>
    <t>FUJITSU LTD</t>
  </si>
  <si>
    <t>FJTSF US</t>
  </si>
  <si>
    <t>FJTSY US Equity</t>
  </si>
  <si>
    <t>FUJITSU LTD-ADR</t>
  </si>
  <si>
    <t>FJTSY US</t>
  </si>
  <si>
    <t>FMCQF US Equity</t>
  </si>
  <si>
    <t>FRESENIUS MEDICA</t>
  </si>
  <si>
    <t>FMCQF US</t>
  </si>
  <si>
    <t>FMS US Equity</t>
  </si>
  <si>
    <t>FRESENIUS ME-ADR</t>
  </si>
  <si>
    <t>FMS US</t>
  </si>
  <si>
    <t>FNCTF US Equity</t>
  </si>
  <si>
    <t>ORANGE</t>
  </si>
  <si>
    <t>FNCTF US</t>
  </si>
  <si>
    <t>FNF US Equity</t>
  </si>
  <si>
    <t>FNF US</t>
  </si>
  <si>
    <t>FNRC US Equity</t>
  </si>
  <si>
    <t>1ST NRG CORP</t>
  </si>
  <si>
    <t>FNRC US</t>
  </si>
  <si>
    <t>FOJCF US Equity</t>
  </si>
  <si>
    <t>FORTUM OYJ</t>
  </si>
  <si>
    <t>FOJCF US</t>
  </si>
  <si>
    <t>FOJCY US Equity</t>
  </si>
  <si>
    <t>FORTUM OYJ-ADR</t>
  </si>
  <si>
    <t>FOJCY US</t>
  </si>
  <si>
    <t>FRCB US Equity</t>
  </si>
  <si>
    <t>FIRST REPUBLIC B</t>
  </si>
  <si>
    <t>FRCB US</t>
  </si>
  <si>
    <t>FRCOF US Equity</t>
  </si>
  <si>
    <t>FAST RETAILING</t>
  </si>
  <si>
    <t>FRCOF US</t>
  </si>
  <si>
    <t>Apparel Retail</t>
  </si>
  <si>
    <t>FRCOY US Equity</t>
  </si>
  <si>
    <t>FAST RETAIL-ADR</t>
  </si>
  <si>
    <t>FRCOY US</t>
  </si>
  <si>
    <t>FRFHF US Equity</t>
  </si>
  <si>
    <t>FAIRFAX FINL HLD</t>
  </si>
  <si>
    <t>FRFHF US</t>
  </si>
  <si>
    <t>FSNUF US Equity</t>
  </si>
  <si>
    <t>FRESENIUS SE &amp; C</t>
  </si>
  <si>
    <t>FSNUF US</t>
  </si>
  <si>
    <t>FSNUY US Equity</t>
  </si>
  <si>
    <t>FRESENIUS SE-ADR</t>
  </si>
  <si>
    <t>FSNUY US</t>
  </si>
  <si>
    <t>FSUGY US Equity</t>
  </si>
  <si>
    <t>FORTESCUE-ADR</t>
  </si>
  <si>
    <t>FSUGY US</t>
  </si>
  <si>
    <t>FSUMF US Equity</t>
  </si>
  <si>
    <t>FORTESCUE LTD</t>
  </si>
  <si>
    <t>FSUMF US</t>
  </si>
  <si>
    <t>FTS US Equity</t>
  </si>
  <si>
    <t>FORTIS INC</t>
  </si>
  <si>
    <t>FTS US</t>
  </si>
  <si>
    <t>FUISF US Equity</t>
  </si>
  <si>
    <t>FUBON FINANCIAL</t>
  </si>
  <si>
    <t>FUISF US</t>
  </si>
  <si>
    <t>FUIZF US Equity</t>
  </si>
  <si>
    <t>FUBON FINAN-GDR</t>
  </si>
  <si>
    <t>FUIZF US</t>
  </si>
  <si>
    <t>FUJHF US Equity</t>
  </si>
  <si>
    <t>SUBARU CORP</t>
  </si>
  <si>
    <t>FUJHF US</t>
  </si>
  <si>
    <t>FUJHY US Equity</t>
  </si>
  <si>
    <t>SUBARU CORP-ADR</t>
  </si>
  <si>
    <t>FUJHY US</t>
  </si>
  <si>
    <t>FUJIF US Equity</t>
  </si>
  <si>
    <t>FUJIFILM HOLDING</t>
  </si>
  <si>
    <t>FUJIF US</t>
  </si>
  <si>
    <t>FUJIY US Equity</t>
  </si>
  <si>
    <t>FUJIFILM HOL-ADR</t>
  </si>
  <si>
    <t>FUJIY US</t>
  </si>
  <si>
    <t>GBOOF US Equity</t>
  </si>
  <si>
    <t>GRUPO F BANORT-O</t>
  </si>
  <si>
    <t>GBOOF US</t>
  </si>
  <si>
    <t>GBOOY US Equity</t>
  </si>
  <si>
    <t>GRUPO F BANO-ADR</t>
  </si>
  <si>
    <t>GBOOY US</t>
  </si>
  <si>
    <t>GD US Equity</t>
  </si>
  <si>
    <t>GENERAL DYNAMICS</t>
  </si>
  <si>
    <t>GD US</t>
  </si>
  <si>
    <t>GE US Equity</t>
  </si>
  <si>
    <t>GENERAL ELECTRIC</t>
  </si>
  <si>
    <t>GE US</t>
  </si>
  <si>
    <t>GILD US Equity</t>
  </si>
  <si>
    <t>GILEAD SCIENCES</t>
  </si>
  <si>
    <t>GILD US</t>
  </si>
  <si>
    <t>GIS US Equity</t>
  </si>
  <si>
    <t>GENERAL MILLS IN</t>
  </si>
  <si>
    <t>GIS US</t>
  </si>
  <si>
    <t>GLCNF US Equity</t>
  </si>
  <si>
    <t>GLENCORE PLC</t>
  </si>
  <si>
    <t>GLCNF US</t>
  </si>
  <si>
    <t>GLNCY US Equity</t>
  </si>
  <si>
    <t>GLENCORE PLC-ADR</t>
  </si>
  <si>
    <t>GLNCY US</t>
  </si>
  <si>
    <t>GLW US Equity</t>
  </si>
  <si>
    <t>CORNING INC</t>
  </si>
  <si>
    <t>GLW US</t>
  </si>
  <si>
    <t>GM US Equity</t>
  </si>
  <si>
    <t>GENERAL MOTORS C</t>
  </si>
  <si>
    <t>GM US</t>
  </si>
  <si>
    <t>GNZUY US Equity</t>
  </si>
  <si>
    <t>GUANGZHOU AU-ADR</t>
  </si>
  <si>
    <t>GNZUY US</t>
  </si>
  <si>
    <t>GOLD US Equity</t>
  </si>
  <si>
    <t>BARRICK GOLD CRP</t>
  </si>
  <si>
    <t>GOLD US</t>
  </si>
  <si>
    <t>Gold</t>
  </si>
  <si>
    <t>GOOG US Equity</t>
  </si>
  <si>
    <t>ALPHABET INC-C</t>
  </si>
  <si>
    <t>GOOG US</t>
  </si>
  <si>
    <t>GOOGL US Equity</t>
  </si>
  <si>
    <t>ALPHABET INC-A</t>
  </si>
  <si>
    <t>GOOGL US</t>
  </si>
  <si>
    <t>GPC US Equity</t>
  </si>
  <si>
    <t>GENUINE PARTS CO</t>
  </si>
  <si>
    <t>GPC US</t>
  </si>
  <si>
    <t>Distributors</t>
  </si>
  <si>
    <t>GPDNF US Equity</t>
  </si>
  <si>
    <t>DANONE</t>
  </si>
  <si>
    <t>GPDNF US</t>
  </si>
  <si>
    <t>GPN US Equity</t>
  </si>
  <si>
    <t>GLOBAL PAYMENTS</t>
  </si>
  <si>
    <t>GPN US</t>
  </si>
  <si>
    <t>GS US Equity</t>
  </si>
  <si>
    <t>GOLDMAN SACHS GP</t>
  </si>
  <si>
    <t>GS US</t>
  </si>
  <si>
    <t>GWLIF US Equity</t>
  </si>
  <si>
    <t>GREAT-WEST LIFEC</t>
  </si>
  <si>
    <t>GWLIF US</t>
  </si>
  <si>
    <t>GWLLF US Equity</t>
  </si>
  <si>
    <t>GWMOTOR</t>
  </si>
  <si>
    <t>GWLLF US</t>
  </si>
  <si>
    <t>GWLLY US Equity</t>
  </si>
  <si>
    <t>GREAT WALL-ADR</t>
  </si>
  <si>
    <t>GWLLY US</t>
  </si>
  <si>
    <t>HAL US Equity</t>
  </si>
  <si>
    <t>HALLIBURTON CO</t>
  </si>
  <si>
    <t>HAL US</t>
  </si>
  <si>
    <t>HBAN US Equity</t>
  </si>
  <si>
    <t>HUNTINGTON BANC</t>
  </si>
  <si>
    <t>HBAN US</t>
  </si>
  <si>
    <t>HCA US Equity</t>
  </si>
  <si>
    <t>HCA HEALTHCARE I</t>
  </si>
  <si>
    <t>HCA US</t>
  </si>
  <si>
    <t>Health Care Facilities</t>
  </si>
  <si>
    <t>HCMLF US Equity</t>
  </si>
  <si>
    <t>HOLCIM LTD</t>
  </si>
  <si>
    <t>HCMLF US</t>
  </si>
  <si>
    <t>HCMLY US Equity</t>
  </si>
  <si>
    <t>HOLCIM LTD-ADR</t>
  </si>
  <si>
    <t>HCMLY US</t>
  </si>
  <si>
    <t>HD US Equity</t>
  </si>
  <si>
    <t>HOME DEPOT INC</t>
  </si>
  <si>
    <t>HD US</t>
  </si>
  <si>
    <t>Home Improvement Retail</t>
  </si>
  <si>
    <t>HDELY US Equity</t>
  </si>
  <si>
    <t>HEIDELBERG M-ADR</t>
  </si>
  <si>
    <t>HDELY US</t>
  </si>
  <si>
    <t>HELKF US Equity</t>
  </si>
  <si>
    <t>HENKEL AG &amp; CO K</t>
  </si>
  <si>
    <t>HELKF US</t>
  </si>
  <si>
    <t>HENKY US Equity</t>
  </si>
  <si>
    <t>HENKEL AG &amp; ADR</t>
  </si>
  <si>
    <t>HENKY US</t>
  </si>
  <si>
    <t>HENOF US Equity</t>
  </si>
  <si>
    <t>HENKEL AG -PREF</t>
  </si>
  <si>
    <t>HENOF US</t>
  </si>
  <si>
    <t>HENOY US Equity</t>
  </si>
  <si>
    <t>HENKEL KGAA-ADR</t>
  </si>
  <si>
    <t>HENOY US</t>
  </si>
  <si>
    <t>HES US Equity</t>
  </si>
  <si>
    <t>HESS CORP</t>
  </si>
  <si>
    <t>HES US</t>
  </si>
  <si>
    <t>HIG US Equity</t>
  </si>
  <si>
    <t>HARTFORD INSURAN</t>
  </si>
  <si>
    <t>HIG US</t>
  </si>
  <si>
    <t>HKXCF US Equity</t>
  </si>
  <si>
    <t>HKEX</t>
  </si>
  <si>
    <t>HKXCF US</t>
  </si>
  <si>
    <t>HKXCY US Equity</t>
  </si>
  <si>
    <t>HONG KONG EX-ADR</t>
  </si>
  <si>
    <t>HKXCY US</t>
  </si>
  <si>
    <t>HLBZF US Equity</t>
  </si>
  <si>
    <t>HEIDELBERG MATER</t>
  </si>
  <si>
    <t>HLBZF US</t>
  </si>
  <si>
    <t>HMC US Equity</t>
  </si>
  <si>
    <t>HONDA MOTOR-ADR</t>
  </si>
  <si>
    <t>HMC US</t>
  </si>
  <si>
    <t>HMRZF US Equity</t>
  </si>
  <si>
    <t>HENNES &amp; MAURI-B</t>
  </si>
  <si>
    <t>HMRZF US</t>
  </si>
  <si>
    <t>HNDAF US Equity</t>
  </si>
  <si>
    <t>HONDA MOTOR CO</t>
  </si>
  <si>
    <t>HNDAF US</t>
  </si>
  <si>
    <t>HNHAF US Equity</t>
  </si>
  <si>
    <t>HON HAI</t>
  </si>
  <si>
    <t>HNHAF US</t>
  </si>
  <si>
    <t>Electronic Manufacturing Services</t>
  </si>
  <si>
    <t>HNHAY US Equity</t>
  </si>
  <si>
    <t>HON HAI-GDR 144A</t>
  </si>
  <si>
    <t>HNHAY US</t>
  </si>
  <si>
    <t>HNHPF US Equity</t>
  </si>
  <si>
    <t>HON HAI-GDR REGS</t>
  </si>
  <si>
    <t>HNHPF US</t>
  </si>
  <si>
    <t>HNNMY US Equity</t>
  </si>
  <si>
    <t>HENNES &amp; MAU-ADR</t>
  </si>
  <si>
    <t>HNNMY US</t>
  </si>
  <si>
    <t>HON US Equity</t>
  </si>
  <si>
    <t>HONEYWELL INTL</t>
  </si>
  <si>
    <t>HON US</t>
  </si>
  <si>
    <t>Industrial Conglomerates</t>
  </si>
  <si>
    <t>HOSZY US Equity</t>
  </si>
  <si>
    <t>SABANCI HLDG-ADR</t>
  </si>
  <si>
    <t>HOSZY US</t>
  </si>
  <si>
    <t>HPE US Equity</t>
  </si>
  <si>
    <t>HEWLETT PACKA</t>
  </si>
  <si>
    <t>HPE US</t>
  </si>
  <si>
    <t>HPQ US Equity</t>
  </si>
  <si>
    <t>HP INC</t>
  </si>
  <si>
    <t>HPQ US</t>
  </si>
  <si>
    <t>HSY US Equity</t>
  </si>
  <si>
    <t>HERSHEY CO/THE</t>
  </si>
  <si>
    <t>HSY US</t>
  </si>
  <si>
    <t>HTHIF US Equity</t>
  </si>
  <si>
    <t>HITACHI LTD</t>
  </si>
  <si>
    <t>HTHIF US</t>
  </si>
  <si>
    <t>HTHIY US Equity</t>
  </si>
  <si>
    <t>HITACHI LTD-ADR</t>
  </si>
  <si>
    <t>HTHIY US</t>
  </si>
  <si>
    <t>HUM US Equity</t>
  </si>
  <si>
    <t>HUMANA INC</t>
  </si>
  <si>
    <t>HUM US</t>
  </si>
  <si>
    <t>HXSCL US Equity</t>
  </si>
  <si>
    <t>SK HYN</t>
  </si>
  <si>
    <t>HXSCL US</t>
  </si>
  <si>
    <t>HYMLY US Equity</t>
  </si>
  <si>
    <t>HYUNDAI MOTO-GDR</t>
  </si>
  <si>
    <t>HYMLY US</t>
  </si>
  <si>
    <t>HYMPY US Equity</t>
  </si>
  <si>
    <t>HYUNDAI MOT -144</t>
  </si>
  <si>
    <t>HYMPY US</t>
  </si>
  <si>
    <t>IBDRY US Equity</t>
  </si>
  <si>
    <t>IBERDROLA SA-ADR</t>
  </si>
  <si>
    <t>IBDRY US</t>
  </si>
  <si>
    <t>IBDSF US Equity</t>
  </si>
  <si>
    <t>IBERDROLA SA</t>
  </si>
  <si>
    <t>IBDSF US</t>
  </si>
  <si>
    <t>IBKR US Equity</t>
  </si>
  <si>
    <t>INTERACTIVE BROK</t>
  </si>
  <si>
    <t>IBKR US</t>
  </si>
  <si>
    <t>IBM US Equity</t>
  </si>
  <si>
    <t>IBM</t>
  </si>
  <si>
    <t>IBM US</t>
  </si>
  <si>
    <t>IBN US Equity</t>
  </si>
  <si>
    <t>ICICI BANK-ADR</t>
  </si>
  <si>
    <t>IBN US</t>
  </si>
  <si>
    <t>IBOKY US Equity</t>
  </si>
  <si>
    <t>IND BK KOREA-GDR</t>
  </si>
  <si>
    <t>IBOKY US</t>
  </si>
  <si>
    <t>ICE US Equity</t>
  </si>
  <si>
    <t>INTERCONTINENTAL</t>
  </si>
  <si>
    <t>ICE US</t>
  </si>
  <si>
    <t>IDKOF US Equity</t>
  </si>
  <si>
    <t>IDEMITSU KOSAN C</t>
  </si>
  <si>
    <t>IDKOF US</t>
  </si>
  <si>
    <t>Oil &amp; Gas Refining &amp; Marketing</t>
  </si>
  <si>
    <t>IDKOY US Equity</t>
  </si>
  <si>
    <t>IDEMITSU-UNS ADR</t>
  </si>
  <si>
    <t>IDKOY US</t>
  </si>
  <si>
    <t>IFCZF US Equity</t>
  </si>
  <si>
    <t>INTACT FINANCIAL</t>
  </si>
  <si>
    <t>IFCZF US</t>
  </si>
  <si>
    <t>IFF US Equity</t>
  </si>
  <si>
    <t>INTL FLVR &amp; FRAG</t>
  </si>
  <si>
    <t>IFF US</t>
  </si>
  <si>
    <t>IFNNF US Equity</t>
  </si>
  <si>
    <t>INFINEON TECH</t>
  </si>
  <si>
    <t>IFNNF US</t>
  </si>
  <si>
    <t>IFNNY US Equity</t>
  </si>
  <si>
    <t>INFINEON TEC-ADR</t>
  </si>
  <si>
    <t>IFNNY US</t>
  </si>
  <si>
    <t>IITSF US Equity</t>
  </si>
  <si>
    <t>INTESA SANPAOLO</t>
  </si>
  <si>
    <t>IITSF US</t>
  </si>
  <si>
    <t>IMBBF US Equity</t>
  </si>
  <si>
    <t>IMPERIAL BRANDS</t>
  </si>
  <si>
    <t>IMBBF US</t>
  </si>
  <si>
    <t>Tobacco</t>
  </si>
  <si>
    <t>IMBBY US Equity</t>
  </si>
  <si>
    <t>IMPERIAL BRA-ADR</t>
  </si>
  <si>
    <t>IMBBY US</t>
  </si>
  <si>
    <t>IMO US Equity</t>
  </si>
  <si>
    <t>IMPERIAL OIL</t>
  </si>
  <si>
    <t>IMO US</t>
  </si>
  <si>
    <t>INFY US Equity</t>
  </si>
  <si>
    <t>INFOSYS LTD-ADR</t>
  </si>
  <si>
    <t>INFY US</t>
  </si>
  <si>
    <t>ING US Equity</t>
  </si>
  <si>
    <t>ING GROEP-ADR</t>
  </si>
  <si>
    <t>ING US</t>
  </si>
  <si>
    <t>INGVF US Equity</t>
  </si>
  <si>
    <t>ING GROEP NV</t>
  </si>
  <si>
    <t>INGVF US</t>
  </si>
  <si>
    <t>INTC US Equity</t>
  </si>
  <si>
    <t>INTEL CORP</t>
  </si>
  <si>
    <t>INTC US</t>
  </si>
  <si>
    <t>INTU US Equity</t>
  </si>
  <si>
    <t>INTUIT INC</t>
  </si>
  <si>
    <t>INTU US</t>
  </si>
  <si>
    <t>IPXHF US Equity</t>
  </si>
  <si>
    <t>INPEX CORP</t>
  </si>
  <si>
    <t>IPXHF US</t>
  </si>
  <si>
    <t>IPXHY US Equity</t>
  </si>
  <si>
    <t>INPEX CORP-ADR</t>
  </si>
  <si>
    <t>IPXHY US</t>
  </si>
  <si>
    <t>IQV US Equity</t>
  </si>
  <si>
    <t>IQVIA HOLDINGS I</t>
  </si>
  <si>
    <t>IQV US</t>
  </si>
  <si>
    <t>ISNPY US Equity</t>
  </si>
  <si>
    <t>INTESA SAN- ADR</t>
  </si>
  <si>
    <t>ISNPY US</t>
  </si>
  <si>
    <t>ISRG US Equity</t>
  </si>
  <si>
    <t>INTUITIVE SURGIC</t>
  </si>
  <si>
    <t>ISRG US</t>
  </si>
  <si>
    <t>ITOCF US Equity</t>
  </si>
  <si>
    <t>ITOCHU CORP</t>
  </si>
  <si>
    <t>ITOCF US</t>
  </si>
  <si>
    <t>ITOCY US Equity</t>
  </si>
  <si>
    <t>ITOCHU CORP-ADR</t>
  </si>
  <si>
    <t>ITOCY US</t>
  </si>
  <si>
    <t>ITUB US Equity</t>
  </si>
  <si>
    <t>ITAU UNIBANC-ADR</t>
  </si>
  <si>
    <t>ITUB US</t>
  </si>
  <si>
    <t>ITW US Equity</t>
  </si>
  <si>
    <t>ILLINOIS TOOL WO</t>
  </si>
  <si>
    <t>ITW US</t>
  </si>
  <si>
    <t>Industrial Machinery &amp; Supplies &amp; Components</t>
  </si>
  <si>
    <t>IX US Equity</t>
  </si>
  <si>
    <t>ORIX-ADR</t>
  </si>
  <si>
    <t>IX US</t>
  </si>
  <si>
    <t>JAPAF US Equity</t>
  </si>
  <si>
    <t>JAPAN TOBACCO</t>
  </si>
  <si>
    <t>JAPAF US</t>
  </si>
  <si>
    <t>JAPAY US Equity</t>
  </si>
  <si>
    <t>JAPAN TOB-UN ADR</t>
  </si>
  <si>
    <t>JAPAY US</t>
  </si>
  <si>
    <t>JBARF US Equity</t>
  </si>
  <si>
    <t>JULIUS BAER GROU</t>
  </si>
  <si>
    <t>JBARF US</t>
  </si>
  <si>
    <t>JBAXY US Equity</t>
  </si>
  <si>
    <t>JULIUS BAER-ADR</t>
  </si>
  <si>
    <t>JBAXY US</t>
  </si>
  <si>
    <t>JBSAY US Equity</t>
  </si>
  <si>
    <t>JBS SA-SPONS ADR</t>
  </si>
  <si>
    <t>JBSAY US</t>
  </si>
  <si>
    <t>JCI US Equity</t>
  </si>
  <si>
    <t>JOHNSON CONTROLS</t>
  </si>
  <si>
    <t>JCI US</t>
  </si>
  <si>
    <t>JD US Equity</t>
  </si>
  <si>
    <t>JD.COM INC-ADR</t>
  </si>
  <si>
    <t>JD US</t>
  </si>
  <si>
    <t>JDCMF US Equity</t>
  </si>
  <si>
    <t>JD-SW</t>
  </si>
  <si>
    <t>JDCMF US</t>
  </si>
  <si>
    <t>JNJ US Equity</t>
  </si>
  <si>
    <t>JOHNSON&amp;JOHNSON</t>
  </si>
  <si>
    <t>JNJ US</t>
  </si>
  <si>
    <t>JPHLF US Equity</t>
  </si>
  <si>
    <t>JAPAN POST HOLDI</t>
  </si>
  <si>
    <t>JPHLF US</t>
  </si>
  <si>
    <t>JPM US Equity</t>
  </si>
  <si>
    <t>JPMORGAN CHASE</t>
  </si>
  <si>
    <t>JPM US</t>
  </si>
  <si>
    <t>JPPHY US Equity</t>
  </si>
  <si>
    <t>JAPAN POST H-ADR</t>
  </si>
  <si>
    <t>JPPHY US</t>
  </si>
  <si>
    <t>JPXGY US Equity</t>
  </si>
  <si>
    <t>JAPAN EXCHAN-ADR</t>
  </si>
  <si>
    <t>JPXGY US</t>
  </si>
  <si>
    <t>JXHGF US Equity</t>
  </si>
  <si>
    <t>ENEOS HOLDINGS I</t>
  </si>
  <si>
    <t>JXHGF US</t>
  </si>
  <si>
    <t>JXHLY US Equity</t>
  </si>
  <si>
    <t>ENEOS HOLDIN-ADR</t>
  </si>
  <si>
    <t>JXHLY US</t>
  </si>
  <si>
    <t>JXN US Equity</t>
  </si>
  <si>
    <t>JACKSON FI-A</t>
  </si>
  <si>
    <t>JXN US</t>
  </si>
  <si>
    <t>K US Equity</t>
  </si>
  <si>
    <t>KELLANOVA</t>
  </si>
  <si>
    <t>K US</t>
  </si>
  <si>
    <t>KAEPF US Equity</t>
  </si>
  <si>
    <t>KANSAI ELEC PWR</t>
  </si>
  <si>
    <t>KAEPF US</t>
  </si>
  <si>
    <t>KAEPY US Equity</t>
  </si>
  <si>
    <t>KANSAI ELEC-ADR</t>
  </si>
  <si>
    <t>KAEPY US</t>
  </si>
  <si>
    <t>KB US Equity</t>
  </si>
  <si>
    <t>KB FINANCIAL-ADR</t>
  </si>
  <si>
    <t>KB US</t>
  </si>
  <si>
    <t>KBCSF US Equity</t>
  </si>
  <si>
    <t>KBC GROUP</t>
  </si>
  <si>
    <t>KBCSF US</t>
  </si>
  <si>
    <t>KBCSY US Equity</t>
  </si>
  <si>
    <t>KBC GROEP-ADR</t>
  </si>
  <si>
    <t>KBCSY US</t>
  </si>
  <si>
    <t>KDDIF US Equity</t>
  </si>
  <si>
    <t>KDDI CORP</t>
  </si>
  <si>
    <t>KDDIF US</t>
  </si>
  <si>
    <t>Wireless Telecommunication Services</t>
  </si>
  <si>
    <t>KDDIY US Equity</t>
  </si>
  <si>
    <t>KDDI CORP-UN ADR</t>
  </si>
  <si>
    <t>KDDIY US</t>
  </si>
  <si>
    <t>KDP US Equity</t>
  </si>
  <si>
    <t>KEURIG DR PEPPER</t>
  </si>
  <si>
    <t>KDP US</t>
  </si>
  <si>
    <t>KEP US Equity</t>
  </si>
  <si>
    <t>KOREA ELEC P-ADR</t>
  </si>
  <si>
    <t>KEP US</t>
  </si>
  <si>
    <t>KEY US Equity</t>
  </si>
  <si>
    <t>KEYCORP</t>
  </si>
  <si>
    <t>KEY US</t>
  </si>
  <si>
    <t>KHC US Equity</t>
  </si>
  <si>
    <t>KRAFT HEINZ CO/T</t>
  </si>
  <si>
    <t>KHC US</t>
  </si>
  <si>
    <t>KHOLY US Equity</t>
  </si>
  <si>
    <t>KOC HOLDING-ADR</t>
  </si>
  <si>
    <t>KHOLY US</t>
  </si>
  <si>
    <t>KKR US Equity</t>
  </si>
  <si>
    <t>KKR &amp; CO INC</t>
  </si>
  <si>
    <t>KKR US</t>
  </si>
  <si>
    <t>KLAC US Equity</t>
  </si>
  <si>
    <t>KLA CORP</t>
  </si>
  <si>
    <t>KLAC US</t>
  </si>
  <si>
    <t>KMB US Equity</t>
  </si>
  <si>
    <t>KIMBERLY-CLARK</t>
  </si>
  <si>
    <t>KMB US</t>
  </si>
  <si>
    <t>KMI US Equity</t>
  </si>
  <si>
    <t>KINDER MORGAN IN</t>
  </si>
  <si>
    <t>KMI US</t>
  </si>
  <si>
    <t>KMTUF US Equity</t>
  </si>
  <si>
    <t>KOMATSU LTD</t>
  </si>
  <si>
    <t>KMTUF US</t>
  </si>
  <si>
    <t>KMTUY US Equity</t>
  </si>
  <si>
    <t>KOMATSU LTD-ADR</t>
  </si>
  <si>
    <t>KMTUY US</t>
  </si>
  <si>
    <t>KMX US Equity</t>
  </si>
  <si>
    <t>CARMAX INC</t>
  </si>
  <si>
    <t>KMX US</t>
  </si>
  <si>
    <t>KO US Equity</t>
  </si>
  <si>
    <t>COCA-COLA CO/THE</t>
  </si>
  <si>
    <t>KO US</t>
  </si>
  <si>
    <t>KPCPF US Equity</t>
  </si>
  <si>
    <t>KASIKORNBANK-FOR</t>
  </si>
  <si>
    <t>KPCPF US</t>
  </si>
  <si>
    <t>KPCUF US Equity</t>
  </si>
  <si>
    <t>KASIKORNBAN-NVDR</t>
  </si>
  <si>
    <t>KPCUF US</t>
  </si>
  <si>
    <t>KR US Equity</t>
  </si>
  <si>
    <t>KROGER CO</t>
  </si>
  <si>
    <t>KR US</t>
  </si>
  <si>
    <t>KSHTY US Equity</t>
  </si>
  <si>
    <t>Kuais ADR - UNSP</t>
  </si>
  <si>
    <t>KSHTY US</t>
  </si>
  <si>
    <t>KUASF US Equity</t>
  </si>
  <si>
    <t>KUAISHOU-W</t>
  </si>
  <si>
    <t>KUASF US</t>
  </si>
  <si>
    <t>KUBTF US Equity</t>
  </si>
  <si>
    <t>KUBOTA CORP</t>
  </si>
  <si>
    <t>KUBTF US</t>
  </si>
  <si>
    <t>KUBTY US Equity</t>
  </si>
  <si>
    <t>KUBOTA CORP-ADR</t>
  </si>
  <si>
    <t>KUBTY US</t>
  </si>
  <si>
    <t>KYOCF US Equity</t>
  </si>
  <si>
    <t>KYOCERA CORP</t>
  </si>
  <si>
    <t>KYOCF US</t>
  </si>
  <si>
    <t>KYOCY US Equity</t>
  </si>
  <si>
    <t>KYOCERA CORP-ADR</t>
  </si>
  <si>
    <t>KYOCY US</t>
  </si>
  <si>
    <t>L US Equity</t>
  </si>
  <si>
    <t>LOEWS CORP</t>
  </si>
  <si>
    <t>L US</t>
  </si>
  <si>
    <t>LBLCF US Equity</t>
  </si>
  <si>
    <t>LOBLAW COS LTD</t>
  </si>
  <si>
    <t>LBLCF US</t>
  </si>
  <si>
    <t>LEN US Equity</t>
  </si>
  <si>
    <t>LENNAR CORP-A</t>
  </si>
  <si>
    <t>LEN US</t>
  </si>
  <si>
    <t>LEN/B US Equity</t>
  </si>
  <si>
    <t>LENNAR CORP-B</t>
  </si>
  <si>
    <t>LEN/B US</t>
  </si>
  <si>
    <t>LGEIY US Equity</t>
  </si>
  <si>
    <t>LG ELECTRONI-GDR</t>
  </si>
  <si>
    <t>LGEIY US</t>
  </si>
  <si>
    <t>Consumer Electronics</t>
  </si>
  <si>
    <t>LGEJY US Equity</t>
  </si>
  <si>
    <t>LGEJY US</t>
  </si>
  <si>
    <t>LGFRY US Equity</t>
  </si>
  <si>
    <t>LONGFOR GROU-ADR</t>
  </si>
  <si>
    <t>LGFRY US</t>
  </si>
  <si>
    <t>LHX US Equity</t>
  </si>
  <si>
    <t>L3HARRIS TECHNOL</t>
  </si>
  <si>
    <t>LHX US</t>
  </si>
  <si>
    <t>LLDTF US Equity</t>
  </si>
  <si>
    <t>LLOYDS BANKING</t>
  </si>
  <si>
    <t>LLDTF US</t>
  </si>
  <si>
    <t>LLY US Equity</t>
  </si>
  <si>
    <t>ELI LILLY &amp; CO</t>
  </si>
  <si>
    <t>LLY US</t>
  </si>
  <si>
    <t>LMT US Equity</t>
  </si>
  <si>
    <t>LOCKHEED MARTIN</t>
  </si>
  <si>
    <t>LMT US</t>
  </si>
  <si>
    <t>LNC US Equity</t>
  </si>
  <si>
    <t>LINCOLN NATL CRP</t>
  </si>
  <si>
    <t>LNC US</t>
  </si>
  <si>
    <t>LNG US Equity</t>
  </si>
  <si>
    <t>CHENIERE ENERGY</t>
  </si>
  <si>
    <t>LNG US</t>
  </si>
  <si>
    <t>LNGPF US Equity</t>
  </si>
  <si>
    <t>LONGFOR GROUP HO</t>
  </si>
  <si>
    <t>LNGPF US</t>
  </si>
  <si>
    <t>LNVGF US Equity</t>
  </si>
  <si>
    <t>LENOVO GROUP</t>
  </si>
  <si>
    <t>LNVGF US</t>
  </si>
  <si>
    <t>LNVGY US Equity</t>
  </si>
  <si>
    <t>LENOVO GROUP-ADR</t>
  </si>
  <si>
    <t>LNVGY US</t>
  </si>
  <si>
    <t>LOW US Equity</t>
  </si>
  <si>
    <t>LOWE'S COS INC</t>
  </si>
  <si>
    <t>LOW US</t>
  </si>
  <si>
    <t>LRCX US Equity</t>
  </si>
  <si>
    <t>LAM RESEARCH</t>
  </si>
  <si>
    <t>LRCX US</t>
  </si>
  <si>
    <t>LSGBF US Equity</t>
  </si>
  <si>
    <t>LAND SEC-B SHS</t>
  </si>
  <si>
    <t>LSGBF US</t>
  </si>
  <si>
    <t>Diversified REITs</t>
  </si>
  <si>
    <t>LTORY US Equity</t>
  </si>
  <si>
    <t>LARSEN &amp; TOU-GDR</t>
  </si>
  <si>
    <t>LTORY US</t>
  </si>
  <si>
    <t>LTOUF US Equity</t>
  </si>
  <si>
    <t>LTOUF US</t>
  </si>
  <si>
    <t>LUKOY US Equity</t>
  </si>
  <si>
    <t>LUKOIL PJSC-ADR</t>
  </si>
  <si>
    <t>LUKOY US</t>
  </si>
  <si>
    <t>LUV US Equity</t>
  </si>
  <si>
    <t>SOUTHWEST AIR</t>
  </si>
  <si>
    <t>LUV US</t>
  </si>
  <si>
    <t>LYB US Equity</t>
  </si>
  <si>
    <t>LYONDELLBASELL-A</t>
  </si>
  <si>
    <t>LYB US</t>
  </si>
  <si>
    <t>LYG US Equity</t>
  </si>
  <si>
    <t>LLOYDS BANKING G</t>
  </si>
  <si>
    <t>LYG US</t>
  </si>
  <si>
    <t>MA US Equity</t>
  </si>
  <si>
    <t>MASTERCARD INC-A</t>
  </si>
  <si>
    <t>MA US</t>
  </si>
  <si>
    <t>MAHMF US Equity</t>
  </si>
  <si>
    <t>MAHINDRA &amp; M-GDR</t>
  </si>
  <si>
    <t>MAHMF US</t>
  </si>
  <si>
    <t>MAR US Equity</t>
  </si>
  <si>
    <t>MARRIOTT INTL-A</t>
  </si>
  <si>
    <t>MAR US</t>
  </si>
  <si>
    <t>MARUF US Equity</t>
  </si>
  <si>
    <t>MARUBENI CORP</t>
  </si>
  <si>
    <t>MARUF US</t>
  </si>
  <si>
    <t>MARUY US Equity</t>
  </si>
  <si>
    <t>MARUBENI COR-ADR</t>
  </si>
  <si>
    <t>MARUY US</t>
  </si>
  <si>
    <t>MBFJF US Equity</t>
  </si>
  <si>
    <t>MITSUBISHI UFJ F</t>
  </si>
  <si>
    <t>MBFJF US</t>
  </si>
  <si>
    <t>MBGAF US Equity</t>
  </si>
  <si>
    <t>MERCEDES-BENZ GR</t>
  </si>
  <si>
    <t>MBGAF US</t>
  </si>
  <si>
    <t>MBGYY US Equity</t>
  </si>
  <si>
    <t>MERCEDES-B-U ADR</t>
  </si>
  <si>
    <t>MBGYY US</t>
  </si>
  <si>
    <t>MCD US Equity</t>
  </si>
  <si>
    <t>MCDONALDS CORP</t>
  </si>
  <si>
    <t>MCD US</t>
  </si>
  <si>
    <t>Restaurants</t>
  </si>
  <si>
    <t>MCHP US Equity</t>
  </si>
  <si>
    <t>MICROCHIP TECH</t>
  </si>
  <si>
    <t>MCHP US</t>
  </si>
  <si>
    <t>MCK US Equity</t>
  </si>
  <si>
    <t>MCKESSON CORP</t>
  </si>
  <si>
    <t>MCK US</t>
  </si>
  <si>
    <t>MCO US Equity</t>
  </si>
  <si>
    <t>MOODY'S CORP</t>
  </si>
  <si>
    <t>MCO US</t>
  </si>
  <si>
    <t>MCQEF US Equity</t>
  </si>
  <si>
    <t>MACQUARIE GROUP</t>
  </si>
  <si>
    <t>MCQEF US</t>
  </si>
  <si>
    <t>MDLZ US Equity</t>
  </si>
  <si>
    <t>MONDELEZ INTER-A</t>
  </si>
  <si>
    <t>MDLZ US</t>
  </si>
  <si>
    <t>MDT US Equity</t>
  </si>
  <si>
    <t>MEDTRONIC PLC</t>
  </si>
  <si>
    <t>MDT US</t>
  </si>
  <si>
    <t>MELI US Equity</t>
  </si>
  <si>
    <t>MERCADOLIBRE INC</t>
  </si>
  <si>
    <t>MELI US</t>
  </si>
  <si>
    <t>MET US Equity</t>
  </si>
  <si>
    <t>METLIFE INC</t>
  </si>
  <si>
    <t>MET US</t>
  </si>
  <si>
    <t>META US Equity</t>
  </si>
  <si>
    <t>META PLATFORMS-A</t>
  </si>
  <si>
    <t>META US</t>
  </si>
  <si>
    <t>MFC US Equity</t>
  </si>
  <si>
    <t>MANULIFE FIN</t>
  </si>
  <si>
    <t>MFC US</t>
  </si>
  <si>
    <t>MFG US Equity</t>
  </si>
  <si>
    <t>MIZUHO FINAN-ADR</t>
  </si>
  <si>
    <t>MFG US</t>
  </si>
  <si>
    <t>MGA US Equity</t>
  </si>
  <si>
    <t>MAGNA INTL</t>
  </si>
  <si>
    <t>MGA US</t>
  </si>
  <si>
    <t>MGDDF US Equity</t>
  </si>
  <si>
    <t>MICHELIN</t>
  </si>
  <si>
    <t>MGDDF US</t>
  </si>
  <si>
    <t>MGDDY US Equity</t>
  </si>
  <si>
    <t>MICHELIN-ADR</t>
  </si>
  <si>
    <t>MGDDY US</t>
  </si>
  <si>
    <t>MGM US Equity</t>
  </si>
  <si>
    <t>MGM RESORTS INTE</t>
  </si>
  <si>
    <t>MGM US</t>
  </si>
  <si>
    <t>Casinos &amp; Gaming</t>
  </si>
  <si>
    <t>MIELF US Equity</t>
  </si>
  <si>
    <t>MITSUB ELEC CORP</t>
  </si>
  <si>
    <t>MIELF US</t>
  </si>
  <si>
    <t>Heavy Electrical Equipment</t>
  </si>
  <si>
    <t>MIELY US Equity</t>
  </si>
  <si>
    <t>MITSUB ELEC-ADR</t>
  </si>
  <si>
    <t>MIELY US</t>
  </si>
  <si>
    <t>MITEF US Equity</t>
  </si>
  <si>
    <t>MITSUBISHI ESTAT</t>
  </si>
  <si>
    <t>MITEF US</t>
  </si>
  <si>
    <t>MITEY US Equity</t>
  </si>
  <si>
    <t>MITSUB ESTAT-ADR</t>
  </si>
  <si>
    <t>MITEY US</t>
  </si>
  <si>
    <t>MITSF US Equity</t>
  </si>
  <si>
    <t>MITSUI &amp; CO</t>
  </si>
  <si>
    <t>MITSF US</t>
  </si>
  <si>
    <t>MITSY US Equity</t>
  </si>
  <si>
    <t>MITSUI &amp; CO-ADR</t>
  </si>
  <si>
    <t>MITSY US</t>
  </si>
  <si>
    <t>MKGAF US Equity</t>
  </si>
  <si>
    <t>MERCK KGAA</t>
  </si>
  <si>
    <t>MKGAF US</t>
  </si>
  <si>
    <t>MKKGY US Equity</t>
  </si>
  <si>
    <t>MERCK-SPONS ADR</t>
  </si>
  <si>
    <t>MKKGY US</t>
  </si>
  <si>
    <t>MKL US Equity</t>
  </si>
  <si>
    <t>MARKEL GROUP INC</t>
  </si>
  <si>
    <t>MKL US</t>
  </si>
  <si>
    <t>MLLUY US Equity</t>
  </si>
  <si>
    <t>METALLURGICAL-AD</t>
  </si>
  <si>
    <t>MLLUY US</t>
  </si>
  <si>
    <t>MMC US Equity</t>
  </si>
  <si>
    <t>MARSH &amp; MCLENNAN</t>
  </si>
  <si>
    <t>MMC US</t>
  </si>
  <si>
    <t>MMM US Equity</t>
  </si>
  <si>
    <t>3M CO</t>
  </si>
  <si>
    <t>MMM US</t>
  </si>
  <si>
    <t>MMTOY US Equity</t>
  </si>
  <si>
    <t>MITSUBISHI M-ADR</t>
  </si>
  <si>
    <t>MMTOY US</t>
  </si>
  <si>
    <t>MO US Equity</t>
  </si>
  <si>
    <t>ALTRIA GROUP INC</t>
  </si>
  <si>
    <t>MO US</t>
  </si>
  <si>
    <t>MOH US Equity</t>
  </si>
  <si>
    <t>MOLINA HEALTHCAR</t>
  </si>
  <si>
    <t>MOH US</t>
  </si>
  <si>
    <t>MOS US Equity</t>
  </si>
  <si>
    <t>MOSAIC CO/THE</t>
  </si>
  <si>
    <t>MOS US</t>
  </si>
  <si>
    <t>MPC US Equity</t>
  </si>
  <si>
    <t>MARATHON PETROLE</t>
  </si>
  <si>
    <t>MPC US</t>
  </si>
  <si>
    <t>MPLX US Equity</t>
  </si>
  <si>
    <t>MPLX LP</t>
  </si>
  <si>
    <t>MPLX US</t>
  </si>
  <si>
    <t>MPNGF US Equity</t>
  </si>
  <si>
    <t>MEITUAN-W</t>
  </si>
  <si>
    <t>MPNGF US</t>
  </si>
  <si>
    <t>MPNGY US Equity</t>
  </si>
  <si>
    <t>MEITUAN-UNSP ADR</t>
  </si>
  <si>
    <t>MPNGY US</t>
  </si>
  <si>
    <t>MQBKY US Equity</t>
  </si>
  <si>
    <t>MACQUARIE GR-ADR</t>
  </si>
  <si>
    <t>MQBKY US</t>
  </si>
  <si>
    <t>MRAAF US Equity</t>
  </si>
  <si>
    <t>MURATA MFG CO</t>
  </si>
  <si>
    <t>MRAAF US</t>
  </si>
  <si>
    <t>MRAAY US Equity</t>
  </si>
  <si>
    <t>MURATA MANUF-ADR</t>
  </si>
  <si>
    <t>MRAAY US</t>
  </si>
  <si>
    <t>MRK US Equity</t>
  </si>
  <si>
    <t>MERCK &amp; CO</t>
  </si>
  <si>
    <t>MRK US</t>
  </si>
  <si>
    <t>MRNA US Equity</t>
  </si>
  <si>
    <t>MODERNA INC</t>
  </si>
  <si>
    <t>MRNA US</t>
  </si>
  <si>
    <t>MS US Equity</t>
  </si>
  <si>
    <t>MORGAN STANLEY</t>
  </si>
  <si>
    <t>MS US</t>
  </si>
  <si>
    <t>MSADF US Equity</t>
  </si>
  <si>
    <t>MS&amp;AD INSURANCE</t>
  </si>
  <si>
    <t>MSADF US</t>
  </si>
  <si>
    <t>MSADY US Equity</t>
  </si>
  <si>
    <t>MS&amp;AD INSUR-ADR</t>
  </si>
  <si>
    <t>MSADY US</t>
  </si>
  <si>
    <t>MSFT US Equity</t>
  </si>
  <si>
    <t>MICROSOFT CORP</t>
  </si>
  <si>
    <t>MSFT US</t>
  </si>
  <si>
    <t>Systems Software</t>
  </si>
  <si>
    <t>MT US Equity</t>
  </si>
  <si>
    <t>ARCELORMITTAL-NY</t>
  </si>
  <si>
    <t>MT US</t>
  </si>
  <si>
    <t>MTB US Equity</t>
  </si>
  <si>
    <t>M&amp;T BANK CORP</t>
  </si>
  <si>
    <t>MTB US</t>
  </si>
  <si>
    <t>MTLHF US Equity</t>
  </si>
  <si>
    <t>MITSUBISHI CHEMI</t>
  </si>
  <si>
    <t>MTLHF US</t>
  </si>
  <si>
    <t>MTLHY US Equity</t>
  </si>
  <si>
    <t>MITSUB CHEM-ADR</t>
  </si>
  <si>
    <t>MTLHY US</t>
  </si>
  <si>
    <t>MTSFF US Equity</t>
  </si>
  <si>
    <t>MITSUI FUDOSAN</t>
  </si>
  <si>
    <t>MTSFF US</t>
  </si>
  <si>
    <t>MTSFY US Equity</t>
  </si>
  <si>
    <t>MITSUI-UNSP ADR</t>
  </si>
  <si>
    <t>MTSFY US</t>
  </si>
  <si>
    <t>MU US Equity</t>
  </si>
  <si>
    <t>MICRON TECH</t>
  </si>
  <si>
    <t>MU US</t>
  </si>
  <si>
    <t>MUFG US Equity</t>
  </si>
  <si>
    <t>MITSUBISHI U-ADR</t>
  </si>
  <si>
    <t>MUFG US</t>
  </si>
  <si>
    <t>MURGF US Equity</t>
  </si>
  <si>
    <t>MUENCHENER RUE-R</t>
  </si>
  <si>
    <t>MURGF US</t>
  </si>
  <si>
    <t>MURGY US Equity</t>
  </si>
  <si>
    <t>MUENCHENER-ADR</t>
  </si>
  <si>
    <t>MURGY US</t>
  </si>
  <si>
    <t>MZHOF US Equity</t>
  </si>
  <si>
    <t>MIZUHO FINANCIAL</t>
  </si>
  <si>
    <t>MZHOF US</t>
  </si>
  <si>
    <t>NABZY US Equity</t>
  </si>
  <si>
    <t>NATL AUSTR-ADR</t>
  </si>
  <si>
    <t>NABZY US</t>
  </si>
  <si>
    <t>NAPRF US Equity</t>
  </si>
  <si>
    <t>NASPERS LTD-N</t>
  </si>
  <si>
    <t>NAPRF US</t>
  </si>
  <si>
    <t>NAUBF US Equity</t>
  </si>
  <si>
    <t>NATL AUST BANK</t>
  </si>
  <si>
    <t>NAUBF US</t>
  </si>
  <si>
    <t>NEE US Equity</t>
  </si>
  <si>
    <t>NEXTERA ENERGY</t>
  </si>
  <si>
    <t>NEE US</t>
  </si>
  <si>
    <t>NEM US Equity</t>
  </si>
  <si>
    <t>NEWMONT CORP</t>
  </si>
  <si>
    <t>NEM US</t>
  </si>
  <si>
    <t>NETTF US Equity</t>
  </si>
  <si>
    <t>NETEASE INC</t>
  </si>
  <si>
    <t>NETTF US</t>
  </si>
  <si>
    <t>NFLX US Equity</t>
  </si>
  <si>
    <t>NETFLIX INC</t>
  </si>
  <si>
    <t>NFLX US</t>
  </si>
  <si>
    <t>NGG US Equity</t>
  </si>
  <si>
    <t>NATIONAL GRI-ADR</t>
  </si>
  <si>
    <t>NGG US</t>
  </si>
  <si>
    <t>NGGTF US Equity</t>
  </si>
  <si>
    <t>NATIONAL GRID PL</t>
  </si>
  <si>
    <t>NGGTF US</t>
  </si>
  <si>
    <t>NGLOY US Equity</t>
  </si>
  <si>
    <t>ANGLO AM-SP ADR</t>
  </si>
  <si>
    <t>NGLOY US</t>
  </si>
  <si>
    <t>NHOLF US Equity</t>
  </si>
  <si>
    <t>SOMPO HOLDINGS I</t>
  </si>
  <si>
    <t>NHOLF US</t>
  </si>
  <si>
    <t>NILSY US Equity</t>
  </si>
  <si>
    <t>MMC NORILSK ADR</t>
  </si>
  <si>
    <t>NILSY US</t>
  </si>
  <si>
    <t>NISTF US Equity</t>
  </si>
  <si>
    <t>NIPPON STEEL COR</t>
  </si>
  <si>
    <t>NISTF US</t>
  </si>
  <si>
    <t>NJDCY US Equity</t>
  </si>
  <si>
    <t>NIDEC CORP-ADR</t>
  </si>
  <si>
    <t>NJDCY US</t>
  </si>
  <si>
    <t>NKE US Equity</t>
  </si>
  <si>
    <t>NIKE INC -CL B</t>
  </si>
  <si>
    <t>NKE US</t>
  </si>
  <si>
    <t>Footwear</t>
  </si>
  <si>
    <t>NMR US Equity</t>
  </si>
  <si>
    <t>NOMURA HLDGS-ADR</t>
  </si>
  <si>
    <t>NMR US</t>
  </si>
  <si>
    <t>NNDNF US Equity</t>
  </si>
  <si>
    <t>NIDEC CORP</t>
  </si>
  <si>
    <t>NNDNF US</t>
  </si>
  <si>
    <t>NNGPF US Equity</t>
  </si>
  <si>
    <t>NN GROUP</t>
  </si>
  <si>
    <t>NNGPF US</t>
  </si>
  <si>
    <t>NNGRY US Equity</t>
  </si>
  <si>
    <t>NN GROUP-UNS ADR</t>
  </si>
  <si>
    <t>NNGRY US</t>
  </si>
  <si>
    <t>NOC US Equity</t>
  </si>
  <si>
    <t>NORTHROP GRUMMAN</t>
  </si>
  <si>
    <t>NOC US</t>
  </si>
  <si>
    <t>NOK US Equity</t>
  </si>
  <si>
    <t>NOKIA CORP-ADR</t>
  </si>
  <si>
    <t>NOK US</t>
  </si>
  <si>
    <t>NOKBF US Equity</t>
  </si>
  <si>
    <t>NOKIA OYJ</t>
  </si>
  <si>
    <t>NOKBF US</t>
  </si>
  <si>
    <t>NOW US Equity</t>
  </si>
  <si>
    <t>SERVICENOW INC</t>
  </si>
  <si>
    <t>NOW US</t>
  </si>
  <si>
    <t>NPNYY US Equity</t>
  </si>
  <si>
    <t>NIPPON YUN-S ADR</t>
  </si>
  <si>
    <t>NPNYY US</t>
  </si>
  <si>
    <t>NPSCY US Equity</t>
  </si>
  <si>
    <t>NIPPON STEE-ADR</t>
  </si>
  <si>
    <t>NPSCY US</t>
  </si>
  <si>
    <t>NPSNY US Equity</t>
  </si>
  <si>
    <t>NASPERS-N ADR</t>
  </si>
  <si>
    <t>NPSNY US</t>
  </si>
  <si>
    <t>NRSCF US Equity</t>
  </si>
  <si>
    <t>NOMURA HOLDINGS</t>
  </si>
  <si>
    <t>NRSCF US</t>
  </si>
  <si>
    <t>NSANF US Equity</t>
  </si>
  <si>
    <t>NISSAN MOTOR CO</t>
  </si>
  <si>
    <t>NSANF US</t>
  </si>
  <si>
    <t>NSANY US Equity</t>
  </si>
  <si>
    <t>NISSAN MOTOR-ADR</t>
  </si>
  <si>
    <t>NSANY US</t>
  </si>
  <si>
    <t>NSC US Equity</t>
  </si>
  <si>
    <t>NORFOLK SOUTHERN</t>
  </si>
  <si>
    <t>NSC US</t>
  </si>
  <si>
    <t>NTDOF US Equity</t>
  </si>
  <si>
    <t>NINTENDO CO LTD</t>
  </si>
  <si>
    <t>NTDOF US</t>
  </si>
  <si>
    <t>NTDOY US Equity</t>
  </si>
  <si>
    <t>NINTENDO CO-ADR</t>
  </si>
  <si>
    <t>NTDOY US</t>
  </si>
  <si>
    <t>NTDTY US Equity</t>
  </si>
  <si>
    <t>NTT DATA GRO-ADR</t>
  </si>
  <si>
    <t>NTDTY US</t>
  </si>
  <si>
    <t>NTES US Equity</t>
  </si>
  <si>
    <t>NETEASE INC-ADR</t>
  </si>
  <si>
    <t>NTES US</t>
  </si>
  <si>
    <t>NTIOF US Equity</t>
  </si>
  <si>
    <t>NATL BK CANADA</t>
  </si>
  <si>
    <t>NTIOF US</t>
  </si>
  <si>
    <t>NTR US Equity</t>
  </si>
  <si>
    <t>NUTRIEN LTD</t>
  </si>
  <si>
    <t>NTR US</t>
  </si>
  <si>
    <t>NTRS US Equity</t>
  </si>
  <si>
    <t>NORTHERN TRUST</t>
  </si>
  <si>
    <t>NTRS US</t>
  </si>
  <si>
    <t>NTTDF US Equity</t>
  </si>
  <si>
    <t>NTT DATA GROUP C</t>
  </si>
  <si>
    <t>NTTDF US</t>
  </si>
  <si>
    <t>NUE US Equity</t>
  </si>
  <si>
    <t>NUCOR CORP</t>
  </si>
  <si>
    <t>NUE US</t>
  </si>
  <si>
    <t>NVDA US Equity</t>
  </si>
  <si>
    <t>NVIDIA CORP</t>
  </si>
  <si>
    <t>NVDA US</t>
  </si>
  <si>
    <t>NVS US Equity</t>
  </si>
  <si>
    <t>NOVARTIS AG-ADR</t>
  </si>
  <si>
    <t>NVS US</t>
  </si>
  <si>
    <t>NVSEF US Equity</t>
  </si>
  <si>
    <t>NOVARTIS AG-REG</t>
  </si>
  <si>
    <t>NVSEF US</t>
  </si>
  <si>
    <t>NWG US Equity</t>
  </si>
  <si>
    <t>NATWEST GR-S ADR</t>
  </si>
  <si>
    <t>NWG US</t>
  </si>
  <si>
    <t>NXPI US Equity</t>
  </si>
  <si>
    <t>NXP SEMICONDUCTO</t>
  </si>
  <si>
    <t>NXPI US</t>
  </si>
  <si>
    <t>NYUKF US Equity</t>
  </si>
  <si>
    <t>NIPPON YUSEN KK</t>
  </si>
  <si>
    <t>NYUKF US</t>
  </si>
  <si>
    <t>O US Equity</t>
  </si>
  <si>
    <t>REALTY INCOME</t>
  </si>
  <si>
    <t>O US</t>
  </si>
  <si>
    <t>Retail REITs</t>
  </si>
  <si>
    <t>OKE US Equity</t>
  </si>
  <si>
    <t>ONEOK INC</t>
  </si>
  <si>
    <t>OKE US</t>
  </si>
  <si>
    <t>ORANY US Equity</t>
  </si>
  <si>
    <t>ORANGE-SPON ADR</t>
  </si>
  <si>
    <t>ORANY US</t>
  </si>
  <si>
    <t>ORCL US Equity</t>
  </si>
  <si>
    <t>ORACLE CORP</t>
  </si>
  <si>
    <t>ORCL US</t>
  </si>
  <si>
    <t>ORLY US Equity</t>
  </si>
  <si>
    <t>O'REILLY AUTOMOT</t>
  </si>
  <si>
    <t>ORLY US</t>
  </si>
  <si>
    <t>ORXCF US Equity</t>
  </si>
  <si>
    <t>ORIX CORP</t>
  </si>
  <si>
    <t>ORXCF US</t>
  </si>
  <si>
    <t>OSCUF US Equity</t>
  </si>
  <si>
    <t>JAPAN EXCHANGE G</t>
  </si>
  <si>
    <t>OSCUF US</t>
  </si>
  <si>
    <t>OTPGF US Equity</t>
  </si>
  <si>
    <t>OTP BANK NYR-GDR</t>
  </si>
  <si>
    <t>OTPGF US</t>
  </si>
  <si>
    <t>OXY US Equity</t>
  </si>
  <si>
    <t>OCCIDENTAL PETE</t>
  </si>
  <si>
    <t>OXY US</t>
  </si>
  <si>
    <t>PAA US Equity</t>
  </si>
  <si>
    <t>PLAINS ALL AMER</t>
  </si>
  <si>
    <t>PAA US</t>
  </si>
  <si>
    <t>PARA US Equity</t>
  </si>
  <si>
    <t>PARAMOUNT GLOB-B</t>
  </si>
  <si>
    <t>PARA US</t>
  </si>
  <si>
    <t>Broadcasting</t>
  </si>
  <si>
    <t>PARAA US Equity</t>
  </si>
  <si>
    <t>PARAMOUNT GLOB-A</t>
  </si>
  <si>
    <t>PARAA US</t>
  </si>
  <si>
    <t>PBR US Equity</t>
  </si>
  <si>
    <t>PETROBRAS SA-ADR</t>
  </si>
  <si>
    <t>PBR US</t>
  </si>
  <si>
    <t>PBR/A US Equity</t>
  </si>
  <si>
    <t>PETROBR-SP P ADR</t>
  </si>
  <si>
    <t>PBR/A US</t>
  </si>
  <si>
    <t>PCAR US Equity</t>
  </si>
  <si>
    <t>PACCAR INC</t>
  </si>
  <si>
    <t>PCAR US</t>
  </si>
  <si>
    <t>PCG US Equity</t>
  </si>
  <si>
    <t>PG&amp;E CORP</t>
  </si>
  <si>
    <t>PCG US</t>
  </si>
  <si>
    <t>PCRFF US Equity</t>
  </si>
  <si>
    <t>PANASONIC HOLDIN</t>
  </si>
  <si>
    <t>PCRFF US</t>
  </si>
  <si>
    <t>PCRFY US Equity</t>
  </si>
  <si>
    <t>PANASONIC-ADR</t>
  </si>
  <si>
    <t>PCRFY US</t>
  </si>
  <si>
    <t>PDD US Equity</t>
  </si>
  <si>
    <t>PDD HOLDINGS INC</t>
  </si>
  <si>
    <t>PDD US</t>
  </si>
  <si>
    <t>PDRDF US Equity</t>
  </si>
  <si>
    <t>PERNOD RICARD SA</t>
  </si>
  <si>
    <t>PDRDF US</t>
  </si>
  <si>
    <t>Distillers &amp; Vintners</t>
  </si>
  <si>
    <t>PEG US Equity</t>
  </si>
  <si>
    <t>PUB SERV ENTERP</t>
  </si>
  <si>
    <t>PEG US</t>
  </si>
  <si>
    <t>PEP US Equity</t>
  </si>
  <si>
    <t>PEPSICO INC</t>
  </si>
  <si>
    <t>PEP US</t>
  </si>
  <si>
    <t>PETFF US Equity</t>
  </si>
  <si>
    <t>PTT PCL/FOREIGN</t>
  </si>
  <si>
    <t>PETFF US</t>
  </si>
  <si>
    <t>PFE US Equity</t>
  </si>
  <si>
    <t>PFIZER INC</t>
  </si>
  <si>
    <t>PFE US</t>
  </si>
  <si>
    <t>PFG US Equity</t>
  </si>
  <si>
    <t>PRINCIPAL FINL</t>
  </si>
  <si>
    <t>PFG US</t>
  </si>
  <si>
    <t>PG US Equity</t>
  </si>
  <si>
    <t>PROCTER &amp; GAMBLE</t>
  </si>
  <si>
    <t>PG US</t>
  </si>
  <si>
    <t>PGPEF US Equity</t>
  </si>
  <si>
    <t>PUBLICIS GROUPE</t>
  </si>
  <si>
    <t>PGPEF US</t>
  </si>
  <si>
    <t>Advertising</t>
  </si>
  <si>
    <t>PGR US Equity</t>
  </si>
  <si>
    <t>PROGRESSIVE CORP</t>
  </si>
  <si>
    <t>PGR US</t>
  </si>
  <si>
    <t>PH US Equity</t>
  </si>
  <si>
    <t>PARKER HANNIFIN</t>
  </si>
  <si>
    <t>PH US</t>
  </si>
  <si>
    <t>PHG US Equity</t>
  </si>
  <si>
    <t>KONINKLIJKE P-NY</t>
  </si>
  <si>
    <t>PHG US</t>
  </si>
  <si>
    <t>PIAIF US Equity</t>
  </si>
  <si>
    <t>PING AN</t>
  </si>
  <si>
    <t>PIAIF US</t>
  </si>
  <si>
    <t>PINXY US Equity</t>
  </si>
  <si>
    <t>PEOPLE'S INS-ADR</t>
  </si>
  <si>
    <t>PINXY US</t>
  </si>
  <si>
    <t>PKX US Equity</t>
  </si>
  <si>
    <t>POSCO-SPON ADR</t>
  </si>
  <si>
    <t>PKX US</t>
  </si>
  <si>
    <t>PLD US Equity</t>
  </si>
  <si>
    <t>PROLOGIS INC</t>
  </si>
  <si>
    <t>PLD US</t>
  </si>
  <si>
    <t>Industrial REITs</t>
  </si>
  <si>
    <t>PM US Equity</t>
  </si>
  <si>
    <t>PHILIP MORRIS IN</t>
  </si>
  <si>
    <t>PM US</t>
  </si>
  <si>
    <t>PNC US Equity</t>
  </si>
  <si>
    <t>PNC FINANCIAL SE</t>
  </si>
  <si>
    <t>PNC US</t>
  </si>
  <si>
    <t>PNGAY US Equity</t>
  </si>
  <si>
    <t>PING AN INSU-ADR</t>
  </si>
  <si>
    <t>PNGAY US</t>
  </si>
  <si>
    <t>PPCCF US Equity</t>
  </si>
  <si>
    <t>PICC P&amp;C-H</t>
  </si>
  <si>
    <t>PPCCF US</t>
  </si>
  <si>
    <t>PPCCY US Equity</t>
  </si>
  <si>
    <t>PICC-UNSP ADR</t>
  </si>
  <si>
    <t>PPCCY US</t>
  </si>
  <si>
    <t>PPG US Equity</t>
  </si>
  <si>
    <t>PPG INDS INC</t>
  </si>
  <si>
    <t>PPG US</t>
  </si>
  <si>
    <t>PPL US Equity</t>
  </si>
  <si>
    <t>PPL CORP</t>
  </si>
  <si>
    <t>PPL US</t>
  </si>
  <si>
    <t>PPRUF US Equity</t>
  </si>
  <si>
    <t>KERING</t>
  </si>
  <si>
    <t>PPRUF US</t>
  </si>
  <si>
    <t>PPRUY US Equity</t>
  </si>
  <si>
    <t>KERING-UNSP ADR</t>
  </si>
  <si>
    <t>PPRUY US</t>
  </si>
  <si>
    <t>PRNDY US Equity</t>
  </si>
  <si>
    <t>PERNO - SPON ADR</t>
  </si>
  <si>
    <t>PRNDY US</t>
  </si>
  <si>
    <t>PRU US Equity</t>
  </si>
  <si>
    <t>PRUDENTL FINL</t>
  </si>
  <si>
    <t>PRU US</t>
  </si>
  <si>
    <t>PSBKF US Equity</t>
  </si>
  <si>
    <t>POSTAL SAVINGS-H</t>
  </si>
  <si>
    <t>PSBKF US</t>
  </si>
  <si>
    <t>PSTVY US Equity</t>
  </si>
  <si>
    <t>POSTAL SAVIN-ADR</t>
  </si>
  <si>
    <t>PSTVY US</t>
  </si>
  <si>
    <t>PSX US Equity</t>
  </si>
  <si>
    <t>PHILLIPS 66</t>
  </si>
  <si>
    <t>PSX US</t>
  </si>
  <si>
    <t>PSZKF US Equity</t>
  </si>
  <si>
    <t>PKOBP</t>
  </si>
  <si>
    <t>PSZKF US</t>
  </si>
  <si>
    <t>PSZKY US Equity</t>
  </si>
  <si>
    <t>PKOBP-ADR</t>
  </si>
  <si>
    <t>PSZKY US</t>
  </si>
  <si>
    <t>PUBGY US Equity</t>
  </si>
  <si>
    <t>PUBLICIS GR-ADR</t>
  </si>
  <si>
    <t>PUBGY US</t>
  </si>
  <si>
    <t>PUK US Equity</t>
  </si>
  <si>
    <t>PRUDENTIAL-ADR</t>
  </si>
  <si>
    <t>PUK US</t>
  </si>
  <si>
    <t>PUKPF US Equity</t>
  </si>
  <si>
    <t>PRUDENTIAL PLC</t>
  </si>
  <si>
    <t>PUKPF US</t>
  </si>
  <si>
    <t>PUTRF US Equity</t>
  </si>
  <si>
    <t>PTT PCL-NVDR</t>
  </si>
  <si>
    <t>PUTRF US</t>
  </si>
  <si>
    <t>PUTRY US Equity</t>
  </si>
  <si>
    <t>PTT PCL-ADR</t>
  </si>
  <si>
    <t>PUTRY US</t>
  </si>
  <si>
    <t>PWCDF US Equity</t>
  </si>
  <si>
    <t>POWER CORP CDA</t>
  </si>
  <si>
    <t>PWCDF US</t>
  </si>
  <si>
    <t>PXD US Equity</t>
  </si>
  <si>
    <t>PIONEER NATURAL</t>
  </si>
  <si>
    <t>PXD US</t>
  </si>
  <si>
    <t>PYPL US Equity</t>
  </si>
  <si>
    <t>PAYPAL HOLDINGS</t>
  </si>
  <si>
    <t>PYPL US</t>
  </si>
  <si>
    <t>QBEIF US Equity</t>
  </si>
  <si>
    <t>QBE INSURANCE</t>
  </si>
  <si>
    <t>QBEIF US</t>
  </si>
  <si>
    <t>QBIEY US Equity</t>
  </si>
  <si>
    <t>QBE INSURANC-ADR</t>
  </si>
  <si>
    <t>QBIEY US</t>
  </si>
  <si>
    <t>QCOM US Equity</t>
  </si>
  <si>
    <t>QUALCOMM INC</t>
  </si>
  <si>
    <t>QCOM US</t>
  </si>
  <si>
    <t>QUCCF US Equity</t>
  </si>
  <si>
    <t>QUANTA COMP-GDR</t>
  </si>
  <si>
    <t>QUCCF US</t>
  </si>
  <si>
    <t>RAIFF US Equity</t>
  </si>
  <si>
    <t>RAIFFEISEN BANK</t>
  </si>
  <si>
    <t>RAIFF US</t>
  </si>
  <si>
    <t>RAIFY US Equity</t>
  </si>
  <si>
    <t>RAIFFEISEN -ADR</t>
  </si>
  <si>
    <t>RAIFY US</t>
  </si>
  <si>
    <t>RBSPF US Equity</t>
  </si>
  <si>
    <t>NATWEST GROUP PL</t>
  </si>
  <si>
    <t>RBSPF US</t>
  </si>
  <si>
    <t>RCRRF US Equity</t>
  </si>
  <si>
    <t>RECRUIT HOLDINGS</t>
  </si>
  <si>
    <t>RCRRF US</t>
  </si>
  <si>
    <t>RCRUY US Equity</t>
  </si>
  <si>
    <t>RECRUIT HLDG-ADR</t>
  </si>
  <si>
    <t>RCRUY US</t>
  </si>
  <si>
    <t>REGN US Equity</t>
  </si>
  <si>
    <t>REGENERON PHARM</t>
  </si>
  <si>
    <t>REGN US</t>
  </si>
  <si>
    <t>REPYF US Equity</t>
  </si>
  <si>
    <t>REPSOL SA</t>
  </si>
  <si>
    <t>REPYF US</t>
  </si>
  <si>
    <t>REPYY US Equity</t>
  </si>
  <si>
    <t>REPSOL SA-ADR</t>
  </si>
  <si>
    <t>REPYY US</t>
  </si>
  <si>
    <t>RF US Equity</t>
  </si>
  <si>
    <t>REGIONS FINANCIA</t>
  </si>
  <si>
    <t>RF US</t>
  </si>
  <si>
    <t>RGA US Equity</t>
  </si>
  <si>
    <t>REINSURANCE GROU</t>
  </si>
  <si>
    <t>RGA US</t>
  </si>
  <si>
    <t>RHHBF US Equity</t>
  </si>
  <si>
    <t>ROCHE HOLDING-BR</t>
  </si>
  <si>
    <t>RHHBF US</t>
  </si>
  <si>
    <t>RHHBY US Equity</t>
  </si>
  <si>
    <t>ROCHE HLDGS-ADR</t>
  </si>
  <si>
    <t>RHHBY US</t>
  </si>
  <si>
    <t>RHHVF US Equity</t>
  </si>
  <si>
    <t>ROCHE HLDG-GENUS</t>
  </si>
  <si>
    <t>RHHVF US</t>
  </si>
  <si>
    <t>RIO US Equity</t>
  </si>
  <si>
    <t>RIO TINTO-ADR</t>
  </si>
  <si>
    <t>RIO US</t>
  </si>
  <si>
    <t>RJF US Equity</t>
  </si>
  <si>
    <t>RAYMOND JAMES</t>
  </si>
  <si>
    <t>RJF US</t>
  </si>
  <si>
    <t>RKUNF US Equity</t>
  </si>
  <si>
    <t>RAKUTEN GROUP IN</t>
  </si>
  <si>
    <t>RKUNF US</t>
  </si>
  <si>
    <t>RKUNY US Equity</t>
  </si>
  <si>
    <t>RAKUTEN GRP-ADR</t>
  </si>
  <si>
    <t>RKUNY US</t>
  </si>
  <si>
    <t>RNLSY US Equity</t>
  </si>
  <si>
    <t>RENAULT-UNS ADR</t>
  </si>
  <si>
    <t>RNLSY US</t>
  </si>
  <si>
    <t>RNSDF US Equity</t>
  </si>
  <si>
    <t>RENAULT SA</t>
  </si>
  <si>
    <t>RNSDF US</t>
  </si>
  <si>
    <t>ROP US Equity</t>
  </si>
  <si>
    <t>ROPER TECHNOLOGI</t>
  </si>
  <si>
    <t>ROP US</t>
  </si>
  <si>
    <t>ROST US Equity</t>
  </si>
  <si>
    <t>ROSS STORES INC</t>
  </si>
  <si>
    <t>ROST US</t>
  </si>
  <si>
    <t>RSG US Equity</t>
  </si>
  <si>
    <t>REPUBLIC SVCS</t>
  </si>
  <si>
    <t>RSG US</t>
  </si>
  <si>
    <t>Commercial Services &amp; Supplies</t>
  </si>
  <si>
    <t>Environmental &amp; Facilities Services</t>
  </si>
  <si>
    <t>RTPPF US Equity</t>
  </si>
  <si>
    <t>RIO TINTO PLC</t>
  </si>
  <si>
    <t>RTPPF US</t>
  </si>
  <si>
    <t>RTX US Equity</t>
  </si>
  <si>
    <t>RTX CORP</t>
  </si>
  <si>
    <t>RTX US</t>
  </si>
  <si>
    <t>RWEOY US Equity</t>
  </si>
  <si>
    <t>RWE AG-ADR</t>
  </si>
  <si>
    <t>RWEOY US</t>
  </si>
  <si>
    <t>RWNFF US Equity</t>
  </si>
  <si>
    <t>RWE AG</t>
  </si>
  <si>
    <t>RWNFF US</t>
  </si>
  <si>
    <t>RY US Equity</t>
  </si>
  <si>
    <t>ROYAL BANK OF CA</t>
  </si>
  <si>
    <t>RY US</t>
  </si>
  <si>
    <t>RYLPF US Equity</t>
  </si>
  <si>
    <t>KONINKLIJKE PHIL</t>
  </si>
  <si>
    <t>RYLPF US</t>
  </si>
  <si>
    <t>SAAYY US Equity</t>
  </si>
  <si>
    <t>SAIPEM SPA-ADR</t>
  </si>
  <si>
    <t>SAAYY US</t>
  </si>
  <si>
    <t>SAFRF US Equity</t>
  </si>
  <si>
    <t>SAFRAN SA</t>
  </si>
  <si>
    <t>SAFRF US</t>
  </si>
  <si>
    <t>SAFRY US Equity</t>
  </si>
  <si>
    <t>SAFRAN SA-ADR</t>
  </si>
  <si>
    <t>SAFRY US</t>
  </si>
  <si>
    <t>SAN US Equity</t>
  </si>
  <si>
    <t>BANCO SANTAN-ADR</t>
  </si>
  <si>
    <t>SAN US</t>
  </si>
  <si>
    <t>SAP US Equity</t>
  </si>
  <si>
    <t>SAP SE-SPONS ADR</t>
  </si>
  <si>
    <t>SAP US</t>
  </si>
  <si>
    <t>SAPGF US Equity</t>
  </si>
  <si>
    <t>SAP SE</t>
  </si>
  <si>
    <t>SAPGF US</t>
  </si>
  <si>
    <t>SAXPF US Equity</t>
  </si>
  <si>
    <t>SAMPO OYJ-A SHS</t>
  </si>
  <si>
    <t>SAXPF US</t>
  </si>
  <si>
    <t>SAXPY US Equity</t>
  </si>
  <si>
    <t>SAMPO OYJ-A -ADR</t>
  </si>
  <si>
    <t>SAXPY US</t>
  </si>
  <si>
    <t>SBGOF US Equity</t>
  </si>
  <si>
    <t>STANDARD BANK GR</t>
  </si>
  <si>
    <t>SBGOF US</t>
  </si>
  <si>
    <t>SBGSF US Equity</t>
  </si>
  <si>
    <t>SCHNEIDER ELECTR</t>
  </si>
  <si>
    <t>SBGSF US</t>
  </si>
  <si>
    <t>SBGSY US Equity</t>
  </si>
  <si>
    <t>SCHNEIDER -ADR</t>
  </si>
  <si>
    <t>SBGSY US</t>
  </si>
  <si>
    <t>SBKFF US Equity</t>
  </si>
  <si>
    <t>STATE BK IND-GDR</t>
  </si>
  <si>
    <t>SBKFF US</t>
  </si>
  <si>
    <t>SBKJY US Equity</t>
  </si>
  <si>
    <t>SBKJY US</t>
  </si>
  <si>
    <t>SBUX US Equity</t>
  </si>
  <si>
    <t>STARBUCKS CORP</t>
  </si>
  <si>
    <t>SBUX US</t>
  </si>
  <si>
    <t>SCBFF US Equity</t>
  </si>
  <si>
    <t>STANDARD CHARTER</t>
  </si>
  <si>
    <t>SCBFF US</t>
  </si>
  <si>
    <t>SCBFY US Equity</t>
  </si>
  <si>
    <t>STANDAR-UNSP ADR</t>
  </si>
  <si>
    <t>SCBFY US</t>
  </si>
  <si>
    <t>SCCO US Equity</t>
  </si>
  <si>
    <t>SOUTHERN COPPER</t>
  </si>
  <si>
    <t>SCCO US</t>
  </si>
  <si>
    <t>SCGLF US Equity</t>
  </si>
  <si>
    <t>SOC GENERALE SA</t>
  </si>
  <si>
    <t>SCGLF US</t>
  </si>
  <si>
    <t>SCGLY US Equity</t>
  </si>
  <si>
    <t>SOC GENERALE-ADR</t>
  </si>
  <si>
    <t>SCGLY US</t>
  </si>
  <si>
    <t>SCHW US Equity</t>
  </si>
  <si>
    <t>SCHWAB (CHARLES)</t>
  </si>
  <si>
    <t>SCHW US</t>
  </si>
  <si>
    <t>SCMWY US Equity</t>
  </si>
  <si>
    <t>SWISSCOM AG-ADR</t>
  </si>
  <si>
    <t>SCMWY US</t>
  </si>
  <si>
    <t>SCVUF US Equity</t>
  </si>
  <si>
    <t>SIAM CEMENT-NVDR</t>
  </si>
  <si>
    <t>SCVUF US</t>
  </si>
  <si>
    <t>SDXAY US Equity</t>
  </si>
  <si>
    <t>SODEXO-ADR</t>
  </si>
  <si>
    <t>SDXAY US</t>
  </si>
  <si>
    <t>SDXOF US Equity</t>
  </si>
  <si>
    <t>SODEXO SA</t>
  </si>
  <si>
    <t>SDXOF US</t>
  </si>
  <si>
    <t>SE US Equity</t>
  </si>
  <si>
    <t>SEA LTD-ADR</t>
  </si>
  <si>
    <t>SE US</t>
  </si>
  <si>
    <t>SFBQF US Equity</t>
  </si>
  <si>
    <t>SOFTBANK CORP</t>
  </si>
  <si>
    <t>SFBQF US</t>
  </si>
  <si>
    <t>SFTBF US Equity</t>
  </si>
  <si>
    <t>SOFTBANK GROUP C</t>
  </si>
  <si>
    <t>SFTBF US</t>
  </si>
  <si>
    <t>SFTBY US Equity</t>
  </si>
  <si>
    <t>SOFTBANK-ADR</t>
  </si>
  <si>
    <t>SFTBY US</t>
  </si>
  <si>
    <t>SGAPY US Equity</t>
  </si>
  <si>
    <t>SINGAP TELEC-ADR</t>
  </si>
  <si>
    <t>SGAPY US</t>
  </si>
  <si>
    <t>SGBLY US Equity</t>
  </si>
  <si>
    <t>STANDARD-SP ADR</t>
  </si>
  <si>
    <t>SGBLY US</t>
  </si>
  <si>
    <t>SHECF US Equity</t>
  </si>
  <si>
    <t>SHIN-ETSU CHEM</t>
  </si>
  <si>
    <t>SHECF US</t>
  </si>
  <si>
    <t>SHECY US Equity</t>
  </si>
  <si>
    <t>SHIN-ETSU-ADAR</t>
  </si>
  <si>
    <t>SHECY US</t>
  </si>
  <si>
    <t>SHG US Equity</t>
  </si>
  <si>
    <t>SHINHAN FINA-ADR</t>
  </si>
  <si>
    <t>SHG US</t>
  </si>
  <si>
    <t>SHPMF US Equity</t>
  </si>
  <si>
    <t>SHANGHAI PHARM-H</t>
  </si>
  <si>
    <t>SHPMF US</t>
  </si>
  <si>
    <t>SHPMY US Equity</t>
  </si>
  <si>
    <t>SHANG PHARM-ADR</t>
  </si>
  <si>
    <t>SHPMY US</t>
  </si>
  <si>
    <t>SHTDF US Equity</t>
  </si>
  <si>
    <t>SINOPHARM-H</t>
  </si>
  <si>
    <t>SHTDF US</t>
  </si>
  <si>
    <t>SHTDY US Equity</t>
  </si>
  <si>
    <t>SINOPHARM GR-ADR</t>
  </si>
  <si>
    <t>SHTDY US</t>
  </si>
  <si>
    <t>SHW US Equity</t>
  </si>
  <si>
    <t>SHERWIN-WILLIAMS</t>
  </si>
  <si>
    <t>SHW US</t>
  </si>
  <si>
    <t>SIEGY US Equity</t>
  </si>
  <si>
    <t>SIEMENS AG-ADR</t>
  </si>
  <si>
    <t>SIEGY US</t>
  </si>
  <si>
    <t>SIVBQ US Equity</t>
  </si>
  <si>
    <t>SVB FINANCIAL GR</t>
  </si>
  <si>
    <t>SIVBQ US</t>
  </si>
  <si>
    <t>SLB US Equity</t>
  </si>
  <si>
    <t>SCHLUMBERGER LTD</t>
  </si>
  <si>
    <t>SLB US</t>
  </si>
  <si>
    <t>SLF US Equity</t>
  </si>
  <si>
    <t>SUN LIFE FINANCI</t>
  </si>
  <si>
    <t>SLF US</t>
  </si>
  <si>
    <t>SMAWF US Equity</t>
  </si>
  <si>
    <t>SIEMENS AG-REG</t>
  </si>
  <si>
    <t>SMAWF US</t>
  </si>
  <si>
    <t>SMEGF US Equity</t>
  </si>
  <si>
    <t>SIEMENS ENERGY A</t>
  </si>
  <si>
    <t>SMEGF US</t>
  </si>
  <si>
    <t>SMFG US Equity</t>
  </si>
  <si>
    <t>SUMITOMO MIT-ADR</t>
  </si>
  <si>
    <t>SMFG US</t>
  </si>
  <si>
    <t>SMFNF US Equity</t>
  </si>
  <si>
    <t>SMFG</t>
  </si>
  <si>
    <t>SMFNF US</t>
  </si>
  <si>
    <t>SMNEY US Equity</t>
  </si>
  <si>
    <t>SIEMENS ENER-ADR</t>
  </si>
  <si>
    <t>SMNEY US</t>
  </si>
  <si>
    <t>SMPNY US Equity</t>
  </si>
  <si>
    <t>SOMPO JAP-UN ADR</t>
  </si>
  <si>
    <t>SMPNY US</t>
  </si>
  <si>
    <t>SNEJF US Equity</t>
  </si>
  <si>
    <t>SONY GROUP CORP</t>
  </si>
  <si>
    <t>SNEJF US</t>
  </si>
  <si>
    <t>SNGNF US Equity</t>
  </si>
  <si>
    <t>SINGAPORE TELECO</t>
  </si>
  <si>
    <t>SNGNF US</t>
  </si>
  <si>
    <t>SNMCY US Equity</t>
  </si>
  <si>
    <t>SUNCORP GRP-ADR</t>
  </si>
  <si>
    <t>SNMCY US</t>
  </si>
  <si>
    <t>SNMYD US Equity</t>
  </si>
  <si>
    <t>SUNCORP GROUP LT</t>
  </si>
  <si>
    <t>SNMYD US</t>
  </si>
  <si>
    <t>SNX US Equity</t>
  </si>
  <si>
    <t>TD SYNNEX CORP</t>
  </si>
  <si>
    <t>SNX US</t>
  </si>
  <si>
    <t>SNY US Equity</t>
  </si>
  <si>
    <t>SANOFI-ADR</t>
  </si>
  <si>
    <t>SNY US</t>
  </si>
  <si>
    <t>SNYNF US Equity</t>
  </si>
  <si>
    <t>SANOFI</t>
  </si>
  <si>
    <t>SNYNF US</t>
  </si>
  <si>
    <t>SO US Equity</t>
  </si>
  <si>
    <t>SOUTHERN CO</t>
  </si>
  <si>
    <t>SO US</t>
  </si>
  <si>
    <t>SOBKY US Equity</t>
  </si>
  <si>
    <t>SOFTBANK COR-ADR</t>
  </si>
  <si>
    <t>SOBKY US</t>
  </si>
  <si>
    <t>SONY US Equity</t>
  </si>
  <si>
    <t>SONY GROUP-ADR</t>
  </si>
  <si>
    <t>SONY US</t>
  </si>
  <si>
    <t>SPG US Equity</t>
  </si>
  <si>
    <t>SIMON PROPERTY</t>
  </si>
  <si>
    <t>SPG US</t>
  </si>
  <si>
    <t>SPGI US Equity</t>
  </si>
  <si>
    <t>S&amp;P GLOBAL INC</t>
  </si>
  <si>
    <t>SPGI US</t>
  </si>
  <si>
    <t>SPRV US Equity</t>
  </si>
  <si>
    <t>SUPURVA HEALTHCA</t>
  </si>
  <si>
    <t>SPRV US</t>
  </si>
  <si>
    <t>SRE US Equity</t>
  </si>
  <si>
    <t>SEMPRA</t>
  </si>
  <si>
    <t>SRE US</t>
  </si>
  <si>
    <t>SSEZF US Equity</t>
  </si>
  <si>
    <t>SSE PLC</t>
  </si>
  <si>
    <t>SSEZF US</t>
  </si>
  <si>
    <t>SSEZY US Equity</t>
  </si>
  <si>
    <t>SSE PLC-SPN ADR</t>
  </si>
  <si>
    <t>SSEZY US</t>
  </si>
  <si>
    <t>SSREF US Equity</t>
  </si>
  <si>
    <t>SWISS RE AG</t>
  </si>
  <si>
    <t>SSREF US</t>
  </si>
  <si>
    <t>SSREY US Equity</t>
  </si>
  <si>
    <t>SWISS RE LTD-ADR</t>
  </si>
  <si>
    <t>SSREY US</t>
  </si>
  <si>
    <t>SSUMF US Equity</t>
  </si>
  <si>
    <t>SUMITOMO CORP</t>
  </si>
  <si>
    <t>SSUMF US</t>
  </si>
  <si>
    <t>SSUMY US Equity</t>
  </si>
  <si>
    <t>SUMITOMO COR-ADR</t>
  </si>
  <si>
    <t>SSUMY US</t>
  </si>
  <si>
    <t>STLA US Equity</t>
  </si>
  <si>
    <t>STELLANTIS NV</t>
  </si>
  <si>
    <t>STLA US</t>
  </si>
  <si>
    <t>STM US Equity</t>
  </si>
  <si>
    <t>STMICROELECTR-NY</t>
  </si>
  <si>
    <t>STM US</t>
  </si>
  <si>
    <t>STT US Equity</t>
  </si>
  <si>
    <t>STATE ST CORP</t>
  </si>
  <si>
    <t>STT US</t>
  </si>
  <si>
    <t>STZ US Equity</t>
  </si>
  <si>
    <t>CONSTELLATION-A</t>
  </si>
  <si>
    <t>STZ US</t>
  </si>
  <si>
    <t>SU US Equity</t>
  </si>
  <si>
    <t>SUNCOR ENERGY</t>
  </si>
  <si>
    <t>SU US</t>
  </si>
  <si>
    <t>SUTNY US Equity</t>
  </si>
  <si>
    <t>SUTNY US</t>
  </si>
  <si>
    <t>SVNDF US Equity</t>
  </si>
  <si>
    <t>SEVEN &amp; I HOLDIN</t>
  </si>
  <si>
    <t>SVNDF US</t>
  </si>
  <si>
    <t>SVNDY US Equity</t>
  </si>
  <si>
    <t>SEVEN &amp; I HO-ADR</t>
  </si>
  <si>
    <t>SVNDY US</t>
  </si>
  <si>
    <t>SVNLF US Equity</t>
  </si>
  <si>
    <t>SVENSKA HAN-A</t>
  </si>
  <si>
    <t>SVNLF US</t>
  </si>
  <si>
    <t>SVNLY US Equity</t>
  </si>
  <si>
    <t>SVENSKA HAND-ADR</t>
  </si>
  <si>
    <t>SVNLY US</t>
  </si>
  <si>
    <t>SVXY US Equity</t>
  </si>
  <si>
    <t>PRO SHORT VIX ST</t>
  </si>
  <si>
    <t>SVXY</t>
  </si>
  <si>
    <t>SWDBF US Equity</t>
  </si>
  <si>
    <t>SWEDBANK AB-A</t>
  </si>
  <si>
    <t>SWDBF US</t>
  </si>
  <si>
    <t>SWDBY US Equity</t>
  </si>
  <si>
    <t>SWEDBANK AB-ADR</t>
  </si>
  <si>
    <t>SWDBY US</t>
  </si>
  <si>
    <t>SWRAF US Equity</t>
  </si>
  <si>
    <t>SWIRE PACIFIC-A</t>
  </si>
  <si>
    <t>SWRAF US</t>
  </si>
  <si>
    <t>SWRAY US Equity</t>
  </si>
  <si>
    <t>SWIRE PAC-ADR A</t>
  </si>
  <si>
    <t>SWRAY US</t>
  </si>
  <si>
    <t>SWRBF US Equity</t>
  </si>
  <si>
    <t>SWIRE PACIF-CL B</t>
  </si>
  <si>
    <t>SWRBF US</t>
  </si>
  <si>
    <t>SWRBY US Equity</t>
  </si>
  <si>
    <t>SWIRE PAC-ADR B</t>
  </si>
  <si>
    <t>SWRBY US</t>
  </si>
  <si>
    <t>SWSDF US Equity</t>
  </si>
  <si>
    <t>SWISS LIFE H AG</t>
  </si>
  <si>
    <t>SWSDF US</t>
  </si>
  <si>
    <t>SWZCF US Equity</t>
  </si>
  <si>
    <t>SWISSCOM AG-REG</t>
  </si>
  <si>
    <t>SWZCF US</t>
  </si>
  <si>
    <t>SYF US Equity</t>
  </si>
  <si>
    <t>SYNCHRONY FINANC</t>
  </si>
  <si>
    <t>SYF US</t>
  </si>
  <si>
    <t>SYK US Equity</t>
  </si>
  <si>
    <t>STRYKER CORP</t>
  </si>
  <si>
    <t>SYK US</t>
  </si>
  <si>
    <t>SYY US Equity</t>
  </si>
  <si>
    <t>SYSCO CORP</t>
  </si>
  <si>
    <t>SYY US</t>
  </si>
  <si>
    <t>Food Distributors</t>
  </si>
  <si>
    <t>SZKMF US Equity</t>
  </si>
  <si>
    <t>SUZUKI MOTOR</t>
  </si>
  <si>
    <t>SZKMF US</t>
  </si>
  <si>
    <t>SZKMY US Equity</t>
  </si>
  <si>
    <t>SUZUKI MOT-ADR</t>
  </si>
  <si>
    <t>SZKMY US</t>
  </si>
  <si>
    <t>SZLMY US Equity</t>
  </si>
  <si>
    <t>SWISS LIFE-ADR</t>
  </si>
  <si>
    <t>SZLMY US</t>
  </si>
  <si>
    <t>T US Equity</t>
  </si>
  <si>
    <t>AT&amp;T INC</t>
  </si>
  <si>
    <t>T US</t>
  </si>
  <si>
    <t>TAK US Equity</t>
  </si>
  <si>
    <t>TAKEDA PHARM-ADR</t>
  </si>
  <si>
    <t>TAK US</t>
  </si>
  <si>
    <t>TATLY US Equity</t>
  </si>
  <si>
    <t>TATA STEEL-GDR</t>
  </si>
  <si>
    <t>TATLY US</t>
  </si>
  <si>
    <t>TCEHY US Equity</t>
  </si>
  <si>
    <t>TENCENT HOLD-ADR</t>
  </si>
  <si>
    <t>TCEHY US</t>
  </si>
  <si>
    <t>TCKRF US Equity</t>
  </si>
  <si>
    <t>TECK RESOURCES-A</t>
  </si>
  <si>
    <t>TCKRF US</t>
  </si>
  <si>
    <t>TCTZF US Equity</t>
  </si>
  <si>
    <t>TENCENT</t>
  </si>
  <si>
    <t>TCTZF US</t>
  </si>
  <si>
    <t>TD US Equity</t>
  </si>
  <si>
    <t>TORONTO-DOM BANK</t>
  </si>
  <si>
    <t>TD US</t>
  </si>
  <si>
    <t>TDHOF US Equity</t>
  </si>
  <si>
    <t>T&amp;D HOLDING INC</t>
  </si>
  <si>
    <t>TDHOF US</t>
  </si>
  <si>
    <t>TDHOY US Equity</t>
  </si>
  <si>
    <t>T&amp;D HOLDINGS-ADR</t>
  </si>
  <si>
    <t>TDHOY US</t>
  </si>
  <si>
    <t>TECK US Equity</t>
  </si>
  <si>
    <t>TECK RESOURCES-B</t>
  </si>
  <si>
    <t>TECK US</t>
  </si>
  <si>
    <t>TEF US Equity</t>
  </si>
  <si>
    <t>TELEFONICA-ADR</t>
  </si>
  <si>
    <t>TEF US</t>
  </si>
  <si>
    <t>TEFOF US Equity</t>
  </si>
  <si>
    <t>TELEFONICA</t>
  </si>
  <si>
    <t>TEFOF US</t>
  </si>
  <si>
    <t>TFC US Equity</t>
  </si>
  <si>
    <t>TRUIST FINANCIAL</t>
  </si>
  <si>
    <t>TFC US</t>
  </si>
  <si>
    <t>TGT US Equity</t>
  </si>
  <si>
    <t>TARGET CORP</t>
  </si>
  <si>
    <t>TGT US</t>
  </si>
  <si>
    <t>THLEF US Equity</t>
  </si>
  <si>
    <t>THALES SA</t>
  </si>
  <si>
    <t>THLEF US</t>
  </si>
  <si>
    <t>THLLY US Equity</t>
  </si>
  <si>
    <t>THALES SA -UNADR</t>
  </si>
  <si>
    <t>THLLY US</t>
  </si>
  <si>
    <t>TJX US Equity</t>
  </si>
  <si>
    <t>TJX COS INC</t>
  </si>
  <si>
    <t>TJX US</t>
  </si>
  <si>
    <t>TKECF US Equity</t>
  </si>
  <si>
    <t>TOKYO ELECTRIC P</t>
  </si>
  <si>
    <t>TKECF US</t>
  </si>
  <si>
    <t>TKECY US Equity</t>
  </si>
  <si>
    <t>TOKYO ELEC P-ADR</t>
  </si>
  <si>
    <t>TKECY US</t>
  </si>
  <si>
    <t>TKOMF US Equity</t>
  </si>
  <si>
    <t>TOKIO MARINE HD</t>
  </si>
  <si>
    <t>TKOMF US</t>
  </si>
  <si>
    <t>TKOMY US Equity</t>
  </si>
  <si>
    <t>TOKIO MARINE-ADR</t>
  </si>
  <si>
    <t>TKOMY US</t>
  </si>
  <si>
    <t>TKPHF US Equity</t>
  </si>
  <si>
    <t>TAKEDA PHARMACEU</t>
  </si>
  <si>
    <t>TKPHF US</t>
  </si>
  <si>
    <t>TLGPY US Equity</t>
  </si>
  <si>
    <t>TELSTRA GROUP LT</t>
  </si>
  <si>
    <t>TLGPY US</t>
  </si>
  <si>
    <t>TM US Equity</t>
  </si>
  <si>
    <t>TOYOTA MOTOR-ADR</t>
  </si>
  <si>
    <t>TM US</t>
  </si>
  <si>
    <t>TMO US Equity</t>
  </si>
  <si>
    <t>THERMO FISHER</t>
  </si>
  <si>
    <t>TMO US</t>
  </si>
  <si>
    <t>TMUS US Equity</t>
  </si>
  <si>
    <t>T-MOBILE US INC</t>
  </si>
  <si>
    <t>TMUS US</t>
  </si>
  <si>
    <t>TOELF US Equity</t>
  </si>
  <si>
    <t>TOKYO ELECTRON</t>
  </si>
  <si>
    <t>TOELF US</t>
  </si>
  <si>
    <t>TOELY US Equity</t>
  </si>
  <si>
    <t>TOKYO ELECTR-ADR</t>
  </si>
  <si>
    <t>TOELY US</t>
  </si>
  <si>
    <t>TOSBF US Equity</t>
  </si>
  <si>
    <t>TOSHIBA CORP</t>
  </si>
  <si>
    <t>TOSBF US</t>
  </si>
  <si>
    <t>TOSYY US Equity</t>
  </si>
  <si>
    <t>TOSHIBA CORP-ADR</t>
  </si>
  <si>
    <t>TOSYY US</t>
  </si>
  <si>
    <t>TOYOF US Equity</t>
  </si>
  <si>
    <t>TOYOTA MOTOR</t>
  </si>
  <si>
    <t>TOYOF US</t>
  </si>
  <si>
    <t>TRGP US Equity</t>
  </si>
  <si>
    <t>TARGA RESOURCES</t>
  </si>
  <si>
    <t>TRGP US</t>
  </si>
  <si>
    <t>TRP US Equity</t>
  </si>
  <si>
    <t>TC ENERGY CORP</t>
  </si>
  <si>
    <t>TRP US</t>
  </si>
  <si>
    <t>TRV US Equity</t>
  </si>
  <si>
    <t>TRAVELERS COS IN</t>
  </si>
  <si>
    <t>TRV US</t>
  </si>
  <si>
    <t>TSCDF US Equity</t>
  </si>
  <si>
    <t>TESCO PLC</t>
  </si>
  <si>
    <t>TSCDF US</t>
  </si>
  <si>
    <t>TSCDY US Equity</t>
  </si>
  <si>
    <t>TESCO PLC-ADR</t>
  </si>
  <si>
    <t>TSCDY US</t>
  </si>
  <si>
    <t>TSLA US Equity</t>
  </si>
  <si>
    <t>TESLA INC</t>
  </si>
  <si>
    <t>TSLA US</t>
  </si>
  <si>
    <t>TSN US Equity</t>
  </si>
  <si>
    <t>TYSON FOODS-A</t>
  </si>
  <si>
    <t>TSN US</t>
  </si>
  <si>
    <t>TT US Equity</t>
  </si>
  <si>
    <t>TRANE TECHNOLOGI</t>
  </si>
  <si>
    <t>TT US</t>
  </si>
  <si>
    <t>TTE US Equity</t>
  </si>
  <si>
    <t>TOTALENER-SP ADR</t>
  </si>
  <si>
    <t>TTE US</t>
  </si>
  <si>
    <t>TTFNF US Equity</t>
  </si>
  <si>
    <t>TOTALENERGIES SE</t>
  </si>
  <si>
    <t>TTFNF US</t>
  </si>
  <si>
    <t>TTM US Equity</t>
  </si>
  <si>
    <t>TATA MOTORS-ADR</t>
  </si>
  <si>
    <t>TTM US</t>
  </si>
  <si>
    <t>TTRAF US Equity</t>
  </si>
  <si>
    <t>TTRAF US</t>
  </si>
  <si>
    <t>TU US Equity</t>
  </si>
  <si>
    <t>TELUS CORP</t>
  </si>
  <si>
    <t>TU US</t>
  </si>
  <si>
    <t>TVIXF US Equity</t>
  </si>
  <si>
    <t>VELOCITYSH 2X VX</t>
  </si>
  <si>
    <t>TVIXF</t>
  </si>
  <si>
    <t>TXN US Equity</t>
  </si>
  <si>
    <t>TEXAS INSTRUMENT</t>
  </si>
  <si>
    <t>TXN US</t>
  </si>
  <si>
    <t>TYABY US Equity</t>
  </si>
  <si>
    <t>ISBANK-GDR 144A</t>
  </si>
  <si>
    <t>TYABY US</t>
  </si>
  <si>
    <t>UAL US Equity</t>
  </si>
  <si>
    <t>UNITED AIRLINES</t>
  </si>
  <si>
    <t>UAL US</t>
  </si>
  <si>
    <t>UBER US Equity</t>
  </si>
  <si>
    <t>UBER TECHNOLOGIE</t>
  </si>
  <si>
    <t>UBER US</t>
  </si>
  <si>
    <t>UNCFF US Equity</t>
  </si>
  <si>
    <t>UNICREDIT SPA</t>
  </si>
  <si>
    <t>UNCFF US</t>
  </si>
  <si>
    <t>UNCRY US Equity</t>
  </si>
  <si>
    <t>UNICREDIT SP-ADR</t>
  </si>
  <si>
    <t>UNCRY US</t>
  </si>
  <si>
    <t>UNH US Equity</t>
  </si>
  <si>
    <t>UNITEDHEALTH GRP</t>
  </si>
  <si>
    <t>UNH US</t>
  </si>
  <si>
    <t>UNP US Equity</t>
  </si>
  <si>
    <t>UNION PAC CORP</t>
  </si>
  <si>
    <t>UNP US</t>
  </si>
  <si>
    <t>UOVEF US Equity</t>
  </si>
  <si>
    <t>UNITED OVERSEAS</t>
  </si>
  <si>
    <t>UOVEF US</t>
  </si>
  <si>
    <t>UOVEY US Equity</t>
  </si>
  <si>
    <t>UNITED O/S B-ADR</t>
  </si>
  <si>
    <t>UOVEY US</t>
  </si>
  <si>
    <t>UPS US Equity</t>
  </si>
  <si>
    <t>UNITED PARCEL-B</t>
  </si>
  <si>
    <t>UPS US</t>
  </si>
  <si>
    <t>URI US Equity</t>
  </si>
  <si>
    <t>UNITED RENTALS</t>
  </si>
  <si>
    <t>URI US</t>
  </si>
  <si>
    <t>USB US Equity</t>
  </si>
  <si>
    <t>US BANCORP</t>
  </si>
  <si>
    <t>USB US</t>
  </si>
  <si>
    <t>UVXY US Equity</t>
  </si>
  <si>
    <t>PRO ULTRA VIX ST</t>
  </si>
  <si>
    <t>UVXY</t>
  </si>
  <si>
    <t>V US Equity</t>
  </si>
  <si>
    <t>VISA INC-CLASS A</t>
  </si>
  <si>
    <t>V US</t>
  </si>
  <si>
    <t>VALE US Equity</t>
  </si>
  <si>
    <t>VALE SA-SP ADR</t>
  </si>
  <si>
    <t>VALE US</t>
  </si>
  <si>
    <t>VCISF US Equity</t>
  </si>
  <si>
    <t>VINCI SA</t>
  </si>
  <si>
    <t>VCISF US</t>
  </si>
  <si>
    <t>VCISY US Equity</t>
  </si>
  <si>
    <t>VINCI S.A.-ADR</t>
  </si>
  <si>
    <t>VCISY US</t>
  </si>
  <si>
    <t>VEOEF US Equity</t>
  </si>
  <si>
    <t>VEOLIA ENVIRONNE</t>
  </si>
  <si>
    <t>VEOEF US</t>
  </si>
  <si>
    <t>VEOEY US Equity</t>
  </si>
  <si>
    <t>VEOLIA ENVI-ADR</t>
  </si>
  <si>
    <t>VEOEY US</t>
  </si>
  <si>
    <t>VIIXF US Equity</t>
  </si>
  <si>
    <t>VELOCITY VIX</t>
  </si>
  <si>
    <t>VIIXF</t>
  </si>
  <si>
    <t>VIXM US Equity</t>
  </si>
  <si>
    <t>PRO VIX MT FUT</t>
  </si>
  <si>
    <t>VIXM</t>
  </si>
  <si>
    <t>VIXY US Equity</t>
  </si>
  <si>
    <t>PRO VIX ST FUT</t>
  </si>
  <si>
    <t>VIXY</t>
  </si>
  <si>
    <t>VLO US Equity</t>
  </si>
  <si>
    <t>VALERO ENERGY</t>
  </si>
  <si>
    <t>VLO US</t>
  </si>
  <si>
    <t>VLVLY US Equity</t>
  </si>
  <si>
    <t>VOLVO AB-B-UNS</t>
  </si>
  <si>
    <t>VLVLY US</t>
  </si>
  <si>
    <t>VMW US Equity</t>
  </si>
  <si>
    <t>VMWARE LLC</t>
  </si>
  <si>
    <t>VMW US</t>
  </si>
  <si>
    <t>VNNVF US Equity</t>
  </si>
  <si>
    <t>VONOVIA SE</t>
  </si>
  <si>
    <t>VNNVF US</t>
  </si>
  <si>
    <t>Real Estate Operating Companies</t>
  </si>
  <si>
    <t>VOD US Equity</t>
  </si>
  <si>
    <t>VODAFONE GRP-ADR</t>
  </si>
  <si>
    <t>VOD US</t>
  </si>
  <si>
    <t>VODPF US Equity</t>
  </si>
  <si>
    <t>VODAFONE GROUP</t>
  </si>
  <si>
    <t>VODPF US</t>
  </si>
  <si>
    <t>VOLAF US Equity</t>
  </si>
  <si>
    <t>VOLVO AB-A</t>
  </si>
  <si>
    <t>VOLAF US</t>
  </si>
  <si>
    <t>VOLVF US Equity</t>
  </si>
  <si>
    <t>VOLVO AB-B</t>
  </si>
  <si>
    <t>VOLVF US</t>
  </si>
  <si>
    <t>VONOY US Equity</t>
  </si>
  <si>
    <t>VONOVIA SE-ADR</t>
  </si>
  <si>
    <t>VONOY US</t>
  </si>
  <si>
    <t>VRTX US Equity</t>
  </si>
  <si>
    <t>VERTEX PHARM</t>
  </si>
  <si>
    <t>VRTX US</t>
  </si>
  <si>
    <t>VTRS US Equity</t>
  </si>
  <si>
    <t>VIATRIS INC</t>
  </si>
  <si>
    <t>VTRS US</t>
  </si>
  <si>
    <t>VWDRY US Equity</t>
  </si>
  <si>
    <t>VESTAS W-UNS ADR</t>
  </si>
  <si>
    <t>VWDRY US</t>
  </si>
  <si>
    <t>VWSYF US Equity</t>
  </si>
  <si>
    <t>VESTAS WIND SYST</t>
  </si>
  <si>
    <t>VWSYF US</t>
  </si>
  <si>
    <t>VXX US Equity</t>
  </si>
  <si>
    <t>IPATH SERIES B</t>
  </si>
  <si>
    <t>VXX</t>
  </si>
  <si>
    <t>VXZ US Equity</t>
  </si>
  <si>
    <t>IPATH SER B M/T</t>
  </si>
  <si>
    <t>VXZ</t>
  </si>
  <si>
    <t>VZ US Equity</t>
  </si>
  <si>
    <t>VERIZON COMMUNIC</t>
  </si>
  <si>
    <t>VZ US</t>
  </si>
  <si>
    <t>WBA US Equity</t>
  </si>
  <si>
    <t>WALGREENS BOOTS</t>
  </si>
  <si>
    <t>WBA US</t>
  </si>
  <si>
    <t>Drug Retail</t>
  </si>
  <si>
    <t>WBD US Equity</t>
  </si>
  <si>
    <t>WARNER BROS DISC</t>
  </si>
  <si>
    <t>WBD US</t>
  </si>
  <si>
    <t>WDS US Equity</t>
  </si>
  <si>
    <t>WOODSIDE ENE-ADR</t>
  </si>
  <si>
    <t>WDS US</t>
  </si>
  <si>
    <t>WEC US Equity</t>
  </si>
  <si>
    <t>WEC ENERGY GROUP</t>
  </si>
  <si>
    <t>WEC US</t>
  </si>
  <si>
    <t>WEICF US Equity</t>
  </si>
  <si>
    <t>WEICHAI POWER-H</t>
  </si>
  <si>
    <t>WEICF US</t>
  </si>
  <si>
    <t>WEICY US Equity</t>
  </si>
  <si>
    <t>WEICHAI POW-ADR</t>
  </si>
  <si>
    <t>WEICY US</t>
  </si>
  <si>
    <t>WELL US Equity</t>
  </si>
  <si>
    <t>WELLTOWER INC</t>
  </si>
  <si>
    <t>WELL US</t>
  </si>
  <si>
    <t>Health Care REITs</t>
  </si>
  <si>
    <t>WF US Equity</t>
  </si>
  <si>
    <t>WOORI FI-ADR</t>
  </si>
  <si>
    <t>WF US</t>
  </si>
  <si>
    <t>WFAFF US Equity</t>
  </si>
  <si>
    <t>WESFARMERS LTD</t>
  </si>
  <si>
    <t>WFAFF US</t>
  </si>
  <si>
    <t>WFAFY US Equity</t>
  </si>
  <si>
    <t>WESFARMERS-ADR</t>
  </si>
  <si>
    <t>WFAFY US</t>
  </si>
  <si>
    <t>WFC US Equity</t>
  </si>
  <si>
    <t>WELLS FARGO &amp; CO</t>
  </si>
  <si>
    <t>WFC US</t>
  </si>
  <si>
    <t>WM US Equity</t>
  </si>
  <si>
    <t>WASTE MANAGEMENT</t>
  </si>
  <si>
    <t>WM US</t>
  </si>
  <si>
    <t>WMB US Equity</t>
  </si>
  <si>
    <t>WILLIAMS COS INC</t>
  </si>
  <si>
    <t>WMB US</t>
  </si>
  <si>
    <t>WMT US Equity</t>
  </si>
  <si>
    <t>WALMART INC</t>
  </si>
  <si>
    <t>WMT US</t>
  </si>
  <si>
    <t>WNGRF US Equity</t>
  </si>
  <si>
    <t>WESTON (GEORGE)</t>
  </si>
  <si>
    <t>WNGRF US</t>
  </si>
  <si>
    <t>WOLZY US Equity</t>
  </si>
  <si>
    <t>WOOLWORTHSGR-ADR</t>
  </si>
  <si>
    <t>WOLZY US</t>
  </si>
  <si>
    <t>WOPEF US Equity</t>
  </si>
  <si>
    <t>WOODSIDE ENERGY</t>
  </si>
  <si>
    <t>WOPEF US</t>
  </si>
  <si>
    <t>WRB US Equity</t>
  </si>
  <si>
    <t>WR BERKLEY CORP</t>
  </si>
  <si>
    <t>WRB US</t>
  </si>
  <si>
    <t>WTW US Equity</t>
  </si>
  <si>
    <t>WILLIS TOWERS WA</t>
  </si>
  <si>
    <t>WTW US</t>
  </si>
  <si>
    <t>XEL US Equity</t>
  </si>
  <si>
    <t>XCEL ENERGY INC</t>
  </si>
  <si>
    <t>XEL US</t>
  </si>
  <si>
    <t>XIACF US Equity</t>
  </si>
  <si>
    <t>XIAOMI CORP-W</t>
  </si>
  <si>
    <t>XIACF US</t>
  </si>
  <si>
    <t>XIACY US Equity</t>
  </si>
  <si>
    <t>XIAOMI CORP - UN</t>
  </si>
  <si>
    <t>XIACY US</t>
  </si>
  <si>
    <t>XOM US Equity</t>
  </si>
  <si>
    <t>EXXON MOBIL CORP</t>
  </si>
  <si>
    <t>XOM US</t>
  </si>
  <si>
    <t>XYZ US Equity</t>
  </si>
  <si>
    <t>BLOCK INC</t>
  </si>
  <si>
    <t>XYZ US</t>
  </si>
  <si>
    <t>YAHOF US Equity</t>
  </si>
  <si>
    <t>LY CORP</t>
  </si>
  <si>
    <t>YAHOF US</t>
  </si>
  <si>
    <t>YAHOY US Equity</t>
  </si>
  <si>
    <t>Z HOLDINGS C-ADR</t>
  </si>
  <si>
    <t>YAHOY US</t>
  </si>
  <si>
    <t>YZCAY US Equity</t>
  </si>
  <si>
    <t>YANKUANG ENE-ADR</t>
  </si>
  <si>
    <t>YZCAY US</t>
  </si>
  <si>
    <t>YZCHF US Equity</t>
  </si>
  <si>
    <t>YANKUANG ENRGY-H</t>
  </si>
  <si>
    <t>YZCHF US</t>
  </si>
  <si>
    <t>ZFSVF US Equity</t>
  </si>
  <si>
    <t>ZURICH INSURANCE</t>
  </si>
  <si>
    <t>ZFSVF US</t>
  </si>
  <si>
    <t>ZIJMF US Equity</t>
  </si>
  <si>
    <t>ZIJIN MINING-H</t>
  </si>
  <si>
    <t>ZIJMF US</t>
  </si>
  <si>
    <t>ZIJMY US Equity</t>
  </si>
  <si>
    <t>ZIJIN MINING-ADR</t>
  </si>
  <si>
    <t>ZIJMY US</t>
  </si>
  <si>
    <t>ZIVZF US Equity</t>
  </si>
  <si>
    <t>VELOCITYSH INV V</t>
  </si>
  <si>
    <t>ZIVZF</t>
  </si>
  <si>
    <t>ZNHYY US Equity</t>
  </si>
  <si>
    <t>CHINA SOUTH-ADR</t>
  </si>
  <si>
    <t>ZNHYY US</t>
  </si>
  <si>
    <t>ZTS US Equity</t>
  </si>
  <si>
    <t>ZOETIS INC</t>
  </si>
  <si>
    <t>ZTS US</t>
  </si>
  <si>
    <t>ZURVY US Equity</t>
  </si>
  <si>
    <t>ZURICH INSU-ADR</t>
  </si>
  <si>
    <t>ZURVY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</si>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</sst>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2" fontId="6" fillId="0" borderId="0" xfId="28" applyNumberFormat="1" applyFont="1" applyAlignment="1">
      <alignment horizontal="right"/>
    </xf>
    <xf numFmtId="0" fontId="6" fillId="0" borderId="0" xfId="28" applyFont="1" applyAlignment="1">
      <alignment horizontal="lef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BDP|13870974007250772069</stp>
        <tr r="U397" s="1"/>
      </tp>
      <tp t="s">
        <v>#N/A N/A</v>
        <stp/>
        <stp>BDP|11870912717020710303</stp>
        <tr r="U392" s="1"/>
      </tp>
      <tp t="s">
        <v>#N/A N/A</v>
        <stp/>
        <stp>BDP|10784354259065069907</stp>
        <tr r="U871" s="1"/>
      </tp>
      <tp t="s">
        <v>#N/A N/A</v>
        <stp/>
        <stp>BDP|18293271447703996767</stp>
        <tr r="U945" s="1"/>
      </tp>
      <tp t="s">
        <v>#N/A N/A</v>
        <stp/>
        <stp>BDP|17980737941398129658</stp>
        <tr r="U621" s="1"/>
      </tp>
      <tp t="s">
        <v>#N/A N/A</v>
        <stp/>
        <stp>BDP|12207238358519946616</stp>
        <tr r="U186" s="1"/>
      </tp>
      <tp t="s">
        <v>#N/A N/A</v>
        <stp/>
        <stp>BDP|11628797817364890935</stp>
        <tr r="U83" s="1"/>
      </tp>
      <tp t="s">
        <v>#N/A N/A</v>
        <stp/>
        <stp>BDP|14352047186167559171</stp>
        <tr r="U287" s="1"/>
      </tp>
      <tp t="s">
        <v>#N/A N/A</v>
        <stp/>
        <stp>BDP|13670760687147449105</stp>
        <tr r="U768" s="1"/>
      </tp>
      <tp t="s">
        <v>#N/A N/A</v>
        <stp/>
        <stp>BDP|13135604396257519112</stp>
        <tr r="U191" s="1"/>
      </tp>
      <tp t="s">
        <v>#N/A N/A</v>
        <stp/>
        <stp>BDP|10678233240618133464</stp>
        <tr r="U406" s="1"/>
      </tp>
      <tp t="s">
        <v>#N/A N/A</v>
        <stp/>
        <stp>BDP|17308473766389700603</stp>
        <tr r="U706" s="1"/>
      </tp>
      <tp t="s">
        <v>#N/A N/A</v>
        <stp/>
        <stp>BDP|13473823331366188429</stp>
        <tr r="U260" s="1"/>
      </tp>
      <tp t="s">
        <v>#N/A N/A</v>
        <stp/>
        <stp>BDP|15068186117627245951</stp>
        <tr r="U863" s="1"/>
      </tp>
      <tp t="s">
        <v>#N/A N/A</v>
        <stp/>
        <stp>BDP|11174862069796726239</stp>
        <tr r="U232" s="1"/>
      </tp>
      <tp t="s">
        <v>#N/A N/A</v>
        <stp/>
        <stp>BDP|13794564563299963216</stp>
        <tr r="U182" s="1"/>
      </tp>
      <tp t="s">
        <v>#N/A N/A</v>
        <stp/>
        <stp>BDP|10204081393590567218</stp>
        <tr r="U906" s="1"/>
      </tp>
      <tp t="s">
        <v>#N/A N/A</v>
        <stp/>
        <stp>BDP|17498962129195671202</stp>
        <tr r="U510" s="1"/>
      </tp>
      <tp t="s">
        <v>#N/A N/A</v>
        <stp/>
        <stp>BDP|15342503624301274883</stp>
        <tr r="U270" s="1"/>
      </tp>
      <tp t="s">
        <v>#N/A N/A</v>
        <stp/>
        <stp>BDP|13222803536552052189</stp>
        <tr r="U551" s="1"/>
      </tp>
      <tp t="s">
        <v>#N/A N/A</v>
        <stp/>
        <stp>BDP|12718561997716871307</stp>
        <tr r="U323" s="1"/>
      </tp>
      <tp t="s">
        <v>#N/A N/A</v>
        <stp/>
        <stp>BDP|12623435081200073555</stp>
        <tr r="U903" s="1"/>
      </tp>
      <tp t="s">
        <v>#N/A N/A</v>
        <stp/>
        <stp>BDP|11051038103858069215</stp>
        <tr r="U714" s="1"/>
      </tp>
      <tp t="s">
        <v>#N/A N/A</v>
        <stp/>
        <stp>BDP|15170818063344720444</stp>
        <tr r="U389" s="1"/>
      </tp>
      <tp t="s">
        <v>#N/A N/A</v>
        <stp/>
        <stp>BDP|10744079607033052870</stp>
        <tr r="U372" s="1"/>
      </tp>
      <tp t="s">
        <v>#N/A N/A</v>
        <stp/>
        <stp>BDP|17787793310282855863</stp>
        <tr r="U541" s="1"/>
      </tp>
      <tp t="s">
        <v>#N/A N/A</v>
        <stp/>
        <stp>BDP|15586843460401784169</stp>
        <tr r="U150" s="1"/>
      </tp>
      <tp t="s">
        <v>#N/A N/A</v>
        <stp/>
        <stp>BDP|17746060293610231500</stp>
        <tr r="U611" s="1"/>
      </tp>
      <tp t="s">
        <v>#N/A N/A</v>
        <stp/>
        <stp>BDP|16645910749318929843</stp>
        <tr r="U362" s="1"/>
      </tp>
      <tp t="s">
        <v>#N/A N/A</v>
        <stp/>
        <stp>BDP|18191751569772965061</stp>
        <tr r="U826" s="1"/>
      </tp>
      <tp t="s">
        <v>#N/A N/A</v>
        <stp/>
        <stp>BDP|13625430289430919479</stp>
        <tr r="U792" s="1"/>
      </tp>
      <tp t="s">
        <v>#N/A N/A</v>
        <stp/>
        <stp>BDP|14422863341095497627</stp>
        <tr r="U297" s="1"/>
      </tp>
      <tp t="s">
        <v>#N/A N/A</v>
        <stp/>
        <stp>BDP|11678114275319529539</stp>
        <tr r="U553" s="1"/>
      </tp>
      <tp t="s">
        <v>#N/A N/A</v>
        <stp/>
        <stp>BDP|12839770831998947505</stp>
        <tr r="U697" s="1"/>
      </tp>
      <tp t="s">
        <v>#N/A N/A</v>
        <stp/>
        <stp>BDP|13581721140512347932</stp>
        <tr r="U837" s="1"/>
      </tp>
      <tp t="s">
        <v>#N/A N/A</v>
        <stp/>
        <stp>BDP|13561709045759488233</stp>
        <tr r="U821" s="1"/>
      </tp>
      <tp t="s">
        <v>#N/A N/A</v>
        <stp/>
        <stp>BDP|15298376110768381402</stp>
        <tr r="U461" s="1"/>
      </tp>
      <tp t="s">
        <v>#N/A N/A</v>
        <stp/>
        <stp>BDP|15465984949077003433</stp>
        <tr r="U268" s="1"/>
      </tp>
      <tp t="s">
        <v>#N/A N/A</v>
        <stp/>
        <stp>BDP|12513801632295725760</stp>
        <tr r="U477" s="1"/>
      </tp>
      <tp t="s">
        <v>#N/A N/A</v>
        <stp/>
        <stp>BDP|10207345742025219903</stp>
        <tr r="U516" s="1"/>
      </tp>
      <tp t="s">
        <v>#N/A N/A</v>
        <stp/>
        <stp>BDP|18395708374403415053</stp>
        <tr r="U154" s="1"/>
      </tp>
      <tp t="s">
        <v>#N/A N/A</v>
        <stp/>
        <stp>BDP|10486926324154966736</stp>
        <tr r="U862" s="1"/>
      </tp>
      <tp t="s">
        <v>#N/A N/A</v>
        <stp/>
        <stp>BDP|14920803091775739874</stp>
        <tr r="U172" s="1"/>
      </tp>
      <tp t="s">
        <v>#N/A N/A</v>
        <stp/>
        <stp>BDP|11539443618408587449</stp>
        <tr r="U457" s="1"/>
      </tp>
      <tp t="s">
        <v>#N/A N/A</v>
        <stp/>
        <stp>BDP|17828841803605517218</stp>
        <tr r="U47" s="1"/>
      </tp>
      <tp t="s">
        <v>#N/A N/A</v>
        <stp/>
        <stp>BDP|11438678088422119519</stp>
        <tr r="U631" s="1"/>
      </tp>
      <tp t="s">
        <v>#N/A N/A</v>
        <stp/>
        <stp>BDP|11911009882003524242</stp>
        <tr r="U138" s="1"/>
      </tp>
      <tp t="s">
        <v>#N/A N/A</v>
        <stp/>
        <stp>BDP|14910662559679216696</stp>
        <tr r="U823" s="1"/>
      </tp>
      <tp t="s">
        <v>#N/A N/A</v>
        <stp/>
        <stp>BDP|13240576963110904822</stp>
        <tr r="U594" s="1"/>
      </tp>
      <tp t="s">
        <v>#N/A N/A</v>
        <stp/>
        <stp>BDP|17588668297897080796</stp>
        <tr r="U942" s="1"/>
      </tp>
      <tp t="s">
        <v>#N/A N/A</v>
        <stp/>
        <stp>BDP|17695852619802684408</stp>
        <tr r="U811" s="1"/>
      </tp>
      <tp t="s">
        <v>#N/A N/A</v>
        <stp/>
        <stp>BDP|10135709557929069394</stp>
        <tr r="U913" s="1"/>
      </tp>
      <tp t="s">
        <v>#N/A N/A</v>
        <stp/>
        <stp>BDP|15980071511554052810</stp>
        <tr r="U810" s="1"/>
      </tp>
      <tp t="s">
        <v>#N/A N/A</v>
        <stp/>
        <stp>BDP|15263794522360601812</stp>
        <tr r="U805" s="1"/>
      </tp>
      <tp t="s">
        <v>#N/A N/A</v>
        <stp/>
        <stp>BDP|17577689892554655484</stp>
        <tr r="U363" s="1"/>
      </tp>
      <tp t="s">
        <v>#N/A N/A</v>
        <stp/>
        <stp>BDP|17757802176529502957</stp>
        <tr r="U842" s="1"/>
      </tp>
      <tp t="s">
        <v>#N/A N/A</v>
        <stp/>
        <stp>BDP|18280672141533630128</stp>
        <tr r="U97" s="1"/>
      </tp>
      <tp t="s">
        <v>#N/A N/A</v>
        <stp/>
        <stp>BDP|11164439367569139275</stp>
        <tr r="U669" s="1"/>
      </tp>
      <tp t="s">
        <v>#N/A N/A</v>
        <stp/>
        <stp>BDP|17430831904894789368</stp>
        <tr r="U59" s="1"/>
      </tp>
      <tp t="s">
        <v>#N/A N/A</v>
        <stp/>
        <stp>BDP|14536499794962303399</stp>
        <tr r="U876" s="1"/>
      </tp>
      <tp t="s">
        <v>#N/A N/A</v>
        <stp/>
        <stp>BDP|12389314591988742863</stp>
        <tr r="U61" s="1"/>
      </tp>
      <tp t="s">
        <v>#N/A N/A</v>
        <stp/>
        <stp>BDP|18101263726694654403</stp>
        <tr r="U322" s="1"/>
      </tp>
      <tp t="s">
        <v>#N/A N/A</v>
        <stp/>
        <stp>BDP|15323630300632122965</stp>
        <tr r="U177" s="1"/>
      </tp>
      <tp t="s">
        <v>#N/A N/A</v>
        <stp/>
        <stp>BDP|14998764518679962278</stp>
        <tr r="U499" s="1"/>
      </tp>
      <tp t="s">
        <v>#N/A N/A</v>
        <stp/>
        <stp>BDP|13642943699643128919</stp>
        <tr r="U440" s="1"/>
      </tp>
      <tp t="s">
        <v>#N/A N/A</v>
        <stp/>
        <stp>BDP|14412399188383850569</stp>
        <tr r="U496" s="1"/>
      </tp>
      <tp t="s">
        <v>#N/A N/A</v>
        <stp/>
        <stp>BDP|10204643774131087988</stp>
        <tr r="U873" s="1"/>
      </tp>
      <tp t="s">
        <v>#N/A N/A</v>
        <stp/>
        <stp>BDP|15796423433418921322</stp>
        <tr r="U824" s="1"/>
      </tp>
      <tp t="s">
        <v>#N/A N/A</v>
        <stp/>
        <stp>BDP|17364212103578584486</stp>
        <tr r="U609" s="1"/>
      </tp>
      <tp t="s">
        <v>#N/A N/A</v>
        <stp/>
        <stp>BDP|11519993310145667562</stp>
        <tr r="U329" s="1"/>
      </tp>
      <tp t="s">
        <v>#N/A N/A</v>
        <stp/>
        <stp>BDP|15287828755144226588</stp>
        <tr r="U559" s="1"/>
      </tp>
      <tp t="s">
        <v>#N/A N/A</v>
        <stp/>
        <stp>BDP|14393553509940318838</stp>
        <tr r="U926" s="1"/>
      </tp>
      <tp t="s">
        <v>#N/A N/A</v>
        <stp/>
        <stp>BDP|17882588586087932411</stp>
        <tr r="U527" s="1"/>
      </tp>
      <tp t="s">
        <v>#N/A N/A</v>
        <stp/>
        <stp>BDP|12687541584920134667</stp>
        <tr r="U166" s="1"/>
      </tp>
      <tp t="s">
        <v>#N/A N/A</v>
        <stp/>
        <stp>BDP|14242456007469899083</stp>
        <tr r="U568" s="1"/>
      </tp>
      <tp t="s">
        <v>#N/A N/A</v>
        <stp/>
        <stp>BDP|10573746225804311879</stp>
        <tr r="U352" s="1"/>
      </tp>
      <tp t="s">
        <v>#N/A N/A</v>
        <stp/>
        <stp>BDP|16772692848069566434</stp>
        <tr r="U576" s="1"/>
      </tp>
      <tp t="s">
        <v>#N/A N/A</v>
        <stp/>
        <stp>BDP|14378049952241173979</stp>
        <tr r="U283" s="1"/>
      </tp>
      <tp t="s">
        <v>#N/A N/A</v>
        <stp/>
        <stp>BDP|18439367452646639157</stp>
        <tr r="U504" s="1"/>
      </tp>
      <tp t="s">
        <v>#N/A N/A</v>
        <stp/>
        <stp>BDP|17413747229352590999</stp>
        <tr r="U558" s="1"/>
      </tp>
      <tp t="s">
        <v>#N/A N/A</v>
        <stp/>
        <stp>BDP|13600741359709768182</stp>
        <tr r="U216" s="1"/>
      </tp>
      <tp t="s">
        <v>#N/A N/A</v>
        <stp/>
        <stp>BDP|11311901540855467001</stp>
        <tr r="U480" s="1"/>
      </tp>
      <tp t="s">
        <v>#N/A N/A</v>
        <stp/>
        <stp>BDP|17381761205758642117</stp>
        <tr r="U286" s="1"/>
      </tp>
      <tp t="s">
        <v>#N/A N/A</v>
        <stp/>
        <stp>BDP|16702584709182120800</stp>
        <tr r="U900" s="1"/>
      </tp>
      <tp t="s">
        <v>#N/A N/A</v>
        <stp/>
        <stp>BDP|11499220633820747953</stp>
        <tr r="U46" s="1"/>
      </tp>
      <tp t="s">
        <v>#N/A N/A</v>
        <stp/>
        <stp>BDP|13767115904538889419</stp>
        <tr r="U890" s="1"/>
      </tp>
      <tp t="s">
        <v>#N/A N/A</v>
        <stp/>
        <stp>BDP|18117525174765830152</stp>
        <tr r="U644" s="1"/>
      </tp>
      <tp t="s">
        <v>#N/A N/A</v>
        <stp/>
        <stp>BDP|12403910830312985414</stp>
        <tr r="U796" s="1"/>
      </tp>
      <tp t="s">
        <v>#N/A N/A</v>
        <stp/>
        <stp>BDP|16673967299828724036</stp>
        <tr r="U724" s="1"/>
      </tp>
      <tp t="s">
        <v>#N/A N/A</v>
        <stp/>
        <stp>BDP|10719243710898668591</stp>
        <tr r="U909" s="1"/>
      </tp>
      <tp t="s">
        <v>#N/A N/A</v>
        <stp/>
        <stp>BDP|12309417918451368851</stp>
        <tr r="U332" s="1"/>
      </tp>
      <tp t="s">
        <v>#N/A N/A</v>
        <stp/>
        <stp>BDP|10058684380327345745</stp>
        <tr r="U707" s="1"/>
      </tp>
      <tp t="s">
        <v>#N/A N/A</v>
        <stp/>
        <stp>BDP|12843101455461658942</stp>
        <tr r="U816" s="1"/>
      </tp>
      <tp t="s">
        <v>#N/A N/A</v>
        <stp/>
        <stp>BDP|16590577201759919440</stp>
        <tr r="U767" s="1"/>
      </tp>
      <tp t="s">
        <v>#N/A N/A</v>
        <stp/>
        <stp>BDP|17078598034217784845</stp>
        <tr r="U737" s="1"/>
      </tp>
      <tp t="s">
        <v>#N/A N/A</v>
        <stp/>
        <stp>BDP|16176019976119501622</stp>
        <tr r="U188" s="1"/>
      </tp>
      <tp t="s">
        <v>#N/A N/A</v>
        <stp/>
        <stp>BDP|11179766846915263935</stp>
        <tr r="U936" s="1"/>
      </tp>
      <tp t="s">
        <v>#N/A N/A</v>
        <stp/>
        <stp>BDP|13043109405405144941</stp>
        <tr r="U407" s="1"/>
      </tp>
      <tp t="s">
        <v>#N/A N/A</v>
        <stp/>
        <stp>BDP|11193429390130430277</stp>
        <tr r="U800" s="1"/>
      </tp>
      <tp t="s">
        <v>#N/A N/A</v>
        <stp/>
        <stp>BDP|15880173724470882833</stp>
        <tr r="U33" s="1"/>
      </tp>
      <tp t="s">
        <v>#N/A N/A</v>
        <stp/>
        <stp>BDP|11858824168723195215</stp>
        <tr r="U882" s="1"/>
      </tp>
      <tp t="s">
        <v>#N/A N/A</v>
        <stp/>
        <stp>BDP|13781166981593496760</stp>
        <tr r="U801" s="1"/>
      </tp>
      <tp t="s">
        <v>#N/A N/A</v>
        <stp/>
        <stp>BDP|17504590790630936572</stp>
        <tr r="U849" s="1"/>
      </tp>
      <tp t="s">
        <v>#N/A N/A</v>
        <stp/>
        <stp>BDP|11379547227610483804</stp>
        <tr r="U676" s="1"/>
      </tp>
      <tp t="s">
        <v>#N/A N/A</v>
        <stp/>
        <stp>BDP|10207653487844061441</stp>
        <tr r="U730" s="1"/>
      </tp>
      <tp t="s">
        <v>#N/A N/A</v>
        <stp/>
        <stp>BDP|13894029622477542891</stp>
        <tr r="U692" s="1"/>
      </tp>
      <tp t="s">
        <v>#N/A N/A</v>
        <stp/>
        <stp>BDP|14373812434838345928</stp>
        <tr r="U613" s="1"/>
      </tp>
      <tp t="s">
        <v>#N/A N/A</v>
        <stp/>
        <stp>BDP|10462316701065758842</stp>
        <tr r="U41" s="1"/>
      </tp>
      <tp t="s">
        <v>#N/A N/A</v>
        <stp/>
        <stp>BDP|14667733930847413975</stp>
        <tr r="U357" s="1"/>
      </tp>
      <tp t="s">
        <v>#N/A N/A</v>
        <stp/>
        <stp>BDP|15575329506539539127</stp>
        <tr r="U645" s="1"/>
      </tp>
      <tp t="s">
        <v>#N/A N/A</v>
        <stp/>
        <stp>BDP|14044499483710440681</stp>
        <tr r="U818" s="1"/>
      </tp>
      <tp t="s">
        <v>#N/A N/A</v>
        <stp/>
        <stp>BDP|16707809066204670219</stp>
        <tr r="U785" s="1"/>
      </tp>
      <tp t="s">
        <v>#N/A N/A</v>
        <stp/>
        <stp>BDP|12872848911616290394</stp>
        <tr r="U638" s="1"/>
      </tp>
      <tp t="s">
        <v>#N/A N/A</v>
        <stp/>
        <stp>BDP|18166038526455413090</stp>
        <tr r="U593" s="1"/>
      </tp>
      <tp t="s">
        <v>#N/A N/A</v>
        <stp/>
        <stp>BDP|16927812917928080862</stp>
        <tr r="U809" s="1"/>
      </tp>
      <tp t="s">
        <v>#N/A N/A</v>
        <stp/>
        <stp>BDP|14366377300200504887</stp>
        <tr r="U866" s="1"/>
      </tp>
      <tp t="s">
        <v>#N/A N/A</v>
        <stp/>
        <stp>BDP|15820950086343967890</stp>
        <tr r="U832" s="1"/>
      </tp>
      <tp t="s">
        <v>#N/A N/A</v>
        <stp/>
        <stp>BDP|16736691386955235271</stp>
        <tr r="U670" s="1"/>
      </tp>
      <tp t="s">
        <v>#N/A N/A</v>
        <stp/>
        <stp>BDP|15370258412069114097</stp>
        <tr r="U400" s="1"/>
      </tp>
      <tp t="s">
        <v>#N/A N/A</v>
        <stp/>
        <stp>BDP|10139735810280645988</stp>
        <tr r="U735" s="1"/>
      </tp>
      <tp t="s">
        <v>#N/A N/A</v>
        <stp/>
        <stp>BDP|12824881740048909955</stp>
        <tr r="U540" s="1"/>
      </tp>
      <tp t="s">
        <v>#N/A N/A</v>
        <stp/>
        <stp>BDP|17598194852938166434</stp>
        <tr r="U840" s="1"/>
      </tp>
      <tp t="s">
        <v>#N/A N/A</v>
        <stp/>
        <stp>BDP|15182853357475934256</stp>
        <tr r="U125" s="1"/>
      </tp>
      <tp t="s">
        <v>#N/A N/A</v>
        <stp/>
        <stp>BDP|16352769286876049039</stp>
        <tr r="U103" s="1"/>
      </tp>
      <tp t="s">
        <v>#N/A N/A</v>
        <stp/>
        <stp>BDP|11997817588476777874</stp>
        <tr r="U326" s="1"/>
      </tp>
      <tp t="s">
        <v>#N/A N/A</v>
        <stp/>
        <stp>BDP|14666730806999024530</stp>
        <tr r="U244" s="1"/>
      </tp>
      <tp t="s">
        <v>#N/A N/A</v>
        <stp/>
        <stp>BDP|14465411190662554432</stp>
        <tr r="U554" s="1"/>
      </tp>
      <tp t="s">
        <v>#N/A N/A</v>
        <stp/>
        <stp>BDP|17464932227911651231</stp>
        <tr r="U601" s="1"/>
      </tp>
      <tp t="s">
        <v>#N/A N/A</v>
        <stp/>
        <stp>BDP|17729191462736929907</stp>
        <tr r="U159" s="1"/>
      </tp>
      <tp t="s">
        <v>#N/A N/A</v>
        <stp/>
        <stp>BDP|16046350281354058634</stp>
        <tr r="U758" s="1"/>
      </tp>
      <tp t="s">
        <v>#N/A N/A</v>
        <stp/>
        <stp>BDP|14072798369862181873</stp>
        <tr r="U18" s="1"/>
      </tp>
      <tp t="s">
        <v>#N/A N/A</v>
        <stp/>
        <stp>BDP|12381464602719797061</stp>
        <tr r="U279" s="1"/>
      </tp>
      <tp t="s">
        <v>#N/A N/A</v>
        <stp/>
        <stp>BDP|12024861758377323441</stp>
        <tr r="U885" s="1"/>
      </tp>
      <tp t="s">
        <v>#N/A N/A</v>
        <stp/>
        <stp>BDP|17764346556604466985</stp>
        <tr r="U916" s="1"/>
      </tp>
      <tp t="s">
        <v>#N/A N/A</v>
        <stp/>
        <stp>BDP|12081743130139929356</stp>
        <tr r="U411" s="1"/>
      </tp>
      <tp t="s">
        <v>#N/A N/A</v>
        <stp/>
        <stp>BDP|10142939759998916899</stp>
        <tr r="U630" s="1"/>
      </tp>
      <tp t="s">
        <v>#N/A N/A</v>
        <stp/>
        <stp>BDP|16700095472555084874</stp>
        <tr r="U899" s="1"/>
      </tp>
      <tp t="s">
        <v>#N/A N/A</v>
        <stp/>
        <stp>BDP|11799487765238911790</stp>
        <tr r="U640" s="1"/>
      </tp>
      <tp t="s">
        <v>#N/A N/A</v>
        <stp/>
        <stp>BDP|13601359977529681288</stp>
        <tr r="U628" s="1"/>
      </tp>
      <tp t="s">
        <v>#N/A N/A</v>
        <stp/>
        <stp>BDP|15390892166946784160</stp>
        <tr r="U101" s="1"/>
      </tp>
      <tp t="s">
        <v>#N/A N/A</v>
        <stp/>
        <stp>BDP|14368848773606919104</stp>
        <tr r="U262" s="1"/>
      </tp>
      <tp t="s">
        <v>#N/A N/A</v>
        <stp/>
        <stp>BDP|13080448898445359720</stp>
        <tr r="U426" s="1"/>
      </tp>
      <tp t="s">
        <v>#N/A N/A</v>
        <stp/>
        <stp>BDP|15379157044768705494</stp>
        <tr r="U924" s="1"/>
      </tp>
      <tp t="s">
        <v>#N/A N/A</v>
        <stp/>
        <stp>BDP|14926732677508869097</stp>
        <tr r="U622" s="1"/>
      </tp>
      <tp t="s">
        <v>#N/A N/A</v>
        <stp/>
        <stp>BDP|17717880756390394640</stp>
        <tr r="U318" s="1"/>
      </tp>
      <tp t="s">
        <v>#N/A N/A</v>
        <stp/>
        <stp>BDP|11899215651619120374</stp>
        <tr r="U307" s="1"/>
      </tp>
      <tp t="s">
        <v>#N/A N/A</v>
        <stp/>
        <stp>BDP|12830855015543763413</stp>
        <tr r="U736" s="1"/>
      </tp>
      <tp t="s">
        <v>#N/A N/A</v>
        <stp/>
        <stp>BDP|16773176842737278818</stp>
        <tr r="U584" s="1"/>
      </tp>
      <tp t="s">
        <v>#N/A N/A</v>
        <stp/>
        <stp>BDP|12704901827826179319</stp>
        <tr r="U379" s="1"/>
      </tp>
      <tp t="s">
        <v>#N/A N/A</v>
        <stp/>
        <stp>BDP|10459344094021175752</stp>
        <tr r="U324" s="1"/>
      </tp>
      <tp t="s">
        <v>#N/A N/A</v>
        <stp/>
        <stp>BDP|14765831396369387028</stp>
        <tr r="U263" s="1"/>
      </tp>
      <tp t="s">
        <v>#N/A N/A</v>
        <stp/>
        <stp>BDP|13265640465409927689</stp>
        <tr r="U793" s="1"/>
      </tp>
      <tp t="s">
        <v>#N/A N/A</v>
        <stp/>
        <stp>BDP|13732956740473487145</stp>
        <tr r="U221" s="1"/>
      </tp>
      <tp t="s">
        <v>#N/A N/A</v>
        <stp/>
        <stp>BDP|13582927508244827236</stp>
        <tr r="U495" s="1"/>
      </tp>
      <tp t="s">
        <v>#N/A N/A</v>
        <stp/>
        <stp>BDP|13294904708811531793</stp>
        <tr r="U133" s="1"/>
      </tp>
      <tp t="s">
        <v>#N/A N/A</v>
        <stp/>
        <stp>BDP|10417611559017693934</stp>
        <tr r="U739" s="1"/>
      </tp>
      <tp t="s">
        <v>#N/A N/A</v>
        <stp/>
        <stp>BDP|11162976328437598032</stp>
        <tr r="U492" s="1"/>
      </tp>
      <tp t="s">
        <v>#N/A N/A</v>
        <stp/>
        <stp>BDP|16764446191464035291</stp>
        <tr r="U717" s="1"/>
      </tp>
      <tp t="s">
        <v>#N/A N/A</v>
        <stp/>
        <stp>BDP|16764889366927755247</stp>
        <tr r="U214" s="1"/>
      </tp>
      <tp t="s">
        <v>#N/A N/A</v>
        <stp/>
        <stp>BDP|14132319393245669690</stp>
        <tr r="U344" s="1"/>
      </tp>
      <tp t="s">
        <v>#N/A N/A</v>
        <stp/>
        <stp>BDP|17082197375129656566</stp>
        <tr r="U754" s="1"/>
      </tp>
      <tp t="s">
        <v>#N/A N/A</v>
        <stp/>
        <stp>BDP|12642754999143790227</stp>
        <tr r="U203" s="1"/>
      </tp>
      <tp t="s">
        <v>#N/A N/A</v>
        <stp/>
        <stp>BDP|12959969260361417157</stp>
        <tr r="U657" s="1"/>
      </tp>
      <tp t="s">
        <v>#N/A N/A</v>
        <stp/>
        <stp>BDP|11512222541078247259</stp>
        <tr r="U729" s="1"/>
      </tp>
      <tp t="s">
        <v>#N/A N/A</v>
        <stp/>
        <stp>BDP|16161927745984105265</stp>
        <tr r="U435" s="1"/>
      </tp>
      <tp t="s">
        <v>#N/A N/A</v>
        <stp/>
        <stp>BDP|14468090349534497918</stp>
        <tr r="U52" s="1"/>
      </tp>
      <tp t="s">
        <v>#N/A N/A</v>
        <stp/>
        <stp>BDP|12235920741022227020</stp>
        <tr r="U257" s="1"/>
      </tp>
      <tp t="s">
        <v>#N/A N/A</v>
        <stp/>
        <stp>BDP|15963064294905323498</stp>
        <tr r="U500" s="1"/>
      </tp>
      <tp t="s">
        <v>#N/A N/A</v>
        <stp/>
        <stp>BDP|16691814180572340945</stp>
        <tr r="U38" s="1"/>
      </tp>
      <tp t="s">
        <v>#N/A N/A</v>
        <stp/>
        <stp>BDP|16339797626386444883</stp>
        <tr r="U587" s="1"/>
      </tp>
      <tp t="s">
        <v>#N/A N/A</v>
        <stp/>
        <stp>BDP|15403575780747308236</stp>
        <tr r="U198" s="1"/>
      </tp>
      <tp t="s">
        <v>#N/A N/A</v>
        <stp/>
        <stp>BDP|12362350715265923886</stp>
        <tr r="U80" s="1"/>
      </tp>
      <tp t="s">
        <v>#N/A N/A</v>
        <stp/>
        <stp>BDP|18138850570752058818</stp>
        <tr r="U119" s="1"/>
      </tp>
      <tp t="s">
        <v>#N/A N/A</v>
        <stp/>
        <stp>BDP|13119624829172933863</stp>
        <tr r="U865" s="1"/>
      </tp>
      <tp t="s">
        <v>#N/A N/A</v>
        <stp/>
        <stp>BDP|15046964986580449939</stp>
        <tr r="U822" s="1"/>
      </tp>
      <tp t="s">
        <v>#N/A N/A</v>
        <stp/>
        <stp>BDP|17061292367445171454</stp>
        <tr r="U786" s="1"/>
      </tp>
      <tp t="s">
        <v>#N/A N/A</v>
        <stp/>
        <stp>BDP|14309060961229622980</stp>
        <tr r="U8" s="1"/>
      </tp>
      <tp t="s">
        <v>#N/A N/A</v>
        <stp/>
        <stp>BDP|18166775344529127094</stp>
        <tr r="U66" s="1"/>
      </tp>
      <tp t="s">
        <v>#N/A N/A</v>
        <stp/>
        <stp>BDP|10218330589279369065</stp>
        <tr r="U285" s="1"/>
      </tp>
      <tp t="s">
        <v>#N/A N/A</v>
        <stp/>
        <stp>BDP|15546689421140757372</stp>
        <tr r="U600" s="1"/>
      </tp>
      <tp t="s">
        <v>#N/A N/A</v>
        <stp/>
        <stp>BDP|13247239551410566695</stp>
        <tr r="U248" s="1"/>
      </tp>
      <tp t="s">
        <v>#N/A N/A</v>
        <stp/>
        <stp>BDP|15858302319424939173</stp>
        <tr r="U181" s="1"/>
      </tp>
      <tp t="s">
        <v>#N/A N/A</v>
        <stp/>
        <stp>BDP|13772520828920379618</stp>
        <tr r="U459" s="1"/>
      </tp>
      <tp t="s">
        <v>#N/A N/A</v>
        <stp/>
        <stp>BDP|11105001959434483221</stp>
        <tr r="U383" s="1"/>
      </tp>
      <tp t="s">
        <v>#N/A N/A</v>
        <stp/>
        <stp>BDP|16784438322991740303</stp>
        <tr r="U451" s="1"/>
      </tp>
      <tp t="s">
        <v>#N/A N/A</v>
        <stp/>
        <stp>BDP|11571439943005735627</stp>
        <tr r="U764" s="1"/>
      </tp>
      <tp t="s">
        <v>#N/A N/A</v>
        <stp/>
        <stp>BDP|10953069139451555035</stp>
        <tr r="U63" s="1"/>
      </tp>
      <tp t="s">
        <v>#N/A N/A</v>
        <stp/>
        <stp>BDP|14241594004417621495</stp>
        <tr r="U727" s="1"/>
      </tp>
      <tp t="s">
        <v>#N/A N/A</v>
        <stp/>
        <stp>BDP|17149759511590518331</stp>
        <tr r="U417" s="1"/>
      </tp>
      <tp t="s">
        <v>#N/A N/A</v>
        <stp/>
        <stp>BDP|10339794653542885226</stp>
        <tr r="U292" s="1"/>
      </tp>
      <tp t="s">
        <v>#N/A N/A</v>
        <stp/>
        <stp>BDP|13072097975496735086</stp>
        <tr r="U43" s="1"/>
      </tp>
      <tp t="s">
        <v>#N/A N/A</v>
        <stp/>
        <stp>BDP|18112592591194221280</stp>
        <tr r="U684" s="1"/>
      </tp>
      <tp t="s">
        <v>#N/A N/A</v>
        <stp/>
        <stp>BDP|18225052665745724963</stp>
        <tr r="U671" s="1"/>
      </tp>
      <tp t="s">
        <v>#N/A N/A</v>
        <stp/>
        <stp>BDP|10611436881139744706</stp>
        <tr r="U674" s="1"/>
      </tp>
      <tp t="s">
        <v>#N/A N/A</v>
        <stp/>
        <stp>BDP|17372573627097005514</stp>
        <tr r="U463" s="1"/>
      </tp>
      <tp t="s">
        <v>#N/A N/A</v>
        <stp/>
        <stp>BDP|15001389155735034484</stp>
        <tr r="U314" s="1"/>
      </tp>
      <tp t="s">
        <v>#N/A N/A</v>
        <stp/>
        <stp>BDP|11992397537143273001</stp>
        <tr r="U880" s="1"/>
      </tp>
      <tp t="s">
        <v>#N/A N/A</v>
        <stp/>
        <stp>BDP|10680564111697107158</stp>
        <tr r="U914" s="1"/>
      </tp>
      <tp t="s">
        <v>#N/A N/A</v>
        <stp/>
        <stp>BDP|12876272339366196733</stp>
        <tr r="U690" s="1"/>
      </tp>
      <tp t="s">
        <v>#N/A N/A</v>
        <stp/>
        <stp>BDP|13494827607801166842</stp>
        <tr r="U226" s="1"/>
      </tp>
      <tp t="s">
        <v>#N/A N/A</v>
        <stp/>
        <stp>BDP|14704096965743812343</stp>
        <tr r="U275" s="1"/>
      </tp>
      <tp t="s">
        <v>#N/A N/A</v>
        <stp/>
        <stp>BDP|14826023719883712439</stp>
        <tr r="U369" s="1"/>
      </tp>
      <tp t="s">
        <v>#N/A N/A</v>
        <stp/>
        <stp>BDP|11916483855832902140</stp>
        <tr r="U348" s="1"/>
      </tp>
      <tp t="s">
        <v>#N/A N/A</v>
        <stp/>
        <stp>BDP|10001600349324990590</stp>
        <tr r="U385" s="1"/>
      </tp>
      <tp t="s">
        <v>#N/A N/A</v>
        <stp/>
        <stp>BDP|17462753674626569285</stp>
        <tr r="U288" s="1"/>
      </tp>
      <tp t="s">
        <v>#N/A N/A</v>
        <stp/>
        <stp>BDP|11142160159405555330</stp>
        <tr r="U368" s="1"/>
      </tp>
      <tp t="s">
        <v>#N/A N/A</v>
        <stp/>
        <stp>BDP|11406158048533980481</stp>
        <tr r="U712" s="1"/>
      </tp>
      <tp t="s">
        <v>#N/A N/A</v>
        <stp/>
        <stp>BDP|16684000168835042651</stp>
        <tr r="U88" s="1"/>
      </tp>
      <tp t="s">
        <v>#N/A N/A</v>
        <stp/>
        <stp>BDP|18401757428439189728</stp>
        <tr r="U409" s="1"/>
      </tp>
      <tp t="s">
        <v>#N/A N/A</v>
        <stp/>
        <stp>BDP|10564526532393993611</stp>
        <tr r="U58" s="1"/>
      </tp>
      <tp t="s">
        <v>#N/A N/A</v>
        <stp/>
        <stp>BDP|16666021019942165610</stp>
        <tr r="U45" s="1"/>
      </tp>
      <tp t="s">
        <v>#N/A N/A</v>
        <stp/>
        <stp>BDP|16658031488609531452</stp>
        <tr r="U625" s="1"/>
      </tp>
      <tp t="s">
        <v>#N/A N/A</v>
        <stp/>
        <stp>BDP|15979975352609033311</stp>
        <tr r="U12" s="1"/>
      </tp>
      <tp t="s">
        <v>#N/A N/A</v>
        <stp/>
        <stp>BDP|10909681944623899208</stp>
        <tr r="U282" s="1"/>
      </tp>
      <tp t="s">
        <v>#N/A N/A</v>
        <stp/>
        <stp>BDP|15373488294208104322</stp>
        <tr r="U488" s="1"/>
      </tp>
      <tp t="s">
        <v>#N/A N/A</v>
        <stp/>
        <stp>BDP|13415161908763035260</stp>
        <tr r="U120" s="1"/>
      </tp>
      <tp t="s">
        <v>#N/A N/A</v>
        <stp/>
        <stp>BDP|10838912136401313800</stp>
        <tr r="U473" s="1"/>
      </tp>
      <tp t="s">
        <v>#N/A N/A</v>
        <stp/>
        <stp>BDP|12093572822927876129</stp>
        <tr r="U679" s="1"/>
      </tp>
      <tp t="s">
        <v>#N/A N/A</v>
        <stp/>
        <stp>BDP|10810822420171072853</stp>
        <tr r="U205" s="1"/>
      </tp>
      <tp t="s">
        <v>#N/A N/A</v>
        <stp/>
        <stp>BDP|18145536084071188761</stp>
        <tr r="U513" s="1"/>
      </tp>
      <tp t="s">
        <v>#N/A N/A</v>
        <stp/>
        <stp>BDP|10243595356900444383</stp>
        <tr r="U743" s="1"/>
      </tp>
      <tp t="s">
        <v>#N/A N/A</v>
        <stp/>
        <stp>BDP|14072056302344765314</stp>
        <tr r="U864" s="1"/>
      </tp>
      <tp t="s">
        <v>#N/A N/A</v>
        <stp/>
        <stp>BDP|13333942237758882298</stp>
        <tr r="U376" s="1"/>
      </tp>
      <tp t="s">
        <v>#N/A N/A</v>
        <stp/>
        <stp>BDP|17187834512709557457</stp>
        <tr r="U850" s="1"/>
      </tp>
      <tp t="s">
        <v>#N/A N/A</v>
        <stp/>
        <stp>BDP|15393212845102222250</stp>
        <tr r="U897" s="1"/>
      </tp>
      <tp t="s">
        <v>#N/A N/A</v>
        <stp/>
        <stp>BDP|14428371589375219985</stp>
        <tr r="U206" s="1"/>
      </tp>
      <tp t="s">
        <v>#N/A N/A</v>
        <stp/>
        <stp>BDP|12247666462416080755</stp>
        <tr r="U460" s="1"/>
      </tp>
      <tp t="s">
        <v>#N/A N/A</v>
        <stp/>
        <stp>BDP|12395940025512119802</stp>
        <tr r="U815" s="1"/>
      </tp>
      <tp t="s">
        <v>#N/A N/A</v>
        <stp/>
        <stp>BDP|11109277443321193517</stp>
        <tr r="U605" s="1"/>
      </tp>
      <tp t="s">
        <v>#N/A N/A</v>
        <stp/>
        <stp>BDP|17086765034450323049</stp>
        <tr r="U896" s="1"/>
      </tp>
      <tp t="s">
        <v>#N/A N/A</v>
        <stp/>
        <stp>BDP|11674998571904229893</stp>
        <tr r="U575" s="1"/>
      </tp>
      <tp t="s">
        <v>#N/A N/A</v>
        <stp/>
        <stp>BDP|10781413221056251313</stp>
        <tr r="U476" s="1"/>
      </tp>
      <tp t="s">
        <v>#N/A N/A</v>
        <stp/>
        <stp>BDP|14582276607581706451</stp>
        <tr r="U342" s="1"/>
      </tp>
      <tp t="s">
        <v>#N/A N/A</v>
        <stp/>
        <stp>BDP|11469484859441685247</stp>
        <tr r="U132" s="1"/>
      </tp>
      <tp t="s">
        <v>#N/A N/A</v>
        <stp/>
        <stp>BDP|10917553548655219718</stp>
        <tr r="U86" s="1"/>
      </tp>
      <tp t="s">
        <v>#N/A N/A</v>
        <stp/>
        <stp>BDP|15019368665973024040</stp>
        <tr r="U200" s="1"/>
      </tp>
      <tp t="s">
        <v>#N/A N/A</v>
        <stp/>
        <stp>BDP|17109420962653324556</stp>
        <tr r="U564" s="1"/>
      </tp>
      <tp t="s">
        <v>#N/A N/A</v>
        <stp/>
        <stp>BDP|16413173276621162234</stp>
        <tr r="U237" s="1"/>
      </tp>
      <tp t="s">
        <v>#N/A N/A</v>
        <stp/>
        <stp>BDP|12075163072113612443</stp>
        <tr r="U797" s="1"/>
      </tp>
      <tp t="s">
        <v>#N/A N/A</v>
        <stp/>
        <stp>BDP|16042193433357320305</stp>
        <tr r="U581" s="1"/>
      </tp>
      <tp t="s">
        <v>#N/A N/A</v>
        <stp/>
        <stp>BDP|15732033834562002490</stp>
        <tr r="U680" s="1"/>
      </tp>
      <tp t="s">
        <v>#N/A N/A</v>
        <stp/>
        <stp>BDP|15845618858722899419</stp>
        <tr r="U25" s="1"/>
      </tp>
      <tp t="s">
        <v>#N/A N/A</v>
        <stp/>
        <stp>BDP|17927013921542423752</stp>
        <tr r="U175" s="1"/>
      </tp>
      <tp t="s">
        <v>#N/A N/A</v>
        <stp/>
        <stp>BDP|18198104175498663693</stp>
        <tr r="U81" s="1"/>
      </tp>
      <tp t="s">
        <v>#N/A N/A</v>
        <stp/>
        <stp>BDP|11915304879337279292</stp>
        <tr r="U114" s="1"/>
      </tp>
      <tp t="s">
        <v>#N/A N/A</v>
        <stp/>
        <stp>BDP|12302143240044877352</stp>
        <tr r="U178" s="1"/>
      </tp>
      <tp t="s">
        <v>#N/A N/A</v>
        <stp/>
        <stp>BDP|17053293023200703708</stp>
        <tr r="U398" s="1"/>
      </tp>
      <tp t="s">
        <v>#N/A N/A</v>
        <stp/>
        <stp>BDP|11118953281525069580</stp>
        <tr r="U433" s="1"/>
      </tp>
      <tp t="s">
        <v>#N/A N/A</v>
        <stp/>
        <stp>BDP|15281692821479271843</stp>
        <tr r="U462" s="1"/>
      </tp>
      <tp t="s">
        <v>#N/A N/A</v>
        <stp/>
        <stp>BDP|15721732616215512689</stp>
        <tr r="U339" s="1"/>
      </tp>
      <tp t="s">
        <v>#N/A N/A</v>
        <stp/>
        <stp>BDP|12577560501486532186</stp>
        <tr r="U280" s="1"/>
      </tp>
      <tp t="s">
        <v>#N/A N/A</v>
        <stp/>
        <stp>BDP|10302073116647875657</stp>
        <tr r="U228" s="1"/>
      </tp>
      <tp t="s">
        <v>#N/A N/A</v>
        <stp/>
        <stp>BDP|15863726665832507643</stp>
        <tr r="U718" s="1"/>
      </tp>
      <tp t="s">
        <v>#N/A N/A</v>
        <stp/>
        <stp>BDP|12213604249865764529</stp>
        <tr r="U701" s="1"/>
      </tp>
      <tp t="s">
        <v>#N/A N/A</v>
        <stp/>
        <stp>BDP|16493208456462760352</stp>
        <tr r="U561" s="1"/>
      </tp>
      <tp t="s">
        <v>#N/A N/A</v>
        <stp/>
        <stp>BDP|17560659146465616033</stp>
        <tr r="U106" s="1"/>
      </tp>
      <tp t="s">
        <v>#N/A N/A</v>
        <stp/>
        <stp>BDP|10623728564366406774</stp>
        <tr r="U40" s="1"/>
      </tp>
      <tp t="s">
        <v>#N/A N/A</v>
        <stp/>
        <stp>BDP|14393056410510113548</stp>
        <tr r="U802" s="1"/>
      </tp>
      <tp t="s">
        <v>#N/A N/A</v>
        <stp/>
        <stp>BDP|11314544635125473250</stp>
        <tr r="U375" s="1"/>
      </tp>
      <tp t="s">
        <v>#N/A N/A</v>
        <stp/>
        <stp>BDP|10848396784753527858</stp>
        <tr r="U598" s="1"/>
      </tp>
      <tp t="s">
        <v>#N/A N/A</v>
        <stp/>
        <stp>BDP|13211239303237108672</stp>
        <tr r="U146" s="1"/>
      </tp>
      <tp t="s">
        <v>#N/A N/A</v>
        <stp/>
        <stp>BDP|11884634368481602015</stp>
        <tr r="U820" s="1"/>
      </tp>
      <tp t="s">
        <v>#N/A N/A</v>
        <stp/>
        <stp>BDP|14873141268945077608</stp>
        <tr r="U841" s="1"/>
      </tp>
      <tp t="s">
        <v>#N/A N/A</v>
        <stp/>
        <stp>BDP|15006226830972233670</stp>
        <tr r="U265" s="1"/>
      </tp>
      <tp t="s">
        <v>#N/A N/A</v>
        <stp/>
        <stp>BDP|12927837540567913959</stp>
        <tr r="U895" s="1"/>
      </tp>
      <tp t="s">
        <v>#N/A N/A</v>
        <stp/>
        <stp>BDP|12657318822704403775</stp>
        <tr r="U98" s="1"/>
      </tp>
      <tp t="s">
        <v>#N/A N/A</v>
        <stp/>
        <stp>BDP|16470136052481018336</stp>
        <tr r="U689" s="1"/>
      </tp>
      <tp t="s">
        <v>#N/A N/A</v>
        <stp/>
        <stp>BDP|13146733228953489581</stp>
        <tr r="U20" s="1"/>
      </tp>
      <tp t="s">
        <v>#N/A N/A</v>
        <stp/>
        <stp>BDP|14181602335171192034</stp>
        <tr r="U252" s="1"/>
      </tp>
      <tp t="s">
        <v>#N/A N/A</v>
        <stp/>
        <stp>BDP|12936135904480539207</stp>
        <tr r="U229" s="1"/>
      </tp>
      <tp t="s">
        <v>#N/A N/A</v>
        <stp/>
        <stp>BDP|13533762699515358925</stp>
        <tr r="U109" s="1"/>
      </tp>
      <tp t="s">
        <v>#N/A N/A</v>
        <stp/>
        <stp>BDP|17112995143708569346</stp>
        <tr r="U602" s="1"/>
      </tp>
      <tp t="s">
        <v>#N/A N/A</v>
        <stp/>
        <stp>BDP|16153585902985832799</stp>
        <tr r="U760" s="1"/>
      </tp>
      <tp t="s">
        <v>#N/A N/A</v>
        <stp/>
        <stp>BDP|12923577221867576372</stp>
        <tr r="U306" s="1"/>
      </tp>
      <tp t="s">
        <v>#N/A N/A</v>
        <stp/>
        <stp>BDP|13980933922808665135</stp>
        <tr r="U430" s="1"/>
      </tp>
      <tp t="s">
        <v>#N/A N/A</v>
        <stp/>
        <stp>BDP|15327510700495742485</stp>
        <tr r="U247" s="1"/>
      </tp>
      <tp t="s">
        <v>#N/A N/A</v>
        <stp/>
        <stp>BDP|13800852680903072115</stp>
        <tr r="U315" s="1"/>
      </tp>
      <tp t="s">
        <v>#N/A N/A</v>
        <stp/>
        <stp>BDP|13942040972602664759</stp>
        <tr r="U264" s="1"/>
      </tp>
      <tp t="s">
        <v>#N/A N/A</v>
        <stp/>
        <stp>BDP|12454405567756878770</stp>
        <tr r="U56" s="1"/>
      </tp>
      <tp t="s">
        <v>#N/A N/A</v>
        <stp/>
        <stp>BDP|17476569423336840775</stp>
        <tr r="U665" s="1"/>
      </tp>
      <tp t="s">
        <v>#N/A N/A</v>
        <stp/>
        <stp>BDP|17543834897843081406</stp>
        <tr r="U647" s="1"/>
      </tp>
      <tp t="s">
        <v>#N/A N/A</v>
        <stp/>
        <stp>BDP|13350009870525180034</stp>
        <tr r="U405" s="1"/>
      </tp>
      <tp t="s">
        <v>#N/A N/A</v>
        <stp/>
        <stp>BDP|10788565840158442853</stp>
        <tr r="U26" s="1"/>
      </tp>
      <tp t="s">
        <v>#N/A N/A</v>
        <stp/>
        <stp>BDP|14606920394841359434</stp>
        <tr r="U940" s="1"/>
      </tp>
      <tp t="s">
        <v>#N/A N/A</v>
        <stp/>
        <stp>BDP|15862284516512760519</stp>
        <tr r="U847" s="1"/>
      </tp>
      <tp t="s">
        <v>#N/A N/A</v>
        <stp/>
        <stp>BDP|17516626109912600281</stp>
        <tr r="U618" s="1"/>
      </tp>
      <tp t="s">
        <v>#N/A N/A</v>
        <stp/>
        <stp>BDP|16454775789350860826</stp>
        <tr r="U661" s="1"/>
      </tp>
      <tp t="s">
        <v>#N/A N/A</v>
        <stp/>
        <stp>BDP|16475589705843978106</stp>
        <tr r="U140" s="1"/>
      </tp>
      <tp t="s">
        <v>#N/A N/A</v>
        <stp/>
        <stp>BDP|14540819098835721188</stp>
        <tr r="U517" s="1"/>
      </tp>
      <tp t="s">
        <v>#N/A N/A</v>
        <stp/>
        <stp>BDP|13392559574378588847</stp>
        <tr r="U713" s="1"/>
      </tp>
      <tp t="s">
        <v>#N/A N/A</v>
        <stp/>
        <stp>BDP|12622773882529605566</stp>
        <tr r="U356" s="1"/>
      </tp>
      <tp t="s">
        <v>#N/A N/A</v>
        <stp/>
        <stp>BDP|14236223170327673752</stp>
        <tr r="U380" s="1"/>
      </tp>
      <tp t="s">
        <v>#N/A N/A</v>
        <stp/>
        <stp>BDP|11711531266935040605</stp>
        <tr r="U623" s="1"/>
      </tp>
      <tp t="s">
        <v>#N/A N/A</v>
        <stp/>
        <stp>BDP|17219159286819429676</stp>
        <tr r="U772" s="1"/>
      </tp>
      <tp t="s">
        <v>#N/A N/A</v>
        <stp/>
        <stp>BDP|17237145408652939528</stp>
        <tr r="U370" s="1"/>
      </tp>
      <tp t="s">
        <v>#N/A N/A</v>
        <stp/>
        <stp>BDP|12663798197679963448</stp>
        <tr r="U36" s="1"/>
      </tp>
      <tp t="s">
        <v>#N/A N/A</v>
        <stp/>
        <stp>BDP|13823315949252785735</stp>
        <tr r="U162" s="1"/>
      </tp>
      <tp t="s">
        <v>#N/A N/A</v>
        <stp/>
        <stp>BDP|11124601871051017042</stp>
        <tr r="U654" s="1"/>
      </tp>
      <tp t="s">
        <v>#N/A N/A</v>
        <stp/>
        <stp>BDP|10965205428196100747</stp>
        <tr r="U10" s="1"/>
      </tp>
      <tp t="s">
        <v>#N/A N/A</v>
        <stp/>
        <stp>BDP|12863578512637252089</stp>
        <tr r="U740" s="1"/>
      </tp>
      <tp t="s">
        <v>#N/A N/A</v>
        <stp/>
        <stp>BDP|13059405954134661753</stp>
        <tr r="U16" s="1"/>
      </tp>
      <tp t="s">
        <v>#N/A N/A</v>
        <stp/>
        <stp>BDP|17706779913741758129</stp>
        <tr r="U637" s="1"/>
      </tp>
      <tp t="s">
        <v>#N/A N/A</v>
        <stp/>
        <stp>BDP|11786675328674352732</stp>
        <tr r="U912" s="1"/>
      </tp>
      <tp t="s">
        <v>#N/A N/A</v>
        <stp/>
        <stp>BDP|16322830770037831806</stp>
        <tr r="U429" s="1"/>
      </tp>
      <tp t="s">
        <v>#N/A N/A</v>
        <stp/>
        <stp>BDP|10787081135720216536</stp>
        <tr r="U121" s="1"/>
      </tp>
      <tp t="s">
        <v>#N/A N/A</v>
        <stp/>
        <stp>BDP|17445109143004991058</stp>
        <tr r="U102" s="1"/>
      </tp>
      <tp t="s">
        <v>#N/A N/A</v>
        <stp/>
        <stp>BDP|10717094053013396059</stp>
        <tr r="U126" s="1"/>
      </tp>
      <tp t="s">
        <v>#N/A N/A</v>
        <stp/>
        <stp>BDP|17873093474776671096</stp>
        <tr r="U532" s="1"/>
      </tp>
      <tp t="s">
        <v>#N/A N/A</v>
        <stp/>
        <stp>BDP|13045157937270009785</stp>
        <tr r="U112" s="1"/>
      </tp>
      <tp t="s">
        <v>#N/A N/A</v>
        <stp/>
        <stp>BDP|17577938089185358516</stp>
        <tr r="U349" s="1"/>
      </tp>
      <tp t="s">
        <v>#N/A N/A</v>
        <stp/>
        <stp>BDP|14935450415447279062</stp>
        <tr r="U915" s="1"/>
      </tp>
      <tp t="s">
        <v>#N/A N/A</v>
        <stp/>
        <stp>BDP|16021300919662175052</stp>
        <tr r="U105" s="1"/>
      </tp>
      <tp t="s">
        <v>#N/A N/A</v>
        <stp/>
        <stp>BDP|13703278839790797437</stp>
        <tr r="U242" s="1"/>
      </tp>
      <tp t="s">
        <v>#N/A N/A</v>
        <stp/>
        <stp>BDP|13970620475264351000</stp>
        <tr r="U807" s="1"/>
      </tp>
      <tp t="s">
        <v>#N/A N/A</v>
        <stp/>
        <stp>BDP|15213057465324704183</stp>
        <tr r="U751" s="1"/>
      </tp>
      <tp t="s">
        <v>#N/A N/A</v>
        <stp/>
        <stp>BDP|13281741126628511888</stp>
        <tr r="U780" s="1"/>
      </tp>
      <tp t="s">
        <v>#N/A N/A</v>
        <stp/>
        <stp>BDP|10404155145016102597</stp>
        <tr r="U610" s="1"/>
      </tp>
      <tp t="s">
        <v>#N/A N/A</v>
        <stp/>
        <stp>BDP|17534837678436324828</stp>
        <tr r="U783" s="1"/>
      </tp>
      <tp t="s">
        <v>#N/A N/A</v>
        <stp/>
        <stp>BDP|17696750214095832207</stp>
        <tr r="U845" s="1"/>
      </tp>
      <tp t="s">
        <v>#N/A N/A</v>
        <stp/>
        <stp>BDP|13146620019946711428</stp>
        <tr r="U135" s="1"/>
      </tp>
      <tp t="s">
        <v>#N/A N/A</v>
        <stp/>
        <stp>BDP|17324001160925105231</stp>
        <tr r="U481" s="1"/>
      </tp>
      <tp t="s">
        <v>#N/A N/A</v>
        <stp/>
        <stp>BDP|11682425643246528137</stp>
        <tr r="U803" s="1"/>
      </tp>
      <tp t="s">
        <v>#N/A N/A</v>
        <stp/>
        <stp>BDP|17286930599203977204</stp>
        <tr r="U898" s="1"/>
      </tp>
      <tp t="s">
        <v>#N/A N/A</v>
        <stp/>
        <stp>BDP|16601705162308176949</stp>
        <tr r="U677" s="1"/>
      </tp>
      <tp t="s">
        <v>#N/A N/A</v>
        <stp/>
        <stp>BDP|10898549450871429794</stp>
        <tr r="U666" s="1"/>
      </tp>
      <tp t="s">
        <v>#N/A N/A</v>
        <stp/>
        <stp>BDP|15127503152437019428</stp>
        <tr r="U877" s="1"/>
      </tp>
      <tp t="s">
        <v>#N/A N/A</v>
        <stp/>
        <stp>BDP|18171721696451408105</stp>
        <tr r="U227" s="1"/>
      </tp>
      <tp t="s">
        <v>#N/A N/A</v>
        <stp/>
        <stp>BDP|11229580559721687649</stp>
        <tr r="U142" s="1"/>
      </tp>
      <tp t="s">
        <v>#N/A N/A</v>
        <stp/>
        <stp>BDP|15613455963573304206</stp>
        <tr r="U471" s="1"/>
      </tp>
      <tp t="s">
        <v>#N/A N/A</v>
        <stp/>
        <stp>BDP|17537573473473399009</stp>
        <tr r="U137" s="1"/>
      </tp>
      <tp t="s">
        <v>#N/A N/A</v>
        <stp/>
        <stp>BDP|10752594518324515617</stp>
        <tr r="U131" s="1"/>
      </tp>
      <tp t="s">
        <v>#N/A N/A</v>
        <stp/>
        <stp>BDP|13198217878326211688</stp>
        <tr r="U474" s="1"/>
      </tp>
      <tp t="s">
        <v>#N/A N/A</v>
        <stp/>
        <stp>BDP|11157473641811551675</stp>
        <tr r="U259" s="1"/>
      </tp>
      <tp t="s">
        <v>#N/A N/A</v>
        <stp/>
        <stp>BDP|14308317032082721023</stp>
        <tr r="U777" s="1"/>
      </tp>
      <tp t="s">
        <v>#N/A N/A</v>
        <stp/>
        <stp>BDP|16633930797782267245</stp>
        <tr r="U529" s="1"/>
      </tp>
      <tp t="s">
        <v>#N/A N/A</v>
        <stp/>
        <stp>BDP|10000279943667712778</stp>
        <tr r="U190" s="1"/>
      </tp>
      <tp t="s">
        <v>#N/A N/A</v>
        <stp/>
        <stp>BDP|13030376157816777509</stp>
        <tr r="U211" s="1"/>
      </tp>
      <tp t="s">
        <v>#N/A N/A</v>
        <stp/>
        <stp>BDP|14625274047535948060</stp>
        <tr r="U691" s="1"/>
      </tp>
      <tp t="s">
        <v>#N/A N/A</v>
        <stp/>
        <stp>BDP|12307485125960123371</stp>
        <tr r="U745" s="1"/>
      </tp>
      <tp t="s">
        <v>#N/A N/A</v>
        <stp/>
        <stp>BDP|14516084587793483868</stp>
        <tr r="U148" s="1"/>
      </tp>
      <tp t="s">
        <v>#N/A N/A</v>
        <stp/>
        <stp>BDP|16204238145332899545</stp>
        <tr r="U151" s="1"/>
      </tp>
      <tp t="s">
        <v>#N/A N/A</v>
        <stp/>
        <stp>BDP|15844654753676275777</stp>
        <tr r="U336" s="1"/>
      </tp>
      <tp t="s">
        <v>#N/A N/A</v>
        <stp/>
        <stp>BDP|18047165488047721138</stp>
        <tr r="U778" s="1"/>
      </tp>
      <tp t="s">
        <v>#N/A N/A</v>
        <stp/>
        <stp>BDP|16748533980659831561</stp>
        <tr r="U921" s="1"/>
      </tp>
      <tp t="s">
        <v>#N/A N/A</v>
        <stp/>
        <stp>BDP|13348852624678887609</stp>
        <tr r="U355" s="1"/>
      </tp>
      <tp t="s">
        <v>#N/A N/A</v>
        <stp/>
        <stp>BDP|16319832808938455168</stp>
        <tr r="U276" s="1"/>
      </tp>
      <tp t="s">
        <v>#N/A N/A</v>
        <stp/>
        <stp>BDP|13126229367226004690</stp>
        <tr r="U497" s="1"/>
      </tp>
      <tp t="s">
        <v>#N/A N/A</v>
        <stp/>
        <stp>BDP|10904048676460110078</stp>
        <tr r="U302" s="1"/>
      </tp>
      <tp t="s">
        <v>#N/A N/A</v>
        <stp/>
        <stp>BDP|10406536731050351199</stp>
        <tr r="U192" s="1"/>
      </tp>
      <tp t="s">
        <v>#N/A N/A</v>
        <stp/>
        <stp>BDP|12984624254886738046</stp>
        <tr r="U115" s="1"/>
      </tp>
      <tp t="s">
        <v>#N/A N/A</v>
        <stp/>
        <stp>BDP|13390215414412294584</stp>
        <tr r="U668" s="1"/>
      </tp>
      <tp t="s">
        <v>#N/A N/A</v>
        <stp/>
        <stp>BDP|14203025615084396699</stp>
        <tr r="U354" s="1"/>
      </tp>
      <tp t="s">
        <v>#N/A N/A</v>
        <stp/>
        <stp>BDP|14892007601013606012</stp>
        <tr r="U614" s="1"/>
      </tp>
      <tp t="s">
        <v>#N/A N/A</v>
        <stp/>
        <stp>BDP|14379637738196072093</stp>
        <tr r="U487" s="1"/>
      </tp>
      <tp t="s">
        <v>#N/A N/A</v>
        <stp/>
        <stp>BDP|16494738481598182676</stp>
        <tr r="U506" s="1"/>
      </tp>
      <tp t="s">
        <v>#N/A N/A</v>
        <stp/>
        <stp>BDP|14589601924713119407</stp>
        <tr r="U928" s="1"/>
      </tp>
      <tp t="s">
        <v>#N/A N/A</v>
        <stp/>
        <stp>BDP|12066772877143546651</stp>
        <tr r="U184" s="1"/>
      </tp>
      <tp t="s">
        <v>#N/A N/A</v>
        <stp/>
        <stp>BDP|10231539320426167608</stp>
        <tr r="U853" s="1"/>
      </tp>
      <tp t="s">
        <v>#N/A N/A</v>
        <stp/>
        <stp>BDP|17735347700280056309</stp>
        <tr r="U258" s="1"/>
      </tp>
      <tp t="s">
        <v>#N/A N/A</v>
        <stp/>
        <stp>BDP|11561726077486561064</stp>
        <tr r="U603" s="1"/>
      </tp>
      <tp t="s">
        <v>#N/A N/A</v>
        <stp/>
        <stp>BDP|15976578446960342384</stp>
        <tr r="U533" s="1"/>
      </tp>
      <tp t="s">
        <v>#N/A N/A</v>
        <stp/>
        <stp>BDP|15594203305751492168</stp>
        <tr r="U595" s="1"/>
      </tp>
      <tp t="s">
        <v>#N/A N/A</v>
        <stp/>
        <stp>BDP|17681220631683190263</stp>
        <tr r="U293" s="1"/>
      </tp>
      <tp t="s">
        <v>#N/A N/A</v>
        <stp/>
        <stp>BDP|16767414244551513028</stp>
        <tr r="U50" s="1"/>
      </tp>
      <tp t="s">
        <v>#N/A N/A</v>
        <stp/>
        <stp>BDP|17538026365413414533</stp>
        <tr r="U775" s="1"/>
      </tp>
      <tp t="s">
        <v>#N/A N/A</v>
        <stp/>
        <stp>BDP|13396882468978755201</stp>
        <tr r="U688" s="1"/>
      </tp>
      <tp t="s">
        <v>#N/A N/A</v>
        <stp/>
        <stp>BDP|11845552275602504696</stp>
        <tr r="U340" s="1"/>
      </tp>
      <tp t="s">
        <v>#N/A N/A</v>
        <stp/>
        <stp>BDP|17011066971465175216</stp>
        <tr r="U542" s="1"/>
      </tp>
      <tp t="s">
        <v>#N/A N/A</v>
        <stp/>
        <stp>BDP|13690415673860204709</stp>
        <tr r="U939" s="1"/>
      </tp>
      <tp t="s">
        <v>#N/A N/A</v>
        <stp/>
        <stp>BDP|12167976889536101287</stp>
        <tr r="U937" s="1"/>
      </tp>
      <tp t="s">
        <v>#N/A N/A</v>
        <stp/>
        <stp>BDP|18222375072433129806</stp>
        <tr r="U153" s="1"/>
      </tp>
      <tp t="s">
        <v>#N/A N/A</v>
        <stp/>
        <stp>BDP|12380688362511884479</stp>
        <tr r="U507" s="1"/>
      </tp>
      <tp t="s">
        <v>#N/A N/A</v>
        <stp/>
        <stp>BDP|11332548509038447831</stp>
        <tr r="U394" s="1"/>
      </tp>
      <tp t="s">
        <v>#N/A N/A</v>
        <stp/>
        <stp>BDP|10432680064650907489</stp>
        <tr r="U74" s="1"/>
      </tp>
      <tp t="s">
        <v>#N/A N/A</v>
        <stp/>
        <stp>BDP|14755448507657988350</stp>
        <tr r="U468" s="1"/>
      </tp>
      <tp t="s">
        <v>#N/A N/A</v>
        <stp/>
        <stp>BDP|14338138957912610690</stp>
        <tr r="U467" s="1"/>
      </tp>
      <tp t="s">
        <v>#N/A N/A</v>
        <stp/>
        <stp>BDP|11528379573590958130</stp>
        <tr r="U804" s="1"/>
      </tp>
      <tp t="s">
        <v>#N/A N/A</v>
        <stp/>
        <stp>BDP|11166022858909468940</stp>
        <tr r="U291" s="1"/>
      </tp>
      <tp t="s">
        <v>#N/A N/A</v>
        <stp/>
        <stp>BDP|15047110020552276088</stp>
        <tr r="U424" s="1"/>
      </tp>
      <tp t="s">
        <v>#N/A N/A</v>
        <stp/>
        <stp>BDP|10173118227901941651</stp>
        <tr r="U168" s="1"/>
      </tp>
      <tp t="s">
        <v>#N/A N/A</v>
        <stp/>
        <stp>BDP|12453302242341937044</stp>
        <tr r="U343" s="1"/>
      </tp>
      <tp t="s">
        <v>#N/A N/A</v>
        <stp/>
        <stp>BDP|14293595350482631270</stp>
        <tr r="U11" s="1"/>
      </tp>
      <tp t="s">
        <v>#N/A N/A</v>
        <stp/>
        <stp>BDP|15085332704565528787</stp>
        <tr r="U655" s="1"/>
      </tp>
      <tp t="s">
        <v>#N/A N/A</v>
        <stp/>
        <stp>BDP|11407997655058589176</stp>
        <tr r="U454" s="1"/>
      </tp>
      <tp t="s">
        <v>#N/A N/A</v>
        <stp/>
        <stp>BDP|15813466270470113233</stp>
        <tr r="U431" s="1"/>
      </tp>
      <tp t="s">
        <v>#N/A N/A</v>
        <stp/>
        <stp>BDP|15880352449510805608</stp>
        <tr r="U698" s="1"/>
      </tp>
      <tp t="s">
        <v>#N/A N/A</v>
        <stp/>
        <stp>BDP|11475021572542806006</stp>
        <tr r="U100" s="1"/>
      </tp>
      <tp t="s">
        <v>#N/A N/A</v>
        <stp/>
        <stp>BDP|17526123200724074688</stp>
        <tr r="U570" s="1"/>
      </tp>
      <tp t="s">
        <v>#N/A N/A</v>
        <stp/>
        <stp>BDP|11592910024468702666</stp>
        <tr r="U164" s="1"/>
      </tp>
      <tp t="s">
        <v>#N/A N/A</v>
        <stp/>
        <stp>BDP|17691321209798457898</stp>
        <tr r="U350" s="1"/>
      </tp>
      <tp t="s">
        <v>#N/A N/A</v>
        <stp/>
        <stp>BDP|12123867983167448102</stp>
        <tr r="U274" s="1"/>
      </tp>
      <tp t="s">
        <v>#N/A N/A</v>
        <stp/>
        <stp>BDP|11830695541100827782</stp>
        <tr r="U563" s="1"/>
      </tp>
      <tp t="s">
        <v>#N/A N/A</v>
        <stp/>
        <stp>BDP|16243264432021350253</stp>
        <tr r="U167" s="1"/>
      </tp>
      <tp t="s">
        <v>#N/A N/A</v>
        <stp/>
        <stp>BDP|14536636616405970290</stp>
        <tr r="U55" s="1"/>
      </tp>
      <tp t="s">
        <v>#N/A N/A</v>
        <stp/>
        <stp>BDP|14330121671942191448</stp>
        <tr r="U15" s="1"/>
      </tp>
      <tp t="s">
        <v>#N/A N/A</v>
        <stp/>
        <stp>BDP|15856789520817255379</stp>
        <tr r="U294" s="1"/>
      </tp>
      <tp t="s">
        <v>#N/A N/A</v>
        <stp/>
        <stp>BDP|16074445289439850718</stp>
        <tr r="U788" s="1"/>
      </tp>
      <tp t="s">
        <v>#N/A N/A</v>
        <stp/>
        <stp>BDP|18020845226037786115</stp>
        <tr r="U437" s="1"/>
      </tp>
      <tp t="s">
        <v>#N/A N/A</v>
        <stp/>
        <stp>BDP|13549072261749770802</stp>
        <tr r="U648" s="1"/>
      </tp>
      <tp t="s">
        <v>#N/A N/A</v>
        <stp/>
        <stp>BDP|13598612442034329128</stp>
        <tr r="U522" s="1"/>
      </tp>
      <tp t="s">
        <v>#N/A N/A</v>
        <stp/>
        <stp>BDP|13397681823866995570</stp>
        <tr r="U64" s="1"/>
      </tp>
      <tp t="s">
        <v>#N/A N/A</v>
        <stp/>
        <stp>BDP|18320942019337977319</stp>
        <tr r="U579" s="1"/>
      </tp>
      <tp t="s">
        <v>#N/A N/A</v>
        <stp/>
        <stp>BDP|13720026753830673393</stp>
        <tr r="U759" s="1"/>
      </tp>
      <tp t="s">
        <v>#N/A N/A</v>
        <stp/>
        <stp>BDP|14238454750769614985</stp>
        <tr r="U859" s="1"/>
      </tp>
      <tp t="s">
        <v>#N/A N/A</v>
        <stp/>
        <stp>BDP|16162230285009960060</stp>
        <tr r="U313" s="1"/>
      </tp>
      <tp t="s">
        <v>#N/A N/A</v>
        <stp/>
        <stp>BDP|12157361306633154783</stp>
        <tr r="U918" s="1"/>
      </tp>
      <tp t="s">
        <v>#N/A N/A</v>
        <stp/>
        <stp>BDP|17405452047764522680</stp>
        <tr r="U722" s="1"/>
      </tp>
      <tp t="s">
        <v>#N/A N/A</v>
        <stp/>
        <stp>BDP|13398009666077140796</stp>
        <tr r="U556" s="1"/>
      </tp>
      <tp t="s">
        <v>#N/A N/A</v>
        <stp/>
        <stp>BDP|17384397261173568420</stp>
        <tr r="U678" s="1"/>
      </tp>
      <tp t="s">
        <v>#N/A N/A</v>
        <stp/>
        <stp>BDP|13933833683101160749</stp>
        <tr r="U486" s="1"/>
      </tp>
      <tp t="s">
        <v>#N/A N/A</v>
        <stp/>
        <stp>BDP|17931529103292787532</stp>
        <tr r="U830" s="1"/>
      </tp>
      <tp t="s">
        <v>#N/A N/A</v>
        <stp/>
        <stp>BDP|13462664648442647607</stp>
        <tr r="U643" s="1"/>
      </tp>
      <tp t="s">
        <v>#N/A N/A</v>
        <stp/>
        <stp>BDP|13900792653854872049</stp>
        <tr r="U382" s="1"/>
      </tp>
      <tp t="s">
        <v>#N/A N/A</v>
        <stp/>
        <stp>BDP|11428528831021386359</stp>
        <tr r="U173" s="1"/>
      </tp>
      <tp t="s">
        <v>#N/A N/A</v>
        <stp/>
        <stp>BDP|17556508475960496056</stp>
        <tr r="U667" s="1"/>
      </tp>
      <tp t="s">
        <v>#N/A N/A</v>
        <stp/>
        <stp>BDP|16948841743578817772</stp>
        <tr r="U658" s="1"/>
      </tp>
      <tp t="s">
        <v>#N/A N/A</v>
        <stp/>
        <stp>BDP|11746369361533104208</stp>
        <tr r="U753" s="1"/>
      </tp>
      <tp t="s">
        <v>#N/A N/A</v>
        <stp/>
        <stp>BDP|16684231170512292460</stp>
        <tr r="U582" s="1"/>
      </tp>
      <tp t="s">
        <v>#N/A N/A</v>
        <stp/>
        <stp>BDP|10605548457110275574</stp>
        <tr r="U738" s="1"/>
      </tp>
      <tp t="s">
        <v>#N/A N/A</v>
        <stp/>
        <stp>BDP|17257368299169437196</stp>
        <tr r="U395" s="1"/>
      </tp>
      <tp t="s">
        <v>#N/A N/A</v>
        <stp/>
        <stp>BDP|11154469024956435472</stp>
        <tr r="U434" s="1"/>
      </tp>
      <tp t="s">
        <v>#N/A N/A</v>
        <stp/>
        <stp>BDP|11805857682475499182</stp>
        <tr r="U427" s="1"/>
      </tp>
      <tp t="s">
        <v>#N/A N/A</v>
        <stp/>
        <stp>BDP|15092462527772025429</stp>
        <tr r="U87" s="1"/>
      </tp>
      <tp t="s">
        <v>#N/A N/A</v>
        <stp/>
        <stp>BDP|15284845007921289910</stp>
        <tr r="U272" s="1"/>
      </tp>
      <tp t="s">
        <v>#N/A N/A</v>
        <stp/>
        <stp>BDP|18125087854110696899</stp>
        <tr r="U160" s="1"/>
      </tp>
      <tp t="s">
        <v>#N/A N/A</v>
        <stp/>
        <stp>BDP|15981786244341336234</stp>
        <tr r="U82" s="1"/>
      </tp>
      <tp t="s">
        <v>#N/A N/A</v>
        <stp/>
        <stp>BDP|12432206663677297422</stp>
        <tr r="U721" s="1"/>
      </tp>
      <tp t="s">
        <v>#N/A N/A</v>
        <stp/>
        <stp>BDP|10310556666707036163</stp>
        <tr r="U523" s="1"/>
      </tp>
      <tp t="s">
        <v>#N/A N/A</v>
        <stp/>
        <stp>BDP|14230205720421506015</stp>
        <tr r="U789" s="1"/>
      </tp>
    </main>
    <main first="bofaddin.rtdserver">
      <tp t="s">
        <v>#N/A N/A</v>
        <stp/>
        <stp>BDP|4879218961258319418</stp>
        <tr r="U521" s="1"/>
      </tp>
      <tp t="s">
        <v>#N/A N/A</v>
        <stp/>
        <stp>BDP|5419583952218691135</stp>
        <tr r="U854" s="1"/>
      </tp>
      <tp t="s">
        <v>#N/A N/A</v>
        <stp/>
        <stp>BDP|4475891460266525033</stp>
        <tr r="U199" s="1"/>
      </tp>
      <tp t="s">
        <v>#N/A N/A</v>
        <stp/>
        <stp>BDP|8795076428514433248</stp>
        <tr r="U681" s="1"/>
      </tp>
      <tp t="s">
        <v>#N/A N/A</v>
        <stp/>
        <stp>BDP|2449263905998955469</stp>
        <tr r="U108" s="1"/>
      </tp>
      <tp t="s">
        <v>#N/A N/A</v>
        <stp/>
        <stp>BDP|9446169531816212190</stp>
        <tr r="U608" s="1"/>
      </tp>
      <tp t="s">
        <v>#N/A N/A</v>
        <stp/>
        <stp>BDP|5125971219167749600</stp>
        <tr r="U453" s="1"/>
      </tp>
      <tp t="s">
        <v>#N/A N/A</v>
        <stp/>
        <stp>BDP|6064174099386122462</stp>
        <tr r="U508" s="1"/>
      </tp>
      <tp t="s">
        <v>#N/A N/A</v>
        <stp/>
        <stp>BDP|1239139999103766610</stp>
        <tr r="U255" s="1"/>
      </tp>
      <tp t="s">
        <v>#N/A N/A</v>
        <stp/>
        <stp>BDP|7441190441509430766</stp>
        <tr r="U653" s="1"/>
      </tp>
      <tp t="s">
        <v>#N/A N/A</v>
        <stp/>
        <stp>BDP|5569159657144833903</stp>
        <tr r="U946" s="1"/>
      </tp>
      <tp t="s">
        <v>#N/A N/A</v>
        <stp/>
        <stp>BDP|1958801929177941062</stp>
        <tr r="U256" s="1"/>
      </tp>
      <tp t="s">
        <v>#N/A N/A</v>
        <stp/>
        <stp>BDP|2859271861522493863</stp>
        <tr r="U238" s="1"/>
      </tp>
      <tp t="s">
        <v>#N/A N/A</v>
        <stp/>
        <stp>BDP|6888935530224248451</stp>
        <tr r="U750" s="1"/>
      </tp>
      <tp t="s">
        <v>#N/A N/A</v>
        <stp/>
        <stp>BDP|9521024638966660042</stp>
        <tr r="U505" s="1"/>
      </tp>
      <tp t="s">
        <v>#N/A N/A</v>
        <stp/>
        <stp>BDP|4149898917748084922</stp>
        <tr r="U72" s="1"/>
      </tp>
      <tp t="s">
        <v>#N/A N/A</v>
        <stp/>
        <stp>BDP|3556676633002818841</stp>
        <tr r="U870" s="1"/>
      </tp>
      <tp t="s">
        <v>#N/A N/A</v>
        <stp/>
        <stp>BDP|1635125218235515841</stp>
        <tr r="U650" s="1"/>
      </tp>
      <tp t="s">
        <v>#N/A N/A</v>
        <stp/>
        <stp>BDP|2370985217987903178</stp>
        <tr r="U37" s="1"/>
      </tp>
      <tp t="s">
        <v>#N/A N/A</v>
        <stp/>
        <stp>BDP|2866906518901319704</stp>
        <tr r="U511" s="1"/>
      </tp>
      <tp t="s">
        <v>#N/A N/A</v>
        <stp/>
        <stp>BDP|7347187186380901275</stp>
        <tr r="U180" s="1"/>
      </tp>
      <tp t="s">
        <v>#N/A N/A</v>
        <stp/>
        <stp>BDP|7168443682833255452</stp>
        <tr r="U301" s="1"/>
      </tp>
      <tp t="s">
        <v>#N/A N/A</v>
        <stp/>
        <stp>BDP|9639751976261094454</stp>
        <tr r="U509" s="1"/>
      </tp>
      <tp t="s">
        <v>#N/A N/A</v>
        <stp/>
        <stp>BDP|4409226397442124179</stp>
        <tr r="U14" s="1"/>
      </tp>
      <tp t="s">
        <v>#N/A N/A</v>
        <stp/>
        <stp>BDP|2136976004785443219</stp>
        <tr r="U761" s="1"/>
      </tp>
      <tp t="s">
        <v>#N/A N/A</v>
        <stp/>
        <stp>BDP|9463495045084707184</stp>
        <tr r="U860" s="1"/>
      </tp>
      <tp t="s">
        <v>#N/A N/A</v>
        <stp/>
        <stp>BDP|6825823368692743610</stp>
        <tr r="U91" s="1"/>
      </tp>
      <tp t="s">
        <v>#N/A N/A</v>
        <stp/>
        <stp>BDP|1868396393331469627</stp>
        <tr r="U719" s="1"/>
      </tp>
      <tp t="s">
        <v>#N/A N/A</v>
        <stp/>
        <stp>BDP|8556956495843466748</stp>
        <tr r="U639" s="1"/>
      </tp>
      <tp t="s">
        <v>#N/A N/A</v>
        <stp/>
        <stp>BDP|9799275896707680956</stp>
        <tr r="U708" s="1"/>
      </tp>
      <tp t="s">
        <v>#N/A N/A</v>
        <stp/>
        <stp>BDP|8926303862629587946</stp>
        <tr r="U687" s="1"/>
      </tp>
      <tp t="s">
        <v>#N/A N/A</v>
        <stp/>
        <stp>BDP|3409293934248456775</stp>
        <tr r="U85" s="1"/>
      </tp>
      <tp t="s">
        <v>#N/A N/A</v>
        <stp/>
        <stp>BDP|8567455540917339281</stp>
        <tr r="U641" s="1"/>
      </tp>
      <tp t="s">
        <v>#N/A N/A</v>
        <stp/>
        <stp>BDP|6449012380144891765</stp>
        <tr r="U13" s="1"/>
      </tp>
      <tp t="s">
        <v>#N/A N/A</v>
        <stp/>
        <stp>BDP|3283280934686427919</stp>
        <tr r="U96" s="1"/>
      </tp>
      <tp t="s">
        <v>#N/A N/A</v>
        <stp/>
        <stp>BDP|7022920360137825221</stp>
        <tr r="U212" s="1"/>
      </tp>
      <tp t="s">
        <v>#N/A N/A</v>
        <stp/>
        <stp>BDP|2200799177657131859</stp>
        <tr r="U218" s="1"/>
      </tp>
      <tp t="s">
        <v>#N/A N/A</v>
        <stp/>
        <stp>BDP|9029365384648823724</stp>
        <tr r="U452" s="1"/>
      </tp>
      <tp t="s">
        <v>#N/A N/A</v>
        <stp/>
        <stp>BDP|5614461679812134915</stp>
        <tr r="U762" s="1"/>
      </tp>
      <tp t="s">
        <v>#N/A N/A</v>
        <stp/>
        <stp>BDP|2536853876994917410</stp>
        <tr r="U470" s="1"/>
      </tp>
      <tp t="s">
        <v>#N/A N/A</v>
        <stp/>
        <stp>BDP|4827311616559952289</stp>
        <tr r="U408" s="1"/>
      </tp>
      <tp t="s">
        <v>#N/A N/A</v>
        <stp/>
        <stp>BDP|4398157516040781991</stp>
        <tr r="U68" s="1"/>
      </tp>
      <tp t="s">
        <v>#N/A N/A</v>
        <stp/>
        <stp>BDP|3967250196711599434</stp>
        <tr r="U317" s="1"/>
      </tp>
      <tp t="s">
        <v>#N/A N/A</v>
        <stp/>
        <stp>BDP|7754764665999099295</stp>
        <tr r="U649" s="1"/>
      </tp>
      <tp t="s">
        <v>#N/A N/A</v>
        <stp/>
        <stp>BDP|5329997950091201553</stp>
        <tr r="U351" s="1"/>
      </tp>
      <tp t="s">
        <v>#N/A N/A</v>
        <stp/>
        <stp>BDP|5859191662286357934</stp>
        <tr r="U412" s="1"/>
      </tp>
      <tp t="s">
        <v>#N/A N/A</v>
        <stp/>
        <stp>BDP|3841658809099068146</stp>
        <tr r="U901" s="1"/>
      </tp>
      <tp t="s">
        <v>#N/A N/A</v>
        <stp/>
        <stp>BDP|9893625260802857637</stp>
        <tr r="U715" s="1"/>
      </tp>
      <tp t="s">
        <v>#N/A N/A</v>
        <stp/>
        <stp>BDP|5667020591013790239</stp>
        <tr r="U535" s="1"/>
      </tp>
      <tp t="s">
        <v>#N/A N/A</v>
        <stp/>
        <stp>BDP|2972033850208935255</stp>
        <tr r="U838" s="1"/>
      </tp>
      <tp t="s">
        <v>#N/A N/A</v>
        <stp/>
        <stp>BDP|6308562912716170900</stp>
        <tr r="U54" s="1"/>
      </tp>
      <tp t="s">
        <v>#N/A N/A</v>
        <stp/>
        <stp>BDP|8847395001416240046</stp>
        <tr r="U489" s="1"/>
      </tp>
      <tp t="s">
        <v>#N/A N/A</v>
        <stp/>
        <stp>BDP|2899055185355416287</stp>
        <tr r="U174" s="1"/>
      </tp>
      <tp t="s">
        <v>#N/A N/A</v>
        <stp/>
        <stp>BDP|7169384094917927708</stp>
        <tr r="U278" s="1"/>
      </tp>
      <tp t="s">
        <v>#N/A N/A</v>
        <stp/>
        <stp>BDP|1456481669438004615</stp>
        <tr r="U543" s="1"/>
      </tp>
      <tp t="s">
        <v>#N/A N/A</v>
        <stp/>
        <stp>BDP|8894509364093859500</stp>
        <tr r="U491" s="1"/>
      </tp>
      <tp t="s">
        <v>#N/A N/A</v>
        <stp/>
        <stp>BDP|9200828534476542947</stp>
        <tr r="U589" s="1"/>
      </tp>
      <tp t="s">
        <v>#N/A N/A</v>
        <stp/>
        <stp>BDP|5129763774078996303</stp>
        <tr r="U544" s="1"/>
      </tp>
      <tp t="s">
        <v>#N/A N/A</v>
        <stp/>
        <stp>BDP|4464188938008663082</stp>
        <tr r="U300" s="1"/>
      </tp>
      <tp t="s">
        <v>#N/A N/A</v>
        <stp/>
        <stp>BDP|6720354555346903845</stp>
        <tr r="U634" s="1"/>
      </tp>
      <tp t="s">
        <v>#N/A N/A</v>
        <stp/>
        <stp>BDP|6262461919519526439</stp>
        <tr r="U449" s="1"/>
      </tp>
      <tp t="s">
        <v>#N/A N/A</v>
        <stp/>
        <stp>BDP|2018304700139341683</stp>
        <tr r="U438" s="1"/>
      </tp>
      <tp t="s">
        <v>#N/A N/A</v>
        <stp/>
        <stp>BDP|3807924030820067727</stp>
        <tr r="U615" s="1"/>
      </tp>
      <tp t="s">
        <v>#N/A N/A</v>
        <stp/>
        <stp>BDP|4421756229428370736</stp>
        <tr r="U586" s="1"/>
      </tp>
      <tp t="s">
        <v>#N/A N/A</v>
        <stp/>
        <stp>BDP|1618196697787963096</stp>
        <tr r="U223" s="1"/>
      </tp>
      <tp t="s">
        <v>#N/A N/A</v>
        <stp/>
        <stp>BDP|9721465118804432644</stp>
        <tr r="U92" s="1"/>
      </tp>
      <tp t="s">
        <v>#N/A N/A</v>
        <stp/>
        <stp>BDP|7893150603088493031</stp>
        <tr r="U5" s="1"/>
      </tp>
      <tp t="s">
        <v>#N/A N/A</v>
        <stp/>
        <stp>BDP|6410742588985578236</stp>
        <tr r="U635" s="1"/>
      </tp>
      <tp t="s">
        <v>#N/A N/A</v>
        <stp/>
        <stp>BDP|5878646427316233961</stp>
        <tr r="U312" s="1"/>
      </tp>
      <tp t="s">
        <v>#N/A N/A</v>
        <stp/>
        <stp>BDP|2415793425680444933</stp>
        <tr r="U296" s="1"/>
      </tp>
      <tp t="s">
        <v>#N/A N/A</v>
        <stp/>
        <stp>BDP|5311031983557510496</stp>
        <tr r="U69" s="1"/>
      </tp>
      <tp t="s">
        <v>#N/A N/A</v>
        <stp/>
        <stp>BDP|7324113080166964674</stp>
        <tr r="U250" s="1"/>
      </tp>
      <tp t="s">
        <v>#N/A N/A</v>
        <stp/>
        <stp>BDP|6669024909821888989</stp>
        <tr r="U839" s="1"/>
      </tp>
      <tp t="s">
        <v>#N/A N/A</v>
        <stp/>
        <stp>BDP|4542463338864297949</stp>
        <tr r="U111" s="1"/>
      </tp>
      <tp t="s">
        <v>#N/A N/A</v>
        <stp/>
        <stp>BDP|1334868216165279336</stp>
        <tr r="U728" s="1"/>
      </tp>
      <tp t="s">
        <v>#N/A N/A</v>
        <stp/>
        <stp>BDP|4074429997587327068</stp>
        <tr r="U439" s="1"/>
      </tp>
      <tp t="s">
        <v>#N/A N/A</v>
        <stp/>
        <stp>BDP|1365146175130620943</stp>
        <tr r="U774" s="1"/>
      </tp>
      <tp t="s">
        <v>#N/A N/A</v>
        <stp/>
        <stp>BDP|3395039923287629853</stp>
        <tr r="U170" s="1"/>
      </tp>
      <tp t="s">
        <v>#N/A N/A</v>
        <stp/>
        <stp>BDP|3809595170489214621</stp>
        <tr r="U215" s="1"/>
      </tp>
      <tp t="s">
        <v>#N/A N/A</v>
        <stp/>
        <stp>BDP|7241664140488446317</stp>
        <tr r="U17" s="1"/>
      </tp>
      <tp t="s">
        <v>#N/A N/A</v>
        <stp/>
        <stp>BDP|8502208462681759360</stp>
        <tr r="U95" s="1"/>
      </tp>
      <tp t="s">
        <v>#N/A N/A</v>
        <stp/>
        <stp>BDP|5424507417847318868</stp>
        <tr r="U892" s="1"/>
      </tp>
      <tp t="s">
        <v>#N/A N/A</v>
        <stp/>
        <stp>BDP|7522725312136445975</stp>
        <tr r="U612" s="1"/>
      </tp>
      <tp t="s">
        <v>#N/A N/A</v>
        <stp/>
        <stp>BDP|8280117002233531432</stp>
        <tr r="U599" s="1"/>
      </tp>
      <tp t="s">
        <v>#N/A N/A</v>
        <stp/>
        <stp>BDP|3038573862689081710</stp>
        <tr r="U673" s="1"/>
      </tp>
      <tp t="s">
        <v>#N/A N/A</v>
        <stp/>
        <stp>BDP|6353078765839483718</stp>
        <tr r="U933" s="1"/>
      </tp>
      <tp t="s">
        <v>#N/A N/A</v>
        <stp/>
        <stp>BDP|6029443017444469924</stp>
        <tr r="U555" s="1"/>
      </tp>
      <tp t="s">
        <v>#N/A N/A</v>
        <stp/>
        <stp>BDP|2260390969078193097</stp>
        <tr r="U333" s="1"/>
      </tp>
      <tp t="s">
        <v>#N/A N/A</v>
        <stp/>
        <stp>BDP|2011836384978810555</stp>
        <tr r="U330" s="1"/>
      </tp>
      <tp t="s">
        <v>#N/A N/A</v>
        <stp/>
        <stp>BDP|3721238568960384843</stp>
        <tr r="U685" s="1"/>
      </tp>
      <tp t="s">
        <v>#N/A N/A</v>
        <stp/>
        <stp>BDP|7012149382659649881</stp>
        <tr r="U626" s="1"/>
      </tp>
      <tp t="s">
        <v>#N/A N/A</v>
        <stp/>
        <stp>BDP|6418875660740953748</stp>
        <tr r="U161" s="1"/>
      </tp>
      <tp t="s">
        <v>#N/A N/A</v>
        <stp/>
        <stp>BDP|2051395194262052528</stp>
        <tr r="U94" s="1"/>
      </tp>
      <tp t="s">
        <v>#N/A N/A</v>
        <stp/>
        <stp>BDP|1358733951999995579</stp>
        <tr r="U812" s="1"/>
      </tp>
      <tp t="s">
        <v>#N/A N/A</v>
        <stp/>
        <stp>BDP|4861816002302566130</stp>
        <tr r="U447" s="1"/>
      </tp>
      <tp t="s">
        <v>#N/A N/A</v>
        <stp/>
        <stp>BDP|8972112117697111034</stp>
        <tr r="U747" s="1"/>
      </tp>
      <tp t="s">
        <v>#N/A N/A</v>
        <stp/>
        <stp>BDP|1244873476591937089</stp>
        <tr r="U766" s="1"/>
      </tp>
      <tp t="s">
        <v>#N/A N/A</v>
        <stp/>
        <stp>BDP|6519978227426683400</stp>
        <tr r="U606" s="1"/>
      </tp>
      <tp t="s">
        <v>#N/A N/A</v>
        <stp/>
        <stp>BDP|6406100287404011401</stp>
        <tr r="U844" s="1"/>
      </tp>
      <tp t="s">
        <v>#N/A N/A</v>
        <stp/>
        <stp>BDP|4113455465968171104</stp>
        <tr r="U620" s="1"/>
      </tp>
      <tp t="s">
        <v>#N/A N/A</v>
        <stp/>
        <stp>BDP|9131562131369207946</stp>
        <tr r="U360" s="1"/>
      </tp>
      <tp t="s">
        <v>#N/A N/A</v>
        <stp/>
        <stp>BDP|3091249903427335943</stp>
        <tr r="U552" s="1"/>
      </tp>
      <tp t="s">
        <v>#N/A N/A</v>
        <stp/>
        <stp>BDP|8952447018483073155</stp>
        <tr r="U720" s="1"/>
      </tp>
      <tp t="s">
        <v>#N/A N/A</v>
        <stp/>
        <stp>BDP|6189314880995774711</stp>
        <tr r="U469" s="1"/>
      </tp>
      <tp t="s">
        <v>#N/A N/A</v>
        <stp/>
        <stp>BDP|1821524995593851110</stp>
        <tr r="U156" s="1"/>
      </tp>
      <tp t="s">
        <v>#N/A N/A</v>
        <stp/>
        <stp>BDP|2023860297954726814</stp>
        <tr r="U843" s="1"/>
      </tp>
      <tp t="s">
        <v>#N/A N/A</v>
        <stp/>
        <stp>BDP|7677639796757326046</stp>
        <tr r="U179" s="1"/>
      </tp>
      <tp t="s">
        <v>#N/A N/A</v>
        <stp/>
        <stp>BDP|4882893561196607326</stp>
        <tr r="U359" s="1"/>
      </tp>
      <tp t="s">
        <v>#N/A N/A</v>
        <stp/>
        <stp>BDP|6099839460132778504</stp>
        <tr r="U732" s="1"/>
      </tp>
      <tp t="s">
        <v>#N/A N/A</v>
        <stp/>
        <stp>BDP|7565862462611240773</stp>
        <tr r="U249" s="1"/>
      </tp>
      <tp t="s">
        <v>#N/A N/A</v>
        <stp/>
        <stp>BDP|5046808424486785668</stp>
        <tr r="U539" s="1"/>
      </tp>
      <tp t="s">
        <v>#N/A N/A</v>
        <stp/>
        <stp>BDP|5999716588185942735</stp>
        <tr r="U208" s="1"/>
      </tp>
      <tp t="s">
        <v>#N/A N/A</v>
        <stp/>
        <stp>BDP|2559210526529954316</stp>
        <tr r="U21" s="1"/>
      </tp>
      <tp t="s">
        <v>#N/A N/A</v>
        <stp/>
        <stp>BDP|2936565794891977791</stp>
        <tr r="U848" s="1"/>
      </tp>
      <tp t="s">
        <v>#N/A N/A</v>
        <stp/>
        <stp>BDP|2111663928339196757</stp>
        <tr r="U493" s="1"/>
      </tp>
      <tp t="s">
        <v>#N/A N/A</v>
        <stp/>
        <stp>BDP|4882655188703803159</stp>
        <tr r="U814" s="1"/>
      </tp>
      <tp t="s">
        <v>#N/A N/A</v>
        <stp/>
        <stp>BDP|2323791740120061926</stp>
        <tr r="U572" s="1"/>
      </tp>
      <tp t="s">
        <v>#N/A N/A</v>
        <stp/>
        <stp>BDP|6325918760209826852</stp>
        <tr r="U401" s="1"/>
      </tp>
      <tp t="s">
        <v>#N/A N/A</v>
        <stp/>
        <stp>BDP|1603148819778384174</stp>
        <tr r="U185" s="1"/>
      </tp>
      <tp t="s">
        <v>#N/A N/A</v>
        <stp/>
        <stp>BDP|3631848538022117263</stp>
        <tr r="U187" s="1"/>
      </tp>
      <tp t="s">
        <v>#N/A N/A</v>
        <stp/>
        <stp>BDP|3678088525338177193</stp>
        <tr r="U858" s="1"/>
      </tp>
      <tp t="s">
        <v>#N/A N/A</v>
        <stp/>
        <stp>BDP|5395798968958079435</stp>
        <tr r="U197" s="1"/>
      </tp>
      <tp t="s">
        <v>#N/A N/A</v>
        <stp/>
        <stp>BDP|4020869316767842299</stp>
        <tr r="U195" s="1"/>
      </tp>
      <tp t="s">
        <v>#N/A N/A</v>
        <stp/>
        <stp>BDP|1139038827339148259</stp>
        <tr r="U337" s="1"/>
      </tp>
      <tp t="s">
        <v>#N/A N/A</v>
        <stp/>
        <stp>BDP|9752079909956619799</stp>
        <tr r="U418" s="1"/>
      </tp>
      <tp t="s">
        <v>#N/A N/A</v>
        <stp/>
        <stp>BDP|5797614573429151529</stp>
        <tr r="U176" s="1"/>
      </tp>
      <tp t="s">
        <v>#N/A N/A</v>
        <stp/>
        <stp>BDP|4550412991115531461</stp>
        <tr r="U338" s="1"/>
      </tp>
      <tp t="s">
        <v>#N/A N/A</v>
        <stp/>
        <stp>BDP|8484438100486265234</stp>
        <tr r="U30" s="1"/>
      </tp>
      <tp t="s">
        <v>#N/A N/A</v>
        <stp/>
        <stp>BDP|1001977811323587244</stp>
        <tr r="U700" s="1"/>
      </tp>
      <tp t="s">
        <v>#N/A N/A</v>
        <stp/>
        <stp>BDP|2406594386957408081</stp>
        <tr r="U251" s="1"/>
      </tp>
      <tp t="s">
        <v>#N/A N/A</v>
        <stp/>
        <stp>BDP|5527374855409954296</stp>
        <tr r="U597" s="1"/>
      </tp>
      <tp t="s">
        <v>#N/A N/A</v>
        <stp/>
        <stp>BDP|1552652366760714964</stp>
        <tr r="U143" s="1"/>
      </tp>
      <tp t="s">
        <v>#N/A N/A</v>
        <stp/>
        <stp>BDP|2513670425966991895</stp>
        <tr r="U139" s="1"/>
      </tp>
      <tp t="s">
        <v>#N/A N/A</v>
        <stp/>
        <stp>BDP|3802028058566131998</stp>
        <tr r="U442" s="1"/>
      </tp>
      <tp t="s">
        <v>#N/A N/A</v>
        <stp/>
        <stp>BDP|8925347361564585022</stp>
        <tr r="U157" s="1"/>
      </tp>
      <tp t="s">
        <v>#N/A N/A</v>
        <stp/>
        <stp>BDP|4940155147278774079</stp>
        <tr r="U245" s="1"/>
      </tp>
      <tp t="s">
        <v>#N/A N/A</v>
        <stp/>
        <stp>BDP|8587121630247954451</stp>
        <tr r="U465" s="1"/>
      </tp>
      <tp t="s">
        <v>#N/A N/A</v>
        <stp/>
        <stp>BDP|7682599891040198248</stp>
        <tr r="U118" s="1"/>
      </tp>
      <tp t="s">
        <v>#N/A N/A</v>
        <stp/>
        <stp>BDP|6115631891971961126</stp>
        <tr r="U233" s="1"/>
      </tp>
      <tp t="s">
        <v>#N/A N/A</v>
        <stp/>
        <stp>BDP|2188623111648260487</stp>
        <tr r="U934" s="1"/>
      </tp>
      <tp t="s">
        <v>#N/A N/A</v>
        <stp/>
        <stp>BDP|9408152807590896169</stp>
        <tr r="U512" s="1"/>
      </tp>
      <tp t="s">
        <v>#N/A N/A</v>
        <stp/>
        <stp>BDP|8842347298539966244</stp>
        <tr r="U549" s="1"/>
      </tp>
      <tp t="s">
        <v>#N/A N/A</v>
        <stp/>
        <stp>BDP|3428324198416439635</stp>
        <tr r="U923" s="1"/>
      </tp>
      <tp t="s">
        <v>#N/A N/A</v>
        <stp/>
        <stp>BDP|4909967026814239245</stp>
        <tr r="U627" s="1"/>
      </tp>
      <tp t="s">
        <v>#N/A N/A</v>
        <stp/>
        <stp>BDP|3747673250950936965</stp>
        <tr r="U771" s="1"/>
      </tp>
      <tp t="s">
        <v>#N/A N/A</v>
        <stp/>
        <stp>BDP|4639795984860305253</stp>
        <tr r="U149" s="1"/>
      </tp>
      <tp t="s">
        <v>#N/A N/A</v>
        <stp/>
        <stp>BDP|7727984496666971826</stp>
        <tr r="U490" s="1"/>
      </tp>
      <tp t="s">
        <v>#N/A N/A</v>
        <stp/>
        <stp>BDP|4589378591392925582</stp>
        <tr r="U591" s="1"/>
      </tp>
      <tp t="s">
        <v>#N/A N/A</v>
        <stp/>
        <stp>BDP|2790768614298501520</stp>
        <tr r="U485" s="1"/>
      </tp>
      <tp t="s">
        <v>#N/A N/A</v>
        <stp/>
        <stp>BDP|7822034798932208525</stp>
        <tr r="U374" s="1"/>
      </tp>
      <tp t="s">
        <v>#N/A N/A</v>
        <stp/>
        <stp>BDP|8391386417444835775</stp>
        <tr r="U104" s="1"/>
      </tp>
      <tp t="s">
        <v>#N/A N/A</v>
        <stp/>
        <stp>BDP|3306140694770125218</stp>
        <tr r="U353" s="1"/>
      </tp>
      <tp t="s">
        <v>#N/A N/A</v>
        <stp/>
        <stp>BDP|2206982132396950728</stp>
        <tr r="U23" s="1"/>
      </tp>
      <tp t="s">
        <v>#N/A N/A</v>
        <stp/>
        <stp>BDP|9752708450425287763</stp>
        <tr r="U456" s="1"/>
      </tp>
      <tp t="s">
        <v>#N/A N/A</v>
        <stp/>
        <stp>BDP|2325149291004388752</stp>
        <tr r="U629" s="1"/>
      </tp>
      <tp t="s">
        <v>#N/A N/A</v>
        <stp/>
        <stp>BDP|6713903729714835066</stp>
        <tr r="U196" s="1"/>
      </tp>
      <tp t="s">
        <v>#N/A N/A</v>
        <stp/>
        <stp>BDP|2207814807604270766</stp>
        <tr r="U335" s="1"/>
      </tp>
      <tp t="s">
        <v>#N/A N/A</v>
        <stp/>
        <stp>BDP|8110376536471559054</stp>
        <tr r="U413" s="1"/>
      </tp>
      <tp t="s">
        <v>#N/A N/A</v>
        <stp/>
        <stp>BDP|9492470105385557138</stp>
        <tr r="U77" s="1"/>
      </tp>
      <tp t="s">
        <v>#N/A N/A</v>
        <stp/>
        <stp>BDP|4181004445258570108</stp>
        <tr r="U642" s="1"/>
      </tp>
      <tp t="s">
        <v>#N/A N/A</v>
        <stp/>
        <stp>BDP|7858417795840476399</stp>
        <tr r="U546" s="1"/>
      </tp>
      <tp t="s">
        <v>#N/A N/A</v>
        <stp/>
        <stp>BDP|6137139173088161118</stp>
        <tr r="U210" s="1"/>
      </tp>
      <tp t="s">
        <v>#N/A N/A</v>
        <stp/>
        <stp>BDP|1067369710709777372</stp>
        <tr r="U194" s="1"/>
      </tp>
      <tp t="s">
        <v>#N/A N/A</v>
        <stp/>
        <stp>BDP|1942535399836475219</stp>
        <tr r="U828" s="1"/>
      </tp>
      <tp t="s">
        <v>#N/A N/A</v>
        <stp/>
        <stp>BDP|3470632036689133678</stp>
        <tr r="U902" s="1"/>
      </tp>
      <tp t="s">
        <v>#N/A N/A</v>
        <stp/>
        <stp>BDP|3399280295253306293</stp>
        <tr r="U651" s="1"/>
      </tp>
      <tp t="s">
        <v>#N/A N/A</v>
        <stp/>
        <stp>BDP|3041242980272835289</stp>
        <tr r="U145" s="1"/>
      </tp>
      <tp t="s">
        <v>#N/A N/A</v>
        <stp/>
        <stp>BDP|7312789599926736609</stp>
        <tr r="U124" s="1"/>
      </tp>
      <tp t="s">
        <v>#N/A N/A</v>
        <stp/>
        <stp>BDP|6720327487856269254</stp>
        <tr r="U290" s="1"/>
      </tp>
      <tp t="s">
        <v>#N/A N/A</v>
        <stp/>
        <stp>BDP|9565345796948218205</stp>
        <tr r="U79" s="1"/>
      </tp>
      <tp t="s">
        <v>#N/A N/A</v>
        <stp/>
        <stp>BDP|6842997943937283556</stp>
        <tr r="U763" s="1"/>
      </tp>
      <tp t="s">
        <v>#N/A N/A</v>
        <stp/>
        <stp>BDP|6066085428226220882</stp>
        <tr r="U567" s="1"/>
      </tp>
      <tp t="s">
        <v>#N/A N/A</v>
        <stp/>
        <stp>BDP|6626081469808922253</stp>
        <tr r="U129" s="1"/>
      </tp>
      <tp t="s">
        <v>#N/A N/A</v>
        <stp/>
        <stp>BDP|6934305894847437128</stp>
        <tr r="U835" s="1"/>
      </tp>
      <tp t="s">
        <v>#N/A N/A</v>
        <stp/>
        <stp>BDP|8198319624441857243</stp>
        <tr r="U269" s="1"/>
      </tp>
      <tp t="s">
        <v>#N/A N/A</v>
        <stp/>
        <stp>BDP|9568450679644520459</stp>
        <tr r="U29" s="1"/>
      </tp>
      <tp t="s">
        <v>#N/A N/A</v>
        <stp/>
        <stp>BDP|5152318770449067295</stp>
        <tr r="U367" s="1"/>
      </tp>
      <tp t="s">
        <v>#N/A N/A</v>
        <stp/>
        <stp>BDP|9660475366291746095</stp>
        <tr r="U446" s="1"/>
      </tp>
      <tp t="s">
        <v>#N/A N/A</v>
        <stp/>
        <stp>BDP|5968603177929772773</stp>
        <tr r="U887" s="1"/>
      </tp>
      <tp t="s">
        <v>#N/A N/A</v>
        <stp/>
        <stp>BDP|2742747219308361666</stp>
        <tr r="U281" s="1"/>
      </tp>
      <tp t="s">
        <v>#N/A N/A</v>
        <stp/>
        <stp>BDP|1562280232389040302</stp>
        <tr r="U346" s="1"/>
      </tp>
      <tp t="s">
        <v>#N/A N/A</v>
        <stp/>
        <stp>BDP|2257146288333519278</stp>
        <tr r="U757" s="1"/>
      </tp>
      <tp t="s">
        <v>#N/A N/A</v>
        <stp/>
        <stp>BDP|1950379455788100566</stp>
        <tr r="U878" s="1"/>
      </tp>
      <tp t="s">
        <v>#N/A N/A</v>
        <stp/>
        <stp>BDP|7561555451088849547</stp>
        <tr r="U925" s="1"/>
      </tp>
      <tp t="s">
        <v>#N/A N/A</v>
        <stp/>
        <stp>BDP|9682115906133589164</stp>
        <tr r="U494" s="1"/>
      </tp>
      <tp t="s">
        <v>#N/A N/A</v>
        <stp/>
        <stp>BDP|9480666251086158609</stp>
        <tr r="U607" s="1"/>
      </tp>
      <tp t="s">
        <v>#N/A N/A</v>
        <stp/>
        <stp>BDP|9690704385884139803</stp>
        <tr r="U436" s="1"/>
      </tp>
      <tp t="s">
        <v>#N/A N/A</v>
        <stp/>
        <stp>BDP|3914156256558954513</stp>
        <tr r="U566" s="1"/>
      </tp>
      <tp t="s">
        <v>#N/A N/A</v>
        <stp/>
        <stp>BDP|8207762663467746435</stp>
        <tr r="U686" s="1"/>
      </tp>
      <tp t="s">
        <v>#N/A N/A</v>
        <stp/>
        <stp>BDP|2411126480140385154</stp>
        <tr r="U872" s="1"/>
      </tp>
      <tp t="s">
        <v>#N/A N/A</v>
        <stp/>
        <stp>BDP|8084690479936792576</stp>
        <tr r="U443" s="1"/>
      </tp>
      <tp t="s">
        <v>#N/A N/A</v>
        <stp/>
        <stp>BDP|6726791145329270697</stp>
        <tr r="U891" s="1"/>
      </tp>
      <tp t="s">
        <v>#N/A N/A</v>
        <stp/>
        <stp>BDP|9460501300435069345</stp>
        <tr r="U537" s="1"/>
      </tp>
      <tp t="s">
        <v>#N/A N/A</v>
        <stp/>
        <stp>BDP|7488879644492248349</stp>
        <tr r="U271" s="1"/>
      </tp>
      <tp t="s">
        <v>#N/A N/A</v>
        <stp/>
        <stp>BDP|8998804988073202122</stp>
        <tr r="U147" s="1"/>
      </tp>
      <tp t="s">
        <v>#N/A N/A</v>
        <stp/>
        <stp>BDP|9774665618993719786</stp>
        <tr r="U165" s="1"/>
      </tp>
      <tp t="s">
        <v>#N/A N/A</v>
        <stp/>
        <stp>BDP|9627203646447269241</stp>
        <tr r="U224" s="1"/>
      </tp>
      <tp t="s">
        <v>#N/A N/A</v>
        <stp/>
        <stp>BDP|7818844147638960942</stp>
        <tr r="U944" s="1"/>
      </tp>
      <tp t="s">
        <v>#N/A N/A</v>
        <stp/>
        <stp>BDP|5369797384783081397</stp>
        <tr r="U391" s="1"/>
      </tp>
      <tp t="s">
        <v>#N/A N/A</v>
        <stp/>
        <stp>BDP|5809340681092240680</stp>
        <tr r="U731" s="1"/>
      </tp>
      <tp t="s">
        <v>#N/A N/A</v>
        <stp/>
        <stp>BDP|8946329101076974773</stp>
        <tr r="U472" s="1"/>
      </tp>
      <tp t="s">
        <v>#N/A N/A</v>
        <stp/>
        <stp>BDP|2089675320768707449</stp>
        <tr r="U219" s="1"/>
      </tp>
      <tp t="s">
        <v>#N/A N/A</v>
        <stp/>
        <stp>BDP|4918065690211921623</stp>
        <tr r="U749" s="1"/>
      </tp>
      <tp t="s">
        <v>#N/A N/A</v>
        <stp/>
        <stp>BDP|1092884615356059577</stp>
        <tr r="U420" s="1"/>
      </tp>
      <tp t="s">
        <v>#N/A N/A</v>
        <stp/>
        <stp>BDP|7014872362765727783</stp>
        <tr r="U444" s="1"/>
      </tp>
      <tp t="s">
        <v>#N/A N/A</v>
        <stp/>
        <stp>BDP|3414866707319652995</stp>
        <tr r="U402" s="1"/>
      </tp>
      <tp t="s">
        <v>#N/A N/A</v>
        <stp/>
        <stp>BDP|8370583501557734169</stp>
        <tr r="U573" s="1"/>
      </tp>
      <tp t="s">
        <v>#N/A N/A</v>
        <stp/>
        <stp>BDP|7413018758359716019</stp>
        <tr r="U231" s="1"/>
      </tp>
      <tp t="s">
        <v>#N/A N/A</v>
        <stp/>
        <stp>BDP|8578774785679993572</stp>
        <tr r="U571" s="1"/>
      </tp>
      <tp t="s">
        <v>#N/A N/A</v>
        <stp/>
        <stp>BDP|4144380386127453326</stp>
        <tr r="U51" s="1"/>
      </tp>
      <tp t="s">
        <v>#N/A N/A</v>
        <stp/>
        <stp>BDP|6124980324941217701</stp>
        <tr r="U217" s="1"/>
      </tp>
      <tp t="s">
        <v>#N/A N/A</v>
        <stp/>
        <stp>BDP|5465595190393377110</stp>
        <tr r="U503" s="1"/>
      </tp>
      <tp t="s">
        <v>#N/A N/A</v>
        <stp/>
        <stp>BDP|4468949516575310290</stp>
        <tr r="U874" s="1"/>
      </tp>
      <tp t="s">
        <v>#N/A N/A</v>
        <stp/>
        <stp>BDP|5148887042293369141</stp>
        <tr r="U273" s="1"/>
      </tp>
      <tp t="s">
        <v>#N/A N/A</v>
        <stp/>
        <stp>BDP|8279231175565785319</stp>
        <tr r="U656" s="1"/>
      </tp>
      <tp t="s">
        <v>#N/A N/A</v>
        <stp/>
        <stp>BDP|7516463685786574608</stp>
        <tr r="U583" s="1"/>
      </tp>
      <tp t="s">
        <v>#N/A N/A</v>
        <stp/>
        <stp>BDP|6990781084311561332</stp>
        <tr r="U373" s="1"/>
      </tp>
      <tp t="s">
        <v>#N/A N/A</v>
        <stp/>
        <stp>BDP|9632487414614952304</stp>
        <tr r="U752" s="1"/>
      </tp>
      <tp t="s">
        <v>#N/A N/A</v>
        <stp/>
        <stp>BDP|3821821497361601886</stp>
        <tr r="U834" s="1"/>
      </tp>
      <tp t="s">
        <v>#N/A N/A</v>
        <stp/>
        <stp>BDP|9092161206057571452</stp>
        <tr r="U884" s="1"/>
      </tp>
      <tp t="s">
        <v>#N/A N/A</v>
        <stp/>
        <stp>BDP|9566246033922113123</stp>
        <tr r="U790" s="1"/>
      </tp>
      <tp t="s">
        <v>#N/A N/A</v>
        <stp/>
        <stp>BDP|1570576756722595800</stp>
        <tr r="U765" s="1"/>
      </tp>
      <tp t="s">
        <v>#N/A N/A</v>
        <stp/>
        <stp>BDP|9594358857927499357</stp>
        <tr r="U699" s="1"/>
      </tp>
      <tp t="s">
        <v>#N/A N/A</v>
        <stp/>
        <stp>BDP|9426222544201385551</stp>
        <tr r="U773" s="1"/>
      </tp>
      <tp t="s">
        <v>#N/A N/A</v>
        <stp/>
        <stp>BDP|7462840793789353446</stp>
        <tr r="U366" s="1"/>
      </tp>
      <tp t="s">
        <v>#N/A N/A</v>
        <stp/>
        <stp>BDP|4514555792027265452</stp>
        <tr r="U501" s="1"/>
      </tp>
      <tp t="s">
        <v>#N/A N/A</v>
        <stp/>
        <stp>BDP|3141466590260639540</stp>
        <tr r="U220" s="1"/>
      </tp>
      <tp t="s">
        <v>#N/A N/A</v>
        <stp/>
        <stp>BDP|8839556255229779558</stp>
        <tr r="U384" s="1"/>
      </tp>
      <tp t="s">
        <v>#N/A N/A</v>
        <stp/>
        <stp>BDP|9093874018343677735</stp>
        <tr r="U794" s="1"/>
      </tp>
      <tp t="s">
        <v>#N/A N/A</v>
        <stp/>
        <stp>BDP|5536364906594975661</stp>
        <tr r="U770" s="1"/>
      </tp>
      <tp t="s">
        <v>#N/A N/A</v>
        <stp/>
        <stp>BDP|3570682903261072059</stp>
        <tr r="U852" s="1"/>
      </tp>
      <tp t="s">
        <v>#N/A N/A</v>
        <stp/>
        <stp>BDP|3761394457537331619</stp>
        <tr r="U886" s="1"/>
      </tp>
      <tp t="s">
        <v>#N/A N/A</v>
        <stp/>
        <stp>BDP|3474112709607394173</stp>
        <tr r="U836" s="1"/>
      </tp>
      <tp t="s">
        <v>#N/A N/A</v>
        <stp/>
        <stp>BDP|6088864261925842976</stp>
        <tr r="U725" s="1"/>
      </tp>
      <tp t="s">
        <v>#N/A N/A</v>
        <stp/>
        <stp>BDP|3470781516446378778</stp>
        <tr r="U808" s="1"/>
      </tp>
      <tp t="s">
        <v>#N/A N/A</v>
        <stp/>
        <stp>BDP|6352874047498560698</stp>
        <tr r="U378" s="1"/>
      </tp>
      <tp t="s">
        <v>#N/A N/A</v>
        <stp/>
        <stp>BDP|7057209766781926604</stp>
        <tr r="U328" s="1"/>
      </tp>
      <tp t="s">
        <v>#N/A N/A</v>
        <stp/>
        <stp>BDP|5805978241095231902</stp>
        <tr r="U67" s="1"/>
      </tp>
      <tp t="s">
        <v>#N/A N/A</v>
        <stp/>
        <stp>BDP|8869933950806149664</stp>
        <tr r="U202" s="1"/>
      </tp>
      <tp t="s">
        <v>#N/A N/A</v>
        <stp/>
        <stp>BDP|2149603944145106189</stp>
        <tr r="U388" s="1"/>
      </tp>
      <tp t="s">
        <v>#N/A N/A</v>
        <stp/>
        <stp>BDP|2516173038905820105</stp>
        <tr r="U538" s="1"/>
      </tp>
      <tp t="s">
        <v>#N/A N/A</v>
        <stp/>
        <stp>BDP|3526337655326244729</stp>
        <tr r="U875" s="1"/>
      </tp>
      <tp t="s">
        <v>#N/A N/A</v>
        <stp/>
        <stp>BDP|3194440440392398552</stp>
        <tr r="U152" s="1"/>
      </tp>
      <tp t="s">
        <v>#N/A N/A</v>
        <stp/>
        <stp>BDP|8418215742983377940</stp>
        <tr r="U381" s="1"/>
      </tp>
      <tp t="s">
        <v>#N/A N/A</v>
        <stp/>
        <stp>BDP|3447063916405018343</stp>
        <tr r="U888" s="1"/>
      </tp>
      <tp t="s">
        <v>#N/A N/A</v>
        <stp/>
        <stp>BDP|9231424682710414161</stp>
        <tr r="U448" s="1"/>
      </tp>
      <tp t="s">
        <v>#N/A N/A</v>
        <stp/>
        <stp>BDP|7738319837766265522</stp>
        <tr r="U502" s="1"/>
      </tp>
      <tp t="s">
        <v>#N/A N/A</v>
        <stp/>
        <stp>BDP|1278282369843582273</stp>
        <tr r="U663" s="1"/>
      </tp>
      <tp t="s">
        <v>#N/A N/A</v>
        <stp/>
        <stp>BDP|2160007646796758468</stp>
        <tr r="U410" s="1"/>
      </tp>
      <tp t="s">
        <v>#N/A N/A</v>
        <stp/>
        <stp>BDP|2405216147085027547</stp>
        <tr r="U831" s="1"/>
      </tp>
      <tp t="s">
        <v>#N/A N/A</v>
        <stp/>
        <stp>BDP|9430542988347836763</stp>
        <tr r="U207" s="1"/>
      </tp>
      <tp t="s">
        <v>#N/A N/A</v>
        <stp/>
        <stp>BDP|4422188446194850151</stp>
        <tr r="U574" s="1"/>
      </tp>
      <tp t="s">
        <v>#N/A N/A</v>
        <stp/>
        <stp>BDP|9627635448927115885</stp>
        <tr r="U726" s="1"/>
      </tp>
      <tp t="s">
        <v>#N/A N/A</v>
        <stp/>
        <stp>BDP|2130892738288761538</stp>
        <tr r="U693" s="1"/>
      </tp>
      <tp t="s">
        <v>#N/A N/A</v>
        <stp/>
        <stp>BDP|3976406334706025697</stp>
        <tr r="U520" s="1"/>
      </tp>
      <tp t="s">
        <v>#N/A N/A</v>
        <stp/>
        <stp>BDP|2389931510689245770</stp>
        <tr r="U482" s="1"/>
      </tp>
      <tp t="s">
        <v>#N/A N/A</v>
        <stp/>
        <stp>BDP|5123588394318738407</stp>
        <tr r="U209" s="1"/>
      </tp>
      <tp t="s">
        <v>#N/A N/A</v>
        <stp/>
        <stp>BDP|4981433638966847004</stp>
        <tr r="U733" s="1"/>
      </tp>
      <tp t="s">
        <v>#N/A N/A</v>
        <stp/>
        <stp>BDP|5348303452281202786</stp>
        <tr r="U904" s="1"/>
      </tp>
      <tp t="s">
        <v>#N/A N/A</v>
        <stp/>
        <stp>BDP|1268995083045360006</stp>
        <tr r="U289" s="1"/>
      </tp>
      <tp t="s">
        <v>#N/A N/A</v>
        <stp/>
        <stp>BDP|6141725338477091009</stp>
        <tr r="U316" s="1"/>
      </tp>
      <tp t="s">
        <v>#N/A N/A</v>
        <stp/>
        <stp>BDP|6147444741943410086</stp>
        <tr r="U371" s="1"/>
      </tp>
      <tp t="s">
        <v>#N/A N/A</v>
        <stp/>
        <stp>BDP|4787196487408785071</stp>
        <tr r="U421" s="1"/>
      </tp>
      <tp t="s">
        <v>#N/A N/A</v>
        <stp/>
        <stp>BDP|7543665369406383409</stp>
        <tr r="U42" s="1"/>
      </tp>
      <tp t="s">
        <v>#N/A N/A</v>
        <stp/>
        <stp>BDP|6238102223269011985</stp>
        <tr r="U682" s="1"/>
      </tp>
      <tp t="s">
        <v>#N/A N/A</v>
        <stp/>
        <stp>BDP|2857209494115121920</stp>
        <tr r="U922" s="1"/>
      </tp>
      <tp t="s">
        <v>#N/A N/A</v>
        <stp/>
        <stp>BDP|5661570642614852543</stp>
        <tr r="U931" s="1"/>
      </tp>
      <tp t="s">
        <v>#N/A N/A</v>
        <stp/>
        <stp>BDP|8893813110973425705</stp>
        <tr r="U514" s="1"/>
      </tp>
      <tp t="s">
        <v>#N/A N/A</v>
        <stp/>
        <stp>BDP|2218369099348630596</stp>
        <tr r="U755" s="1"/>
      </tp>
      <tp t="s">
        <v>#N/A N/A</v>
        <stp/>
        <stp>BDP|4861396540035457370</stp>
        <tr r="U455" s="1"/>
      </tp>
      <tp t="s">
        <v>#N/A N/A</v>
        <stp/>
        <stp>BDP|1621106043397004671</stp>
        <tr r="U616" s="1"/>
      </tp>
      <tp t="s">
        <v>#N/A N/A</v>
        <stp/>
        <stp>BDP|7147561571039254970</stp>
        <tr r="U310" s="1"/>
      </tp>
      <tp t="s">
        <v>#N/A N/A</v>
        <stp/>
        <stp>BDP|4583573572487469453</stp>
        <tr r="U636" s="1"/>
      </tp>
      <tp t="s">
        <v>#N/A N/A</v>
        <stp/>
        <stp>BDP|6144905680423899180</stp>
        <tr r="U617" s="1"/>
      </tp>
      <tp t="s">
        <v>#N/A N/A</v>
        <stp/>
        <stp>BDP|1760555639314351694</stp>
        <tr r="U710" s="1"/>
      </tp>
      <tp t="s">
        <v>#N/A N/A</v>
        <stp/>
        <stp>BDP|1210134011325330123</stp>
        <tr r="U889" s="1"/>
      </tp>
      <tp t="s">
        <v>#N/A N/A</v>
        <stp/>
        <stp>BDP|3395684567480272685</stp>
        <tr r="U321" s="1"/>
      </tp>
      <tp t="s">
        <v>#N/A N/A</v>
        <stp/>
        <stp>BDP|6650150915830206320</stp>
        <tr r="U62" s="1"/>
      </tp>
      <tp t="s">
        <v>#N/A N/A</v>
        <stp/>
        <stp>BDP|6785661615492124632</stp>
        <tr r="U683" s="1"/>
      </tp>
      <tp t="s">
        <v>#N/A N/A</v>
        <stp/>
        <stp>BDP|4123814292380434001</stp>
        <tr r="U155" s="1"/>
      </tp>
      <tp t="s">
        <v>#N/A N/A</v>
        <stp/>
        <stp>BDP|5314137121160093378</stp>
        <tr r="U130" s="1"/>
      </tp>
      <tp t="s">
        <v>#N/A N/A</v>
        <stp/>
        <stp>BDP|5221731401376480139</stp>
        <tr r="U71" s="1"/>
      </tp>
      <tp t="s">
        <v>#N/A N/A</v>
        <stp/>
        <stp>BDP|6370819015139422349</stp>
        <tr r="U855" s="1"/>
      </tp>
      <tp t="s">
        <v>#N/A N/A</v>
        <stp/>
        <stp>BDP|5783313550801827797</stp>
        <tr r="U530" s="1"/>
      </tp>
      <tp t="s">
        <v>#N/A N/A</v>
        <stp/>
        <stp>BDP|8782574255339710458</stp>
        <tr r="U879" s="1"/>
      </tp>
      <tp t="s">
        <v>#N/A N/A</v>
        <stp/>
        <stp>BDP|8482546928583967950</stp>
        <tr r="U240" s="1"/>
      </tp>
      <tp t="s">
        <v>#N/A N/A</v>
        <stp/>
        <stp>BDP|3963094433537056260</stp>
        <tr r="U646" s="1"/>
      </tp>
      <tp t="s">
        <v>#N/A N/A</v>
        <stp/>
        <stp>BDP|6953311443616843262</stp>
        <tr r="U404" s="1"/>
      </tp>
      <tp t="s">
        <v>#N/A N/A</v>
        <stp/>
        <stp>BDP|8177199594267747115</stp>
        <tr r="U230" s="1"/>
      </tp>
      <tp t="s">
        <v>#N/A N/A</v>
        <stp/>
        <stp>BDP|5168395463282923480</stp>
        <tr r="U183" s="1"/>
      </tp>
      <tp t="s">
        <v>#N/A N/A</v>
        <stp/>
        <stp>BDP|6199169961872497595</stp>
        <tr r="U27" s="1"/>
      </tp>
      <tp t="s">
        <v>#N/A N/A</v>
        <stp/>
        <stp>BDP|7186133125247834573</stp>
        <tr r="U825" s="1"/>
      </tp>
      <tp t="s">
        <v>#N/A N/A</v>
        <stp/>
        <stp>BDP|8927216747709302142</stp>
        <tr r="U660" s="1"/>
      </tp>
      <tp t="s">
        <v>#N/A N/A</v>
        <stp/>
        <stp>BDP|3909173000104347054</stp>
        <tr r="U303" s="1"/>
      </tp>
      <tp t="s">
        <v>#N/A N/A</v>
        <stp/>
        <stp>BDP|5199778766641951316</stp>
        <tr r="U243" s="1"/>
      </tp>
      <tp t="s">
        <v>#N/A N/A</v>
        <stp/>
        <stp>BDP|1572654279253363535</stp>
        <tr r="U414" s="1"/>
      </tp>
      <tp t="s">
        <v>#N/A N/A</v>
        <stp/>
        <stp>BDP|4014991352838389667</stp>
        <tr r="U917" s="1"/>
      </tp>
      <tp t="s">
        <v>#N/A N/A</v>
        <stp/>
        <stp>BDP|5849690743995922441</stp>
        <tr r="U361" s="1"/>
      </tp>
      <tp t="s">
        <v>#N/A N/A</v>
        <stp/>
        <stp>BDP|8683698175728722725</stp>
        <tr r="U225" s="1"/>
      </tp>
      <tp t="s">
        <v>#N/A N/A</v>
        <stp/>
        <stp>BDP|7433689955153711124</stp>
        <tr r="U65" s="1"/>
      </tp>
      <tp t="s">
        <v>#N/A N/A</v>
        <stp/>
        <stp>BDP|4284061649152855498</stp>
        <tr r="U702" s="1"/>
      </tp>
      <tp t="s">
        <v>#N/A N/A</v>
        <stp/>
        <stp>BDP|9082963457422545192</stp>
        <tr r="U515" s="1"/>
      </tp>
      <tp t="s">
        <v>#N/A N/A</v>
        <stp/>
        <stp>BDP|7352691857634542653</stp>
        <tr r="U144" s="1"/>
      </tp>
      <tp t="s">
        <v>#N/A N/A</v>
        <stp/>
        <stp>BDP|5771283592161452944</stp>
        <tr r="U110" s="1"/>
      </tp>
      <tp t="s">
        <v>#N/A N/A</v>
        <stp/>
        <stp>BDP|2927544295291555906</stp>
        <tr r="U90" s="1"/>
      </tp>
      <tp t="s">
        <v>#N/A N/A</v>
        <stp/>
        <stp>BDP|7829431556567978797</stp>
        <tr r="U756" s="1"/>
      </tp>
      <tp t="s">
        <v>#N/A N/A</v>
        <stp/>
        <stp>BDP|2770411901458676827</stp>
        <tr r="U545" s="1"/>
      </tp>
      <tp t="s">
        <v>#N/A N/A</v>
        <stp/>
        <stp>BDP|7247157405451659176</stp>
        <tr r="U585" s="1"/>
      </tp>
      <tp t="s">
        <v>#N/A N/A</v>
        <stp/>
        <stp>BDP|7249924591673634278</stp>
        <tr r="U163" s="1"/>
      </tp>
      <tp t="s">
        <v>#N/A N/A</v>
        <stp/>
        <stp>BDP|2026642713821139265</stp>
        <tr r="U798" s="1"/>
      </tp>
      <tp t="s">
        <v>#N/A N/A</v>
        <stp/>
        <stp>BDP|6240352605534359716</stp>
        <tr r="U694" s="1"/>
      </tp>
      <tp t="s">
        <v>#N/A N/A</v>
        <stp/>
        <stp>BDP|2253107859254937423</stp>
        <tr r="U696" s="1"/>
      </tp>
      <tp t="s">
        <v>#N/A N/A</v>
        <stp/>
        <stp>BDP|7675656215336764012</stp>
        <tr r="U941" s="1"/>
      </tp>
      <tp t="s">
        <v>#N/A N/A</v>
        <stp/>
        <stp>BDP|7641233961651227471</stp>
        <tr r="U856" s="1"/>
      </tp>
      <tp t="s">
        <v>#N/A N/A</v>
        <stp/>
        <stp>BDP|3097719254502596518</stp>
        <tr r="U704" s="1"/>
      </tp>
      <tp t="s">
        <v>#N/A N/A</v>
        <stp/>
        <stp>BDP|7514267722255517438</stp>
        <tr r="U799" s="1"/>
      </tp>
      <tp t="s">
        <v>#N/A N/A</v>
        <stp/>
        <stp>BDP|2861792676766247220</stp>
        <tr r="U345" s="1"/>
      </tp>
      <tp t="s">
        <v>#N/A N/A</v>
        <stp/>
        <stp>BDP|7660905303438601067</stp>
        <tr r="U425" s="1"/>
      </tp>
      <tp t="s">
        <v>#N/A N/A</v>
        <stp/>
        <stp>BDP|3556840576533419961</stp>
        <tr r="U795" s="1"/>
      </tp>
      <tp t="s">
        <v>#N/A N/A</v>
        <stp/>
        <stp>BDP|9510492671498833402</stp>
        <tr r="U31" s="1"/>
      </tp>
      <tp t="s">
        <v>#N/A N/A</v>
        <stp/>
        <stp>BDP|4514151230346231780</stp>
        <tr r="U403" s="1"/>
      </tp>
      <tp t="s">
        <v>#N/A N/A</v>
        <stp/>
        <stp>BDP|4812749498548754580</stp>
        <tr r="U458" s="1"/>
      </tp>
      <tp t="s">
        <v>#N/A N/A</v>
        <stp/>
        <stp>BDP|9211420408843796948</stp>
        <tr r="U741" s="1"/>
      </tp>
      <tp t="s">
        <v>#N/A N/A</v>
        <stp/>
        <stp>BDP|5918388119467235711</stp>
        <tr r="U107" s="1"/>
      </tp>
      <tp t="s">
        <v>#N/A N/A</v>
        <stp/>
        <stp>BDP|2658263983549103695</stp>
        <tr r="U893" s="1"/>
      </tp>
      <tp t="s">
        <v>#N/A N/A</v>
        <stp/>
        <stp>BDP|5034218049937982394</stp>
        <tr r="U464" s="1"/>
      </tp>
      <tp t="s">
        <v>#N/A N/A</v>
        <stp/>
        <stp>BDP|2790327219925491212</stp>
        <tr r="U308" s="1"/>
      </tp>
      <tp t="s">
        <v>#N/A N/A</v>
        <stp/>
        <stp>BDP|4582758414583990631</stp>
        <tr r="U907" s="1"/>
      </tp>
      <tp t="s">
        <v>#N/A N/A</v>
        <stp/>
        <stp>BDP|6565582042312581255</stp>
        <tr r="U123" s="1"/>
      </tp>
      <tp t="s">
        <v>#N/A N/A</v>
        <stp/>
        <stp>BDP|6885826441855088844</stp>
        <tr r="U908" s="1"/>
      </tp>
      <tp t="s">
        <v>#N/A N/A</v>
        <stp/>
        <stp>BDP|4975040579337117390</stp>
        <tr r="U524" s="1"/>
      </tp>
      <tp t="s">
        <v>#N/A N/A</v>
        <stp/>
        <stp>BDP|1088438220520932061</stp>
        <tr r="U806" s="1"/>
      </tp>
      <tp t="s">
        <v>#N/A N/A</v>
        <stp/>
        <stp>BDP|3652589860617036034</stp>
        <tr r="U128" s="1"/>
      </tp>
      <tp t="s">
        <v>#N/A N/A</v>
        <stp/>
        <stp>BDP|4094250200224732500</stp>
        <tr r="U784" s="1"/>
      </tp>
      <tp t="s">
        <v>#N/A N/A</v>
        <stp/>
        <stp>BDP|8003551252737241868</stp>
        <tr r="U531" s="1"/>
      </tp>
      <tp t="s">
        <v>#N/A N/A</v>
        <stp/>
        <stp>BDP|4645668087025391879</stp>
        <tr r="U6" s="1"/>
      </tp>
      <tp t="s">
        <v>#N/A N/A</v>
        <stp/>
        <stp>BDP|1504163285868052750</stp>
        <tr r="U70" s="1"/>
      </tp>
      <tp t="s">
        <v>#N/A N/A</v>
        <stp/>
        <stp>BDP|3011931340948016135</stp>
        <tr r="U935" s="1"/>
      </tp>
      <tp t="s">
        <v>#N/A N/A</v>
        <stp/>
        <stp>BDP|7102510970706261421</stp>
        <tr r="U547" s="1"/>
      </tp>
      <tp t="s">
        <v>#N/A N/A</v>
        <stp/>
        <stp>BDP|1720921017456470879</stp>
        <tr r="U633" s="1"/>
      </tp>
      <tp t="s">
        <v>#N/A N/A</v>
        <stp/>
        <stp>BDP|6563813720029273272</stp>
        <tr r="U711" s="1"/>
      </tp>
      <tp t="s">
        <v>#N/A N/A</v>
        <stp/>
        <stp>BDP|2801147499139361475</stp>
        <tr r="U483" s="1"/>
      </tp>
      <tp t="s">
        <v>#N/A N/A</v>
        <stp/>
        <stp>BDP|4587156617730450355</stp>
        <tr r="U267" s="1"/>
      </tp>
      <tp t="s">
        <v>#N/A N/A</v>
        <stp/>
        <stp>BDP|9271000596820106732</stp>
        <tr r="U386" s="1"/>
      </tp>
      <tp t="s">
        <v>#N/A N/A</v>
        <stp/>
        <stp>BDP|5727710690539860584</stp>
        <tr r="U9" s="1"/>
      </tp>
      <tp t="s">
        <v>#N/A N/A</v>
        <stp/>
        <stp>BDP|1791928264148231143</stp>
        <tr r="U929" s="1"/>
      </tp>
      <tp t="s">
        <v>#N/A N/A</v>
        <stp/>
        <stp>BDP|4335577281989862798</stp>
        <tr r="U596" s="1"/>
      </tp>
      <tp t="s">
        <v>#N/A N/A</v>
        <stp/>
        <stp>BDP|1395508757930691667</stp>
        <tr r="U277" s="1"/>
      </tp>
      <tp t="s">
        <v>#N/A N/A</v>
        <stp/>
        <stp>BDP|2687490145136973367</stp>
        <tr r="U390" s="1"/>
      </tp>
      <tp t="s">
        <v>#N/A N/A</v>
        <stp/>
        <stp>BDP|5451958288347524495</stp>
        <tr r="U320" s="1"/>
      </tp>
      <tp t="s">
        <v>#N/A N/A</v>
        <stp/>
        <stp>BDP|6072353945194787226</stp>
        <tr r="U246" s="1"/>
      </tp>
      <tp t="s">
        <v>#N/A N/A</v>
        <stp/>
        <stp>BDP|6377356935551210048</stp>
        <tr r="U239" s="1"/>
      </tp>
      <tp t="s">
        <v>#N/A N/A</v>
        <stp/>
        <stp>BDP|7704185142671843404</stp>
        <tr r="U525" s="1"/>
      </tp>
      <tp t="s">
        <v>#N/A N/A</v>
        <stp/>
        <stp>BDP|2217558097918211175</stp>
        <tr r="U396" s="1"/>
      </tp>
      <tp t="s">
        <v>#N/A N/A</v>
        <stp/>
        <stp>BDP|3805572735922027705</stp>
        <tr r="U84" s="1"/>
      </tp>
      <tp t="s">
        <v>#N/A N/A</v>
        <stp/>
        <stp>BDP|1902895279398505665</stp>
        <tr r="U782" s="1"/>
      </tp>
      <tp t="s">
        <v>#N/A N/A</v>
        <stp/>
        <stp>BDP|3440939639830615939</stp>
        <tr r="U905" s="1"/>
      </tp>
      <tp t="s">
        <v>#N/A N/A</v>
        <stp/>
        <stp>BDP|3650226026395993607</stp>
        <tr r="U234" s="1"/>
      </tp>
      <tp t="s">
        <v>#N/A N/A</v>
        <stp/>
        <stp>BDP|3587234139235725717</stp>
        <tr r="U73" s="1"/>
      </tp>
      <tp t="s">
        <v>#N/A N/A</v>
        <stp/>
        <stp>BDP|3562482861505412460</stp>
        <tr r="U577" s="1"/>
      </tp>
      <tp t="s">
        <v>#N/A N/A</v>
        <stp/>
        <stp>BDP|4038066884588853459</stp>
        <tr r="U590" s="1"/>
      </tp>
      <tp t="s">
        <v>#N/A N/A</v>
        <stp/>
        <stp>BDP|9043196634808855381</stp>
        <tr r="U334" s="1"/>
      </tp>
      <tp t="s">
        <v>#N/A N/A</v>
        <stp/>
        <stp>BDP|9327794847388101216</stp>
        <tr r="U781" s="1"/>
      </tp>
      <tp t="s">
        <v>#N/A N/A</v>
        <stp/>
        <stp>BDP|1034645636036773273</stp>
        <tr r="U193" s="1"/>
      </tp>
      <tp t="s">
        <v>#N/A N/A</v>
        <stp/>
        <stp>BDP|6494265490694988981</stp>
        <tr r="U550" s="1"/>
      </tp>
      <tp t="s">
        <v>#N/A N/A</v>
        <stp/>
        <stp>BDP|1723579755151131040</stp>
        <tr r="U565" s="1"/>
      </tp>
      <tp t="s">
        <v>#N/A N/A</v>
        <stp/>
        <stp>BDP|4173399039076145207</stp>
        <tr r="U364" s="1"/>
      </tp>
      <tp t="s">
        <v>#N/A N/A</v>
        <stp/>
        <stp>BDP|6698601242233716721</stp>
        <tr r="U851" s="1"/>
      </tp>
      <tp t="s">
        <v>#N/A N/A</v>
        <stp/>
        <stp>BDP|4888280741226058400</stp>
        <tr r="U422" s="1"/>
      </tp>
      <tp t="s">
        <v>#N/A N/A</v>
        <stp/>
        <stp>BDP|3292238293850467801</stp>
        <tr r="U35" s="1"/>
      </tp>
      <tp t="s">
        <v>#N/A N/A</v>
        <stp/>
        <stp>BDP|6403311781619067423</stp>
        <tr r="U716" s="1"/>
      </tp>
      <tp t="s">
        <v>#N/A N/A</v>
        <stp/>
        <stp>BDP|5878114461472948074</stp>
        <tr r="U441" s="1"/>
      </tp>
      <tp t="s">
        <v>#N/A N/A</v>
        <stp/>
        <stp>BDP|1429264387369333223</stp>
        <tr r="U44" s="1"/>
      </tp>
      <tp t="s">
        <v>#N/A N/A</v>
        <stp/>
        <stp>BDP|9223626384374965277</stp>
        <tr r="U703" s="1"/>
      </tp>
      <tp t="s">
        <v>#N/A N/A</v>
        <stp/>
        <stp>BDP|2138446000805932275</stp>
        <tr r="U89" s="1"/>
      </tp>
      <tp t="s">
        <v>#N/A N/A</v>
        <stp/>
        <stp>BDP|6922203957460289073</stp>
        <tr r="U769" s="1"/>
      </tp>
      <tp t="s">
        <v>#N/A N/A</v>
        <stp/>
        <stp>BDP|4078775939824066562</stp>
        <tr r="U393" s="1"/>
      </tp>
      <tp t="s">
        <v>#N/A N/A</v>
        <stp/>
        <stp>BDP|4203501007017964749</stp>
        <tr r="U311" s="1"/>
      </tp>
      <tp t="s">
        <v>#N/A N/A</v>
        <stp/>
        <stp>BDP|4372280906633666434</stp>
        <tr r="U304" s="1"/>
      </tp>
      <tp t="s">
        <v>#N/A N/A</v>
        <stp/>
        <stp>BDP|3498783093748669419</stp>
        <tr r="U327" s="1"/>
      </tp>
      <tp t="s">
        <v>#N/A N/A</v>
        <stp/>
        <stp>BDP|7929320757876333661</stp>
        <tr r="U423" s="1"/>
      </tp>
      <tp t="s">
        <v>#N/A N/A</v>
        <stp/>
        <stp>BDP|5589034388008863487</stp>
        <tr r="U399" s="1"/>
      </tp>
      <tp t="s">
        <v>#N/A N/A</v>
        <stp/>
        <stp>BDP|6152694430077530528</stp>
        <tr r="U662" s="1"/>
      </tp>
      <tp t="s">
        <v>#N/A N/A</v>
        <stp/>
        <stp>BDP|8421206575515758994</stp>
        <tr r="U675" s="1"/>
      </tp>
      <tp t="s">
        <v>#N/A N/A</v>
        <stp/>
        <stp>BDP|1809448604825251151</stp>
        <tr r="U868" s="1"/>
      </tp>
      <tp t="s">
        <v>#N/A N/A</v>
        <stp/>
        <stp>BDP|2059612171274585696</stp>
        <tr r="U266" s="1"/>
      </tp>
      <tp t="s">
        <v>#N/A N/A</v>
        <stp/>
        <stp>BDP|6259224777715809737</stp>
        <tr r="U744" s="1"/>
      </tp>
      <tp t="s">
        <v>#N/A N/A</v>
        <stp/>
        <stp>BDP|2995386285480987816</stp>
        <tr r="U578" s="1"/>
      </tp>
      <tp t="s">
        <v>#N/A N/A</v>
        <stp/>
        <stp>BDP|2776521805836819048</stp>
        <tr r="U920" s="1"/>
      </tp>
      <tp t="s">
        <v>#N/A N/A</v>
        <stp/>
        <stp>BDP|1812420740353399344</stp>
        <tr r="U32" s="1"/>
      </tp>
      <tp t="s">
        <v>#N/A N/A</v>
        <stp/>
        <stp>BDP|7389500375214279098</stp>
        <tr r="U365" s="1"/>
      </tp>
      <tp t="s">
        <v>#N/A N/A</v>
        <stp/>
        <stp>BDP|3792345903352141330</stp>
        <tr r="U134" s="1"/>
      </tp>
      <tp t="s">
        <v>#N/A N/A</v>
        <stp/>
        <stp>BDP|5925957682967992243</stp>
        <tr r="U857" s="1"/>
      </tp>
      <tp t="s">
        <v>#N/A N/A</v>
        <stp/>
        <stp>BDP|2047354441052503619</stp>
        <tr r="U116" s="1"/>
      </tp>
      <tp t="s">
        <v>#N/A N/A</v>
        <stp/>
        <stp>BDP|9741008181671394159</stp>
        <tr r="U705" s="1"/>
      </tp>
      <tp t="s">
        <v>#N/A N/A</v>
        <stp/>
        <stp>BDP|8739816211017135705</stp>
        <tr r="U817" s="1"/>
      </tp>
      <tp t="s">
        <v>#N/A N/A</v>
        <stp/>
        <stp>BDP|3100405310324147364</stp>
        <tr r="U580" s="1"/>
      </tp>
      <tp t="s">
        <v>#N/A N/A</v>
        <stp/>
        <stp>BDP|8804128490060482198</stp>
        <tr r="U158" s="1"/>
      </tp>
      <tp t="s">
        <v>#N/A N/A</v>
        <stp/>
        <stp>BDP|1560920095949170945</stp>
        <tr r="U534" s="1"/>
      </tp>
      <tp t="s">
        <v>#N/A N/A</v>
        <stp/>
        <stp>BDP|8299153448219166599</stp>
        <tr r="U415" s="1"/>
      </tp>
      <tp t="s">
        <v>#N/A N/A</v>
        <stp/>
        <stp>BDP|8918374588617586563</stp>
        <tr r="U7" s="1"/>
      </tp>
      <tp t="s">
        <v>#N/A N/A</v>
        <stp/>
        <stp>BDP|6403084377824935474</stp>
        <tr r="U779" s="1"/>
      </tp>
      <tp t="s">
        <v>#N/A N/A</v>
        <stp/>
        <stp>BDP|5593577993302346986</stp>
        <tr r="U557" s="1"/>
      </tp>
      <tp t="s">
        <v>#N/A N/A</v>
        <stp/>
        <stp>BDP|7248072274160846224</stp>
        <tr r="U734" s="1"/>
      </tp>
      <tp t="s">
        <v>#N/A N/A</v>
        <stp/>
        <stp>BDP|5494129508747063166</stp>
        <tr r="U377" s="1"/>
      </tp>
      <tp t="s">
        <v>#N/A N/A</v>
        <stp/>
        <stp>BDP|5558958099485196214</stp>
        <tr r="U358" s="1"/>
      </tp>
      <tp t="s">
        <v>#N/A N/A</v>
        <stp/>
        <stp>BDP|3969274502164710724</stp>
        <tr r="U222" s="1"/>
      </tp>
      <tp t="s">
        <v>#N/A N/A</v>
        <stp/>
        <stp>BDP|4150027466531863138</stp>
        <tr r="U498" s="1"/>
      </tp>
      <tp t="s">
        <v>#N/A N/A</v>
        <stp/>
        <stp>BDP|6103839812805963876</stp>
        <tr r="U883" s="1"/>
      </tp>
      <tp t="s">
        <v>#N/A N/A</v>
        <stp/>
        <stp>BDP|4913536930507309764</stp>
        <tr r="U99" s="1"/>
      </tp>
      <tp t="s">
        <v>#N/A N/A</v>
        <stp/>
        <stp>BDP|5926436122698128953</stp>
        <tr r="U548" s="1"/>
      </tp>
      <tp t="s">
        <v>#N/A N/A</v>
        <stp/>
        <stp>BDP|5507290525983204469</stp>
        <tr r="U659" s="1"/>
      </tp>
      <tp t="s">
        <v>#N/A N/A</v>
        <stp/>
        <stp>BDP|2169923102261249818</stp>
        <tr r="U624" s="1"/>
      </tp>
      <tp t="s">
        <v>#N/A N/A</v>
        <stp/>
        <stp>BDP|2375562603293242662</stp>
        <tr r="U34" s="1"/>
      </tp>
      <tp t="s">
        <v>#N/A N/A</v>
        <stp/>
        <stp>BDP|1544178253193506474</stp>
        <tr r="U528" s="1"/>
      </tp>
      <tp t="s">
        <v>#N/A N/A</v>
        <stp/>
        <stp>BDP|3037176915507608678</stp>
        <tr r="U432" s="1"/>
      </tp>
      <tp t="s">
        <v>#N/A N/A</v>
        <stp/>
        <stp>BDP|1108482073654074492</stp>
        <tr r="U341" s="1"/>
      </tp>
      <tp t="s">
        <v>#N/A N/A</v>
        <stp/>
        <stp>BDP|2457903990377271757</stp>
        <tr r="U869" s="1"/>
      </tp>
      <tp t="s">
        <v>#N/A N/A</v>
        <stp/>
        <stp>BDP|5894092506904665320</stp>
        <tr r="U136" s="1"/>
      </tp>
      <tp t="s">
        <v>#N/A N/A</v>
        <stp/>
        <stp>BDP|3293664356446465475</stp>
        <tr r="U22" s="1"/>
      </tp>
      <tp t="s">
        <v>#N/A N/A</v>
        <stp/>
        <stp>BDP|6112433163812387441</stp>
        <tr r="U748" s="1"/>
      </tp>
      <tp t="s">
        <v>#N/A N/A</v>
        <stp/>
        <stp>BDP|6715685682808840224</stp>
        <tr r="U867" s="1"/>
      </tp>
      <tp t="s">
        <v>#N/A N/A</v>
        <stp/>
        <stp>BDP|5887026868144744513</stp>
        <tr r="U204" s="1"/>
      </tp>
      <tp t="s">
        <v>#N/A N/A</v>
        <stp/>
        <stp>BDP|3136235792889657325</stp>
        <tr r="U518" s="1"/>
      </tp>
      <tp t="s">
        <v>#N/A N/A</v>
        <stp/>
        <stp>BDP|4336325227411210602</stp>
        <tr r="U652" s="1"/>
      </tp>
      <tp t="s">
        <v>#N/A N/A</v>
        <stp/>
        <stp>BDP|2093806866747010928</stp>
        <tr r="U813" s="1"/>
      </tp>
      <tp t="s">
        <v>#N/A N/A</v>
        <stp/>
        <stp>BDP|6616465903918775808</stp>
        <tr r="U910" s="1"/>
      </tp>
      <tp t="s">
        <v>#N/A N/A</v>
        <stp/>
        <stp>BDP|9513266464736784953</stp>
        <tr r="U592" s="1"/>
      </tp>
      <tp t="s">
        <v>#N/A N/A</v>
        <stp/>
        <stp>BDP|3597222741956503096</stp>
        <tr r="U39" s="1"/>
      </tp>
      <tp t="s">
        <v>#N/A N/A</v>
        <stp/>
        <stp>BDP|8685999673443129663</stp>
        <tr r="U833" s="1"/>
      </tp>
      <tp t="s">
        <v>#N/A N/A</v>
        <stp/>
        <stp>BDP|5483828999946033177</stp>
        <tr r="U827" s="1"/>
      </tp>
      <tp t="s">
        <v>#N/A N/A</v>
        <stp/>
        <stp>BDP|1279080272577122205</stp>
        <tr r="U632" s="1"/>
      </tp>
      <tp t="s">
        <v>#N/A N/A</v>
        <stp/>
        <stp>BDP|1967284440292857601</stp>
        <tr r="U241" s="1"/>
      </tp>
      <tp t="s">
        <v>#N/A N/A</v>
        <stp/>
        <stp>BDP|7819812438017150890</stp>
        <tr r="U325" s="1"/>
      </tp>
      <tp t="s">
        <v>#N/A N/A</v>
        <stp/>
        <stp>BDP|1036205843837525383</stp>
        <tr r="U819" s="1"/>
      </tp>
      <tp t="s">
        <v>#N/A N/A</v>
        <stp/>
        <stp>BDP|3421473045317137793</stp>
        <tr r="U428" s="1"/>
      </tp>
      <tp t="s">
        <v>#N/A N/A</v>
        <stp/>
        <stp>BDP|1806975426230163971</stp>
        <tr r="U723" s="1"/>
      </tp>
      <tp t="s">
        <v>#N/A N/A</v>
        <stp/>
        <stp>BDP|2993307074116349321</stp>
        <tr r="U201" s="1"/>
      </tp>
      <tp t="s">
        <v>#N/A N/A</v>
        <stp/>
        <stp>BDP|8138394246595754954</stp>
        <tr r="U479" s="1"/>
      </tp>
      <tp t="s">
        <v>#N/A N/A</v>
        <stp/>
        <stp>BDP|1050184313556270451</stp>
        <tr r="U943" s="1"/>
      </tp>
      <tp t="s">
        <v>#N/A N/A</v>
        <stp/>
        <stp>BDP|3166999292359045970</stp>
        <tr r="U776" s="1"/>
      </tp>
      <tp t="s">
        <v>#N/A N/A</v>
        <stp/>
        <stp>BDP|5589277769363345152</stp>
        <tr r="U526" s="1"/>
      </tp>
      <tp t="s">
        <v>#N/A N/A</v>
        <stp/>
        <stp>BDP|2379170348757265337</stp>
        <tr r="U911" s="1"/>
      </tp>
      <tp t="s">
        <v>#N/A N/A</v>
        <stp/>
        <stp>BDP|9310870056446852177</stp>
        <tr r="U604" s="1"/>
      </tp>
      <tp t="s">
        <v>#N/A N/A</v>
        <stp/>
        <stp>BDP|2864438118657703360</stp>
        <tr r="U235" s="1"/>
      </tp>
      <tp t="s">
        <v>#N/A N/A</v>
        <stp/>
        <stp>BDP|8795320392059155855</stp>
        <tr r="U28" s="1"/>
      </tp>
      <tp t="s">
        <v>#N/A N/A</v>
        <stp/>
        <stp>BDP|4395457976643587760</stp>
        <tr r="U746" s="1"/>
      </tp>
      <tp t="s">
        <v>#N/A N/A</v>
        <stp/>
        <stp>BDP|5316411933419575871</stp>
        <tr r="U387" s="1"/>
      </tp>
      <tp t="s">
        <v>#N/A N/A</v>
        <stp/>
        <stp>BDP|5490304205251237433</stp>
        <tr r="U419" s="1"/>
      </tp>
      <tp t="s">
        <v>#N/A N/A</v>
        <stp/>
        <stp>BDP|5907486881308755273</stp>
        <tr r="U171" s="1"/>
      </tp>
      <tp t="s">
        <v>#N/A N/A</v>
        <stp/>
        <stp>BDP|4409209976326056435</stp>
        <tr r="U261" s="1"/>
      </tp>
      <tp t="s">
        <v>#N/A N/A</v>
        <stp/>
        <stp>BDP|8385842932134717439</stp>
        <tr r="U861" s="1"/>
      </tp>
      <tp t="s">
        <v>#N/A N/A</v>
        <stp/>
        <stp>BDP|2420217634355615518</stp>
        <tr r="U932" s="1"/>
      </tp>
      <tp t="s">
        <v>#N/A N/A</v>
        <stp/>
        <stp>BDP|4541517283572457857</stp>
        <tr r="U57" s="1"/>
      </tp>
      <tp t="s">
        <v>#N/A N/A</v>
        <stp/>
        <stp>BDP|4521161059247462493</stp>
        <tr r="U213" s="1"/>
      </tp>
      <tp t="s">
        <v>#N/A N/A</v>
        <stp/>
        <stp>BDP|7595444906995193527</stp>
        <tr r="U127" s="1"/>
      </tp>
      <tp t="s">
        <v>#N/A N/A</v>
        <stp/>
        <stp>BDP|7071774679483858723</stp>
        <tr r="U560" s="1"/>
      </tp>
      <tp t="s">
        <v>#N/A N/A</v>
        <stp/>
        <stp>BDP|8093879834244117464</stp>
        <tr r="U569" s="1"/>
      </tp>
      <tp t="s">
        <v>#N/A N/A</v>
        <stp/>
        <stp>BDP|1037636724961024727</stp>
        <tr r="U927" s="1"/>
      </tp>
      <tp t="s">
        <v>#N/A N/A</v>
        <stp/>
        <stp>BDP|7028266994296786903</stp>
        <tr r="U284" s="1"/>
      </tp>
      <tp t="s">
        <v>#N/A N/A</v>
        <stp/>
        <stp>BDP|1617321473181261709</stp>
        <tr r="U19" s="1"/>
      </tp>
      <tp t="s">
        <v>#N/A N/A</v>
        <stp/>
        <stp>BDP|66737877108752066</stp>
        <tr r="U742" s="1"/>
      </tp>
      <tp t="s">
        <v>#N/A N/A</v>
        <stp/>
        <stp>BDP|73234293145768196</stp>
        <tr r="U787" s="1"/>
      </tp>
      <tp t="s">
        <v>#N/A N/A</v>
        <stp/>
        <stp>BDP|50649186153917211</stp>
        <tr r="U189" s="1"/>
      </tp>
      <tp t="s">
        <v>#N/A N/A</v>
        <stp/>
        <stp>BDP|56030342093232717</stp>
        <tr r="U450" s="1"/>
      </tp>
      <tp t="s">
        <v>#N/A N/A</v>
        <stp/>
        <stp>BDP|75296043471234713</stp>
        <tr r="U78" s="1"/>
      </tp>
      <tp t="s">
        <v>#N/A N/A</v>
        <stp/>
        <stp>BDP|985225113272179411</stp>
        <tr r="U319" s="1"/>
      </tp>
      <tp t="s">
        <v>#N/A N/A</v>
        <stp/>
        <stp>BDP|997893732846141856</stp>
        <tr r="U672" s="1"/>
      </tp>
      <tp t="s">
        <v>#N/A N/A</v>
        <stp/>
        <stp>BDP|216582111158378867</stp>
        <tr r="U331" s="1"/>
      </tp>
      <tp t="s">
        <v>#N/A N/A</v>
        <stp/>
        <stp>BDP|164218476630602162</stp>
        <tr r="U236" s="1"/>
      </tp>
      <tp t="s">
        <v>#N/A N/A</v>
        <stp/>
        <stp>BDP|714626335673595233</stp>
        <tr r="U416" s="1"/>
      </tp>
      <tp t="s">
        <v>#N/A N/A</v>
        <stp/>
        <stp>BDP|409484930750546385</stp>
        <tr r="U53" s="1"/>
      </tp>
      <tp t="s">
        <v>#N/A N/A</v>
        <stp/>
        <stp>BDP|727870440603804858</stp>
        <tr r="U253" s="1"/>
      </tp>
      <tp t="s">
        <v>#N/A N/A</v>
        <stp/>
        <stp>BDP|699175940910950254</stp>
        <tr r="U445" s="1"/>
      </tp>
      <tp t="s">
        <v>#N/A N/A</v>
        <stp/>
        <stp>BDP|441190527476378206</stp>
        <tr r="U93" s="1"/>
      </tp>
      <tp t="s">
        <v>#N/A N/A</v>
        <stp/>
        <stp>BDP|921742175447385086</stp>
        <tr r="U919" s="1"/>
      </tp>
      <tp t="s">
        <v>#N/A N/A</v>
        <stp/>
        <stp>BDP|485957219587716928</stp>
        <tr r="U122" s="1"/>
      </tp>
      <tp t="s">
        <v>#N/A N/A</v>
        <stp/>
        <stp>BDP|462389980582803891</stp>
        <tr r="U894" s="1"/>
      </tp>
      <tp t="s">
        <v>#N/A N/A</v>
        <stp/>
        <stp>BDP|572917390549959845</stp>
        <tr r="U113" s="1"/>
      </tp>
      <tp t="s">
        <v>#N/A N/A</v>
        <stp/>
        <stp>BDP|734305433461547195</stp>
        <tr r="U519" s="1"/>
      </tp>
      <tp t="s">
        <v>#N/A N/A</v>
        <stp/>
        <stp>BDP|591151878717468156</stp>
        <tr r="U695" s="1"/>
      </tp>
      <tp t="s">
        <v>#N/A N/A</v>
        <stp/>
        <stp>BDP|338218563920745428</stp>
        <tr r="U76" s="1"/>
      </tp>
      <tp t="s">
        <v>#N/A N/A</v>
        <stp/>
        <stp>BDP|180282234162559389</stp>
        <tr r="U881" s="1"/>
      </tp>
      <tp t="s">
        <v>#N/A N/A</v>
        <stp/>
        <stp>BDP|900020945126483176</stp>
        <tr r="U588" s="1"/>
      </tp>
      <tp t="s">
        <v>#N/A N/A</v>
        <stp/>
        <stp>BDP|188810367154898955</stp>
        <tr r="U938" s="1"/>
      </tp>
      <tp t="s">
        <v>#N/A N/A</v>
        <stp/>
        <stp>BDP|889955553118173748</stp>
        <tr r="U48" s="1"/>
      </tp>
      <tp t="s">
        <v>#N/A N/A</v>
        <stp/>
        <stp>BDP|135282486920439871</stp>
        <tr r="U295" s="1"/>
      </tp>
      <tp t="s">
        <v>#N/A N/A</v>
        <stp/>
        <stp>BDP|423893892373254038</stp>
        <tr r="U466" s="1"/>
      </tp>
      <tp t="s">
        <v>#N/A N/A</v>
        <stp/>
        <stp>BDP|870996539179271150</stp>
        <tr r="U475" s="1"/>
      </tp>
      <tp t="s">
        <v>#N/A N/A</v>
        <stp/>
        <stp>BDP|451424964676733619</stp>
        <tr r="U829" s="1"/>
      </tp>
      <tp t="s">
        <v>#N/A N/A</v>
        <stp/>
        <stp>BDP|631299692234962297</stp>
        <tr r="U309" s="1"/>
      </tp>
      <tp t="s">
        <v>#N/A N/A</v>
        <stp/>
        <stp>BDP|800306036829184403</stp>
        <tr r="U75" s="1"/>
      </tp>
      <tp t="s">
        <v>#N/A N/A</v>
        <stp/>
        <stp>BDP|889947616813451738</stp>
        <tr r="U562" s="1"/>
      </tp>
      <tp t="s">
        <v>#N/A N/A</v>
        <stp/>
        <stp>BDP|326232820579144599</stp>
        <tr r="U117" s="1"/>
      </tp>
      <tp t="s">
        <v>#N/A N/A</v>
        <stp/>
        <stp>BDP|210758993205757731</stp>
        <tr r="U619" s="1"/>
      </tp>
      <tp t="s">
        <v>#N/A N/A</v>
        <stp/>
        <stp>BDP|570011065579253057</stp>
        <tr r="U254" s="1"/>
      </tp>
      <tp t="s">
        <v>#N/A N/A</v>
        <stp/>
        <stp>BDP|310956754774175601</stp>
        <tr r="U298" s="1"/>
      </tp>
      <tp t="s">
        <v>#N/A N/A</v>
        <stp/>
        <stp>BDP|271991424506913356</stp>
        <tr r="U930" s="1"/>
      </tp>
      <tp t="s">
        <v>#N/A N/A</v>
        <stp/>
        <stp>BDP|441179083476966675</stp>
        <tr r="U709" s="1"/>
      </tp>
      <tp t="s">
        <v>#N/A N/A</v>
        <stp/>
        <stp>BDP|598082195668171806</stp>
        <tr r="U791" s="1"/>
      </tp>
      <tp t="s">
        <v>#N/A N/A</v>
        <stp/>
        <stp>BDP|477148462769073795</stp>
        <tr r="U169" s="1"/>
      </tp>
      <tp t="s">
        <v>#N/A N/A</v>
        <stp/>
        <stp>BDP|259724199747296007</stp>
        <tr r="U664" s="1"/>
      </tp>
      <tp t="s">
        <v>#N/A N/A</v>
        <stp/>
        <stp>BDP|369443831787753946</stp>
        <tr r="U536" s="1"/>
      </tp>
      <tp t="s">
        <v>#N/A N/A</v>
        <stp/>
        <stp>BDP|620444165123800893</stp>
        <tr r="U299" s="1"/>
      </tp>
      <tp t="s">
        <v>#N/A N/A</v>
        <stp/>
        <stp>BDP|942718460140972835</stp>
        <tr r="U141" s="1"/>
      </tp>
      <tp t="s">
        <v>#N/A N/A</v>
        <stp/>
        <stp>BDP|406944621607339503</stp>
        <tr r="U478" s="1"/>
      </tp>
      <tp t="s">
        <v>#N/A N/A</v>
        <stp/>
        <stp>BDP|813169321309473265</stp>
        <tr r="U305" s="1"/>
      </tp>
      <tp t="s">
        <v>#N/A N/A</v>
        <stp/>
        <stp>BDP|511987464917591085</stp>
        <tr r="U846" s="1"/>
      </tp>
      <tp t="s">
        <v>#N/A N/A</v>
        <stp/>
        <stp>BDP|390142797098751819</stp>
        <tr r="U60" s="1"/>
      </tp>
      <tp t="s">
        <v>#N/A N/A</v>
        <stp/>
        <stp>BDP|186544293834760067</stp>
        <tr r="U24" s="1"/>
      </tp>
      <tp t="s">
        <v>#N/A N/A</v>
        <stp/>
        <stp>BDP|569839225966314783</stp>
        <tr r="U347" s="1"/>
      </tp>
      <tp t="s">
        <v>#N/A N/A</v>
        <stp/>
        <stp>BDP|471651985050958546</stp>
        <tr r="U484" s="1"/>
      </tp>
      <tp t="s">
        <v>#N/A N/A</v>
        <stp/>
        <stp>BDP|686727098692966655</stp>
        <tr r="U49"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F948"/>
  <sheetViews>
    <sheetView tabSelected="1" workbookViewId="0"/>
  </sheetViews>
  <sheetFormatPr defaultRowHeight="12" x14ac:dyDescent="0.2"/>
  <cols>
    <col min="1" max="1" width="20.140625" style="2" customWidth="1"/>
    <col min="2" max="2" width="23.85546875" style="2" customWidth="1"/>
    <col min="3" max="3" width="15.28515625" style="2" customWidth="1"/>
    <col min="4" max="4" width="25.42578125" style="3" customWidth="1"/>
    <col min="5" max="5" width="27" style="3" customWidth="1"/>
    <col min="6" max="6" width="26.140625" style="3" customWidth="1"/>
    <col min="7" max="7" width="30" style="3" customWidth="1"/>
    <col min="8" max="8" width="26.5703125" style="3" customWidth="1"/>
    <col min="9" max="9" width="27.7109375" style="3" customWidth="1"/>
    <col min="10" max="10" width="26.140625" style="3" customWidth="1"/>
    <col min="11" max="11" width="25.42578125" style="3" customWidth="1"/>
    <col min="12" max="12" width="30.42578125" style="3" customWidth="1"/>
    <col min="13" max="13" width="31.28515625" style="3" customWidth="1"/>
    <col min="14" max="14" width="9.140625" style="3" customWidth="1"/>
    <col min="15" max="15" width="16.42578125" style="3" customWidth="1"/>
    <col min="16" max="16" width="9.140625" style="3" customWidth="1"/>
    <col min="17" max="17" width="16.5703125" style="3" customWidth="1"/>
    <col min="18" max="18" width="9.140625" style="3" customWidth="1"/>
    <col min="19" max="19" width="16.42578125" style="3" customWidth="1"/>
    <col min="20" max="20" width="9.140625" style="3" customWidth="1"/>
    <col min="21" max="21" width="14.7109375" style="3" customWidth="1"/>
    <col min="22" max="22" width="12.85546875" style="3" customWidth="1"/>
    <col min="23" max="23" width="10.5703125" style="3" customWidth="1"/>
    <col min="24" max="24" width="13.28515625" style="3" customWidth="1"/>
    <col min="25" max="25" width="23" style="2" customWidth="1"/>
    <col min="26" max="26" width="51" style="2" customWidth="1"/>
    <col min="27" max="27" width="53" style="2" customWidth="1"/>
    <col min="28" max="28" width="57.85546875" style="3" customWidth="1"/>
    <col min="29" max="29" width="9.28515625" style="3" customWidth="1"/>
    <col min="30" max="30" width="16.5703125" style="3" customWidth="1"/>
    <col min="31" max="31" width="24" style="3" customWidth="1"/>
    <col min="32" max="32" width="25.7109375" style="3" customWidth="1"/>
    <col min="33" max="33" width="9.140625" style="1" customWidth="1"/>
    <col min="34" max="16384" width="9.140625" style="1"/>
  </cols>
  <sheetData>
    <row r="1" spans="1:32" s="4" customFormat="1" ht="12.75" x14ac:dyDescent="0.2">
      <c r="A1" s="5" t="s">
        <v>0</v>
      </c>
      <c r="B1" s="5" t="s">
        <v>1</v>
      </c>
      <c r="C1" s="5" t="s">
        <v>2</v>
      </c>
      <c r="D1" s="6"/>
      <c r="E1" s="6"/>
      <c r="F1" s="6"/>
      <c r="G1" s="6"/>
      <c r="H1" s="6"/>
      <c r="I1" s="6"/>
      <c r="J1" s="6"/>
      <c r="K1" s="6"/>
      <c r="L1" s="6"/>
      <c r="M1" s="6"/>
      <c r="N1" s="6"/>
      <c r="O1" s="6"/>
      <c r="P1" s="6"/>
      <c r="Q1" s="6"/>
      <c r="R1" s="6"/>
      <c r="S1" s="6"/>
      <c r="T1" s="6"/>
      <c r="U1" s="6"/>
      <c r="V1" s="6"/>
      <c r="W1" s="6"/>
      <c r="X1" s="6"/>
      <c r="Y1" s="7"/>
      <c r="Z1" s="7"/>
      <c r="AA1" s="7"/>
      <c r="AB1" s="6"/>
      <c r="AC1" s="6"/>
      <c r="AD1" s="6"/>
      <c r="AE1" s="6"/>
      <c r="AF1" s="6"/>
    </row>
    <row r="2" spans="1:32" s="4" customFormat="1" ht="12.75" x14ac:dyDescent="0.2">
      <c r="A2" s="5" t="s">
        <v>3</v>
      </c>
      <c r="B2" s="7"/>
      <c r="C2" s="7"/>
      <c r="D2" s="6"/>
      <c r="E2" s="6"/>
      <c r="F2" s="6"/>
      <c r="G2" s="6"/>
      <c r="H2" s="6"/>
      <c r="I2" s="6"/>
      <c r="J2" s="6"/>
      <c r="K2" s="6"/>
      <c r="L2" s="6"/>
      <c r="M2" s="6"/>
      <c r="N2" s="6"/>
      <c r="O2" s="6"/>
      <c r="P2" s="6"/>
      <c r="Q2" s="6"/>
      <c r="R2" s="6"/>
      <c r="S2" s="6"/>
      <c r="T2" s="6"/>
      <c r="U2" s="6"/>
      <c r="V2" s="6"/>
      <c r="W2" s="6"/>
      <c r="X2" s="6"/>
      <c r="Y2" s="7"/>
      <c r="Z2" s="7"/>
      <c r="AA2" s="7"/>
      <c r="AB2" s="6"/>
      <c r="AC2" s="6"/>
      <c r="AD2" s="6"/>
      <c r="AE2" s="6"/>
      <c r="AF2" s="6"/>
    </row>
    <row r="3" spans="1:32" ht="12.75" x14ac:dyDescent="0.2">
      <c r="A3" s="8" t="s">
        <v>4</v>
      </c>
      <c r="B3" s="8" t="s">
        <v>5</v>
      </c>
      <c r="C3" s="8" t="s">
        <v>4</v>
      </c>
      <c r="D3" s="8" t="s">
        <v>6</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24</v>
      </c>
      <c r="Z3" s="8" t="s">
        <v>27</v>
      </c>
      <c r="AA3" s="8" t="s">
        <v>28</v>
      </c>
      <c r="AB3" s="8" t="s">
        <v>29</v>
      </c>
      <c r="AC3" s="8" t="s">
        <v>30</v>
      </c>
      <c r="AD3" s="8" t="s">
        <v>31</v>
      </c>
      <c r="AE3" s="8" t="s">
        <v>32</v>
      </c>
      <c r="AF3" s="8" t="s">
        <v>33</v>
      </c>
    </row>
    <row r="4" spans="1:32" s="4" customFormat="1" ht="12.75" x14ac:dyDescent="0.2">
      <c r="A4" s="7" t="s">
        <v>34</v>
      </c>
      <c r="B4" s="7"/>
      <c r="C4" s="7"/>
      <c r="D4" s="6"/>
      <c r="E4" s="6"/>
      <c r="F4" s="6"/>
      <c r="G4" s="6"/>
      <c r="H4" s="6"/>
      <c r="I4" s="6"/>
      <c r="J4" s="6"/>
      <c r="K4" s="6"/>
      <c r="L4" s="6"/>
      <c r="M4" s="6"/>
      <c r="N4" s="6"/>
      <c r="O4" s="6"/>
      <c r="P4" s="6"/>
      <c r="Q4" s="6"/>
      <c r="R4" s="6"/>
      <c r="S4" s="6"/>
      <c r="T4" s="6"/>
      <c r="U4" s="6"/>
      <c r="V4" s="6"/>
      <c r="W4" s="6"/>
      <c r="X4" s="6"/>
      <c r="Y4" s="7"/>
      <c r="Z4" s="7"/>
      <c r="AA4" s="7"/>
      <c r="AB4" s="6"/>
      <c r="AC4" s="6"/>
      <c r="AD4" s="6"/>
      <c r="AE4" s="6"/>
      <c r="AF4" s="6"/>
    </row>
    <row r="5" spans="1:32" s="4" customFormat="1" ht="12.75" x14ac:dyDescent="0.2">
      <c r="A5" s="7" t="s">
        <v>35</v>
      </c>
      <c r="B5" s="7" t="s">
        <v>36</v>
      </c>
      <c r="C5" s="7" t="s">
        <v>37</v>
      </c>
      <c r="D5" s="6">
        <v>-0.48521026968956005</v>
      </c>
      <c r="E5" s="6">
        <v>-0.66825795173645008</v>
      </c>
      <c r="F5" s="6">
        <v>0.44590282440185502</v>
      </c>
      <c r="G5" s="6">
        <v>-0.86202716827392611</v>
      </c>
      <c r="H5" s="6">
        <v>-0.13940316438674902</v>
      </c>
      <c r="I5" s="6">
        <v>-0.104072518646717</v>
      </c>
      <c r="J5" s="6">
        <v>0.75386834144592307</v>
      </c>
      <c r="K5" s="6">
        <v>-0.87209224700927712</v>
      </c>
      <c r="L5" s="6">
        <v>0.65868961811065707</v>
      </c>
      <c r="M5" s="6">
        <v>-0.57889491319656405</v>
      </c>
      <c r="N5" s="6"/>
      <c r="O5" s="6">
        <v>0.90029337681538002</v>
      </c>
      <c r="P5" s="6"/>
      <c r="Q5" s="6">
        <v>1.3330511703466121</v>
      </c>
      <c r="R5" s="6"/>
      <c r="S5" s="6">
        <v>11.638730231592266</v>
      </c>
      <c r="T5" s="6"/>
      <c r="U5" s="6">
        <f>_xll.BDP($A5,"TRAILING_12M_R&amp;D_%_SALES",$A$1,$A$2)</f>
        <v>0</v>
      </c>
      <c r="V5" s="6">
        <v>15</v>
      </c>
      <c r="W5" s="6">
        <v>151020</v>
      </c>
      <c r="X5" s="6">
        <v>15102010</v>
      </c>
      <c r="Y5" s="7" t="s">
        <v>38</v>
      </c>
      <c r="Z5" s="7" t="s">
        <v>39</v>
      </c>
      <c r="AA5" s="7" t="s">
        <v>39</v>
      </c>
      <c r="AB5" s="6">
        <v>75.857559204101563</v>
      </c>
      <c r="AC5" s="6">
        <v>1.0640702789508829</v>
      </c>
      <c r="AD5" s="6">
        <v>-22.275033019685132</v>
      </c>
      <c r="AE5" s="6">
        <v>77446</v>
      </c>
      <c r="AF5" s="6">
        <v>82889</v>
      </c>
    </row>
    <row r="6" spans="1:32" s="4" customFormat="1" ht="12.75" x14ac:dyDescent="0.2">
      <c r="A6" s="7" t="s">
        <v>40</v>
      </c>
      <c r="B6" s="7" t="s">
        <v>41</v>
      </c>
      <c r="C6" s="7" t="s">
        <v>42</v>
      </c>
      <c r="D6" s="6">
        <v>-0.83876079320907604</v>
      </c>
      <c r="E6" s="6">
        <v>2.2262191399932001E-2</v>
      </c>
      <c r="F6" s="6">
        <v>0.86072266101837203</v>
      </c>
      <c r="G6" s="6">
        <v>-0.87240737676620506</v>
      </c>
      <c r="H6" s="6">
        <v>5.5610738694668004E-2</v>
      </c>
      <c r="I6" s="6">
        <v>-0.23759381473064403</v>
      </c>
      <c r="J6" s="6">
        <v>0.16497544944286302</v>
      </c>
      <c r="K6" s="6">
        <v>0.137809708714485</v>
      </c>
      <c r="L6" s="6">
        <v>0.34966164827346802</v>
      </c>
      <c r="M6" s="6">
        <v>-1.2432198040187002E-2</v>
      </c>
      <c r="N6" s="6"/>
      <c r="O6" s="6"/>
      <c r="P6" s="6"/>
      <c r="Q6" s="6">
        <v>4.6329014049906228</v>
      </c>
      <c r="R6" s="6"/>
      <c r="S6" s="6"/>
      <c r="T6" s="6"/>
      <c r="U6" s="6" t="str">
        <f>_xll.BDP($A6,"TRAILING_12M_R&amp;D_%_SALES",$A$1,$A$2)</f>
        <v>#N/A N/A</v>
      </c>
      <c r="V6" s="6">
        <v>20</v>
      </c>
      <c r="W6" s="6">
        <v>201070</v>
      </c>
      <c r="X6" s="6">
        <v>20107010</v>
      </c>
      <c r="Y6" s="7" t="s">
        <v>43</v>
      </c>
      <c r="Z6" s="7" t="s">
        <v>44</v>
      </c>
      <c r="AA6" s="7" t="s">
        <v>44</v>
      </c>
      <c r="AB6" s="6"/>
      <c r="AC6" s="6">
        <v>0.96585418015841407</v>
      </c>
      <c r="AD6" s="6">
        <v>-27.199307925419301</v>
      </c>
      <c r="AE6" s="6"/>
      <c r="AF6" s="6"/>
    </row>
    <row r="7" spans="1:32" s="4" customFormat="1" ht="12.75" x14ac:dyDescent="0.2">
      <c r="A7" s="7" t="s">
        <v>45</v>
      </c>
      <c r="B7" s="7" t="s">
        <v>46</v>
      </c>
      <c r="C7" s="7" t="s">
        <v>47</v>
      </c>
      <c r="D7" s="6">
        <v>0.207012444734573</v>
      </c>
      <c r="E7" s="6">
        <v>-0.55451810359954801</v>
      </c>
      <c r="F7" s="6">
        <v>0.52083629369735707</v>
      </c>
      <c r="G7" s="6">
        <v>-0.57560431957244906</v>
      </c>
      <c r="H7" s="6">
        <v>-0.69014865159988403</v>
      </c>
      <c r="I7" s="6">
        <v>0.31938835978508001</v>
      </c>
      <c r="J7" s="6">
        <v>-0.25882577896118203</v>
      </c>
      <c r="K7" s="6">
        <v>-0.71304243803024303</v>
      </c>
      <c r="L7" s="6">
        <v>-0.12068682163953801</v>
      </c>
      <c r="M7" s="6">
        <v>-0.45815762877464306</v>
      </c>
      <c r="N7" s="6"/>
      <c r="O7" s="6"/>
      <c r="P7" s="6"/>
      <c r="Q7" s="6"/>
      <c r="R7" s="6"/>
      <c r="S7" s="6"/>
      <c r="T7" s="6"/>
      <c r="U7" s="6" t="str">
        <f>_xll.BDP($A7,"TRAILING_12M_R&amp;D_%_SALES",$A$1,$A$2)</f>
        <v>#N/A N/A</v>
      </c>
      <c r="V7" s="6">
        <v>15</v>
      </c>
      <c r="W7" s="6">
        <v>151010</v>
      </c>
      <c r="X7" s="6">
        <v>15101040</v>
      </c>
      <c r="Y7" s="7" t="s">
        <v>38</v>
      </c>
      <c r="Z7" s="7" t="s">
        <v>48</v>
      </c>
      <c r="AA7" s="7" t="s">
        <v>49</v>
      </c>
      <c r="AB7" s="6"/>
      <c r="AC7" s="6">
        <v>0.93902892851800812</v>
      </c>
      <c r="AD7" s="6">
        <v>-3.8134913699774842</v>
      </c>
      <c r="AE7" s="6"/>
      <c r="AF7" s="6"/>
    </row>
    <row r="8" spans="1:32" s="4" customFormat="1" ht="12.75" x14ac:dyDescent="0.2">
      <c r="A8" s="7" t="s">
        <v>50</v>
      </c>
      <c r="B8" s="7" t="s">
        <v>51</v>
      </c>
      <c r="C8" s="7" t="s">
        <v>52</v>
      </c>
      <c r="D8" s="6">
        <v>0.47576916217804005</v>
      </c>
      <c r="E8" s="6">
        <v>-0.89972341060638406</v>
      </c>
      <c r="F8" s="6">
        <v>3.2881073653698002E-2</v>
      </c>
      <c r="G8" s="6">
        <v>-0.90150195360183705</v>
      </c>
      <c r="H8" s="6">
        <v>-0.93247991800308205</v>
      </c>
      <c r="I8" s="6">
        <v>0.37351056933403004</v>
      </c>
      <c r="J8" s="6">
        <v>-0.183321803808212</v>
      </c>
      <c r="K8" s="6">
        <v>0.77101832628250111</v>
      </c>
      <c r="L8" s="6">
        <v>1.0458481498063001E-2</v>
      </c>
      <c r="M8" s="6">
        <v>-0.92943024635314908</v>
      </c>
      <c r="N8" s="6">
        <v>5.0817248931776637</v>
      </c>
      <c r="O8" s="6"/>
      <c r="P8" s="6">
        <v>3.257954549262688</v>
      </c>
      <c r="Q8" s="6"/>
      <c r="R8" s="6">
        <v>37.189446656836409</v>
      </c>
      <c r="S8" s="6"/>
      <c r="T8" s="6">
        <v>7.2260470390319824</v>
      </c>
      <c r="U8" s="6" t="str">
        <f>_xll.BDP($A8,"TRAILING_12M_R&amp;D_%_SALES",$A$1,$A$2)</f>
        <v>#N/A N/A</v>
      </c>
      <c r="V8" s="6">
        <v>40</v>
      </c>
      <c r="W8" s="6">
        <v>403010</v>
      </c>
      <c r="X8" s="6">
        <v>40301020</v>
      </c>
      <c r="Y8" s="7" t="s">
        <v>53</v>
      </c>
      <c r="Z8" s="7" t="s">
        <v>54</v>
      </c>
      <c r="AA8" s="7" t="s">
        <v>55</v>
      </c>
      <c r="AB8" s="6">
        <v>51.976661682128906</v>
      </c>
      <c r="AC8" s="6">
        <v>0.62231113664485704</v>
      </c>
      <c r="AD8" s="6">
        <v>10.92595712566915</v>
      </c>
      <c r="AE8" s="6">
        <v>23981</v>
      </c>
      <c r="AF8" s="6"/>
    </row>
    <row r="9" spans="1:32" s="4" customFormat="1" ht="12.75" x14ac:dyDescent="0.2">
      <c r="A9" s="7" t="s">
        <v>56</v>
      </c>
      <c r="B9" s="7" t="s">
        <v>57</v>
      </c>
      <c r="C9" s="7" t="s">
        <v>58</v>
      </c>
      <c r="D9" s="6">
        <v>0.47576916217804005</v>
      </c>
      <c r="E9" s="6">
        <v>-0.89972341060638406</v>
      </c>
      <c r="F9" s="6">
        <v>3.2881073653698002E-2</v>
      </c>
      <c r="G9" s="6">
        <v>-0.90150195360183705</v>
      </c>
      <c r="H9" s="6">
        <v>-0.93247991800308205</v>
      </c>
      <c r="I9" s="6">
        <v>0.37351056933403004</v>
      </c>
      <c r="J9" s="6">
        <v>-0.183321803808212</v>
      </c>
      <c r="K9" s="6">
        <v>0.77101832628250111</v>
      </c>
      <c r="L9" s="6">
        <v>1.0458481498063001E-2</v>
      </c>
      <c r="M9" s="6">
        <v>-0.92943024635314908</v>
      </c>
      <c r="N9" s="6">
        <v>5.0817248931776637</v>
      </c>
      <c r="O9" s="6">
        <v>2.5654848507237209</v>
      </c>
      <c r="P9" s="6">
        <v>3.257954549262688</v>
      </c>
      <c r="Q9" s="6">
        <v>2.343677451193888</v>
      </c>
      <c r="R9" s="6">
        <v>37.189446656836409</v>
      </c>
      <c r="S9" s="6">
        <v>17.908983992154216</v>
      </c>
      <c r="T9" s="6">
        <v>7.2260470390319824</v>
      </c>
      <c r="U9" s="6" t="str">
        <f>_xll.BDP($A9,"TRAILING_12M_R&amp;D_%_SALES",$A$1,$A$2)</f>
        <v>#N/A N/A</v>
      </c>
      <c r="V9" s="6">
        <v>40</v>
      </c>
      <c r="W9" s="6">
        <v>403010</v>
      </c>
      <c r="X9" s="6">
        <v>40301020</v>
      </c>
      <c r="Y9" s="7" t="s">
        <v>53</v>
      </c>
      <c r="Z9" s="7" t="s">
        <v>54</v>
      </c>
      <c r="AA9" s="7" t="s">
        <v>55</v>
      </c>
      <c r="AB9" s="6">
        <v>51.976661682128906</v>
      </c>
      <c r="AC9" s="6">
        <v>0.56720085245191509</v>
      </c>
      <c r="AD9" s="6">
        <v>10.405353247133409</v>
      </c>
      <c r="AE9" s="6">
        <v>23981</v>
      </c>
      <c r="AF9" s="6"/>
    </row>
    <row r="10" spans="1:32" s="4" customFormat="1" ht="12.75" x14ac:dyDescent="0.2">
      <c r="A10" s="7" t="s">
        <v>59</v>
      </c>
      <c r="B10" s="7" t="s">
        <v>60</v>
      </c>
      <c r="C10" s="7" t="s">
        <v>61</v>
      </c>
      <c r="D10" s="6">
        <v>-0.71976661682128906</v>
      </c>
      <c r="E10" s="6">
        <v>-1.3412214517593379</v>
      </c>
      <c r="F10" s="6">
        <v>-1.1052109003067021</v>
      </c>
      <c r="G10" s="6">
        <v>3.0002627372741699</v>
      </c>
      <c r="H10" s="6">
        <v>2.4266319274902339</v>
      </c>
      <c r="I10" s="6">
        <v>-0.37582102417945901</v>
      </c>
      <c r="J10" s="6">
        <v>-0.82312709093093905</v>
      </c>
      <c r="K10" s="6">
        <v>-0.12048093974590302</v>
      </c>
      <c r="L10" s="6">
        <v>-0.81727248430252109</v>
      </c>
      <c r="M10" s="6">
        <v>0.146493405103683</v>
      </c>
      <c r="N10" s="6">
        <v>0.18285776088815903</v>
      </c>
      <c r="O10" s="6">
        <v>0.16367315729762102</v>
      </c>
      <c r="P10" s="6"/>
      <c r="Q10" s="6"/>
      <c r="R10" s="6"/>
      <c r="S10" s="6">
        <v>8.5797474267957963</v>
      </c>
      <c r="T10" s="6"/>
      <c r="U10" s="6" t="str">
        <f>_xll.BDP($A10,"TRAILING_12M_R&amp;D_%_SALES",$A$1,$A$2)</f>
        <v>#N/A N/A</v>
      </c>
      <c r="V10" s="6">
        <v>20</v>
      </c>
      <c r="W10" s="6">
        <v>203020</v>
      </c>
      <c r="X10" s="6">
        <v>20302010</v>
      </c>
      <c r="Y10" s="7" t="s">
        <v>43</v>
      </c>
      <c r="Z10" s="7" t="s">
        <v>62</v>
      </c>
      <c r="AA10" s="7" t="s">
        <v>62</v>
      </c>
      <c r="AB10" s="6">
        <v>63.524795532226563</v>
      </c>
      <c r="AC10" s="6">
        <v>1.366618504419612</v>
      </c>
      <c r="AD10" s="6">
        <v>-29.607080897338413</v>
      </c>
      <c r="AE10" s="6">
        <v>123400</v>
      </c>
      <c r="AF10" s="6">
        <v>122300</v>
      </c>
    </row>
    <row r="11" spans="1:32" s="4" customFormat="1" ht="12.75" x14ac:dyDescent="0.2">
      <c r="A11" s="7" t="s">
        <v>63</v>
      </c>
      <c r="B11" s="7" t="s">
        <v>64</v>
      </c>
      <c r="C11" s="7" t="s">
        <v>65</v>
      </c>
      <c r="D11" s="6">
        <v>1.9578500986099241</v>
      </c>
      <c r="E11" s="6">
        <v>2.593115091323853</v>
      </c>
      <c r="F11" s="6">
        <v>0.37483403086662304</v>
      </c>
      <c r="G11" s="6">
        <v>-0.25964823365211503</v>
      </c>
      <c r="H11" s="6">
        <v>0.16701662540435802</v>
      </c>
      <c r="I11" s="6">
        <v>-0.25943106412887601</v>
      </c>
      <c r="J11" s="6">
        <v>-0.24219147861003901</v>
      </c>
      <c r="K11" s="6">
        <v>0.10838881880044901</v>
      </c>
      <c r="L11" s="6">
        <v>-0.46318888664245605</v>
      </c>
      <c r="M11" s="6">
        <v>0.37232810258865401</v>
      </c>
      <c r="N11" s="6">
        <v>5.3483883237354997</v>
      </c>
      <c r="O11" s="6">
        <v>5.0302187265000189</v>
      </c>
      <c r="P11" s="6">
        <v>40.881141106827535</v>
      </c>
      <c r="Q11" s="6">
        <v>32.346441362517901</v>
      </c>
      <c r="R11" s="6">
        <v>21.265138282583148</v>
      </c>
      <c r="S11" s="6">
        <v>20.483300844300672</v>
      </c>
      <c r="T11" s="6">
        <v>175.45928955078125</v>
      </c>
      <c r="U11" s="6">
        <f>_xll.BDP($A11,"TRAILING_12M_R&amp;D_%_SALES",$A$1,$A$2)</f>
        <v>8.0710531635334544</v>
      </c>
      <c r="V11" s="6">
        <v>45</v>
      </c>
      <c r="W11" s="6">
        <v>452020</v>
      </c>
      <c r="X11" s="6">
        <v>45202030</v>
      </c>
      <c r="Y11" s="7" t="s">
        <v>66</v>
      </c>
      <c r="Z11" s="7" t="s">
        <v>67</v>
      </c>
      <c r="AA11" s="7" t="s">
        <v>67</v>
      </c>
      <c r="AB11" s="6">
        <v>57.841262817382813</v>
      </c>
      <c r="AC11" s="6">
        <v>1.2049783989843861</v>
      </c>
      <c r="AD11" s="6">
        <v>-26.664348199941401</v>
      </c>
      <c r="AE11" s="6">
        <v>164000</v>
      </c>
      <c r="AF11" s="6">
        <v>123000</v>
      </c>
    </row>
    <row r="12" spans="1:32" s="4" customFormat="1" ht="12.75" x14ac:dyDescent="0.2">
      <c r="A12" s="7" t="s">
        <v>68</v>
      </c>
      <c r="B12" s="7" t="s">
        <v>69</v>
      </c>
      <c r="C12" s="7" t="s">
        <v>70</v>
      </c>
      <c r="D12" s="6">
        <v>-0.181243821978569</v>
      </c>
      <c r="E12" s="6">
        <v>7.5608110055330009E-3</v>
      </c>
      <c r="F12" s="6">
        <v>2.161339282989502</v>
      </c>
      <c r="G12" s="6">
        <v>-0.85393166542053212</v>
      </c>
      <c r="H12" s="6">
        <v>-0.33023437857627902</v>
      </c>
      <c r="I12" s="6">
        <v>0.66038298606872603</v>
      </c>
      <c r="J12" s="6">
        <v>1.6715565919876101</v>
      </c>
      <c r="K12" s="6">
        <v>-0.6541418433189391</v>
      </c>
      <c r="L12" s="6">
        <v>2.0390141010284419</v>
      </c>
      <c r="M12" s="6">
        <v>-9.2988125979900013E-2</v>
      </c>
      <c r="N12" s="6">
        <v>1.2653129968201351</v>
      </c>
      <c r="O12" s="6">
        <v>1.3369570673204589</v>
      </c>
      <c r="P12" s="6">
        <v>1.678772679607708</v>
      </c>
      <c r="Q12" s="6">
        <v>1.4759347386205679</v>
      </c>
      <c r="R12" s="6">
        <v>6.7875966407351678</v>
      </c>
      <c r="S12" s="6">
        <v>9.3152554608773794</v>
      </c>
      <c r="T12" s="6">
        <v>24.199800491333008</v>
      </c>
      <c r="U12" s="6" t="str">
        <f>_xll.BDP($A12,"TRAILING_12M_R&amp;D_%_SALES",$A$1,$A$2)</f>
        <v>#N/A N/A</v>
      </c>
      <c r="V12" s="6">
        <v>15</v>
      </c>
      <c r="W12" s="6">
        <v>151040</v>
      </c>
      <c r="X12" s="6">
        <v>15104020</v>
      </c>
      <c r="Y12" s="7" t="s">
        <v>38</v>
      </c>
      <c r="Z12" s="7" t="s">
        <v>71</v>
      </c>
      <c r="AA12" s="7" t="s">
        <v>72</v>
      </c>
      <c r="AB12" s="6">
        <v>74.720855712890625</v>
      </c>
      <c r="AC12" s="6">
        <v>0.67923608891472309</v>
      </c>
      <c r="AD12" s="6">
        <v>4.8393399483341648</v>
      </c>
      <c r="AE12" s="6">
        <v>62000</v>
      </c>
      <c r="AF12" s="6">
        <v>80000</v>
      </c>
    </row>
    <row r="13" spans="1:32" s="4" customFormat="1" ht="12.75" x14ac:dyDescent="0.2">
      <c r="A13" s="7" t="s">
        <v>73</v>
      </c>
      <c r="B13" s="7" t="s">
        <v>74</v>
      </c>
      <c r="C13" s="7" t="s">
        <v>75</v>
      </c>
      <c r="D13" s="6">
        <v>-0.36320680379867604</v>
      </c>
      <c r="E13" s="6">
        <v>-0.90250813961029108</v>
      </c>
      <c r="F13" s="6">
        <v>1.8141800165176392</v>
      </c>
      <c r="G13" s="6">
        <v>-0.65254819393158003</v>
      </c>
      <c r="H13" s="6">
        <v>1.2394411563873291</v>
      </c>
      <c r="I13" s="6">
        <v>0.48368260264396706</v>
      </c>
      <c r="J13" s="6">
        <v>1.9936680793762211</v>
      </c>
      <c r="K13" s="6">
        <v>-0.99820095300674405</v>
      </c>
      <c r="L13" s="6">
        <v>2.6370759010314941</v>
      </c>
      <c r="M13" s="6">
        <v>-0.82954061031341608</v>
      </c>
      <c r="N13" s="6">
        <v>1.1147932923355111</v>
      </c>
      <c r="O13" s="6"/>
      <c r="P13" s="6">
        <v>0.55935536992249102</v>
      </c>
      <c r="Q13" s="6"/>
      <c r="R13" s="6">
        <v>5.8561803916905548</v>
      </c>
      <c r="S13" s="6"/>
      <c r="T13" s="6">
        <v>10.15390682220459</v>
      </c>
      <c r="U13" s="6" t="str">
        <f>_xll.BDP($A13,"TRAILING_12M_R&amp;D_%_SALES",$A$1,$A$2)</f>
        <v>#N/A N/A</v>
      </c>
      <c r="V13" s="6">
        <v>40</v>
      </c>
      <c r="W13" s="6">
        <v>401010</v>
      </c>
      <c r="X13" s="6">
        <v>40101010</v>
      </c>
      <c r="Y13" s="7" t="s">
        <v>53</v>
      </c>
      <c r="Z13" s="7" t="s">
        <v>76</v>
      </c>
      <c r="AA13" s="7" t="s">
        <v>77</v>
      </c>
      <c r="AB13" s="6">
        <v>57.418769836425781</v>
      </c>
      <c r="AC13" s="6">
        <v>0.97737840703047008</v>
      </c>
      <c r="AD13" s="6">
        <v>3.183692395064841</v>
      </c>
      <c r="AE13" s="6">
        <v>19957</v>
      </c>
      <c r="AF13" s="6">
        <v>21664</v>
      </c>
    </row>
    <row r="14" spans="1:32" s="4" customFormat="1" ht="12.75" x14ac:dyDescent="0.2">
      <c r="A14" s="7" t="s">
        <v>78</v>
      </c>
      <c r="B14" s="7" t="s">
        <v>79</v>
      </c>
      <c r="C14" s="7" t="s">
        <v>80</v>
      </c>
      <c r="D14" s="6">
        <v>-0.31984248757362405</v>
      </c>
      <c r="E14" s="6">
        <v>0.29870659112930303</v>
      </c>
      <c r="F14" s="6">
        <v>0.70725166797637906</v>
      </c>
      <c r="G14" s="6">
        <v>-0.90074926614761408</v>
      </c>
      <c r="H14" s="6">
        <v>-0.58799827098846402</v>
      </c>
      <c r="I14" s="6">
        <v>5.6587152183056003E-2</v>
      </c>
      <c r="J14" s="6">
        <v>-4.3984282761812002E-2</v>
      </c>
      <c r="K14" s="6">
        <v>-0.91313570737838712</v>
      </c>
      <c r="L14" s="6">
        <v>0.59178709983825706</v>
      </c>
      <c r="M14" s="6">
        <v>-0.59096372127533003</v>
      </c>
      <c r="N14" s="6">
        <v>2.0071370288118242</v>
      </c>
      <c r="O14" s="6">
        <v>2.016280381335124</v>
      </c>
      <c r="P14" s="6">
        <v>4.8274096242487534</v>
      </c>
      <c r="Q14" s="6">
        <v>4.022862212931849</v>
      </c>
      <c r="R14" s="6">
        <v>14.703932891505511</v>
      </c>
      <c r="S14" s="6">
        <v>18.659449122380767</v>
      </c>
      <c r="T14" s="6">
        <v>30.908315658569336</v>
      </c>
      <c r="U14" s="6">
        <f>_xll.BDP($A14,"TRAILING_12M_R&amp;D_%_SALES",$A$1,$A$2)</f>
        <v>4.4718417047184174</v>
      </c>
      <c r="V14" s="6">
        <v>20</v>
      </c>
      <c r="W14" s="6">
        <v>201040</v>
      </c>
      <c r="X14" s="6">
        <v>20104010</v>
      </c>
      <c r="Y14" s="7" t="s">
        <v>43</v>
      </c>
      <c r="Z14" s="7" t="s">
        <v>81</v>
      </c>
      <c r="AA14" s="7" t="s">
        <v>82</v>
      </c>
      <c r="AB14" s="6">
        <v>71.95452880859375</v>
      </c>
      <c r="AC14" s="6">
        <v>0.97903961273167406</v>
      </c>
      <c r="AD14" s="6">
        <v>-13.853250818484664</v>
      </c>
      <c r="AE14" s="6">
        <v>104400</v>
      </c>
      <c r="AF14" s="6">
        <v>132000</v>
      </c>
    </row>
    <row r="15" spans="1:32" s="4" customFormat="1" ht="12.75" x14ac:dyDescent="0.2">
      <c r="A15" s="7" t="s">
        <v>83</v>
      </c>
      <c r="B15" s="7" t="s">
        <v>84</v>
      </c>
      <c r="C15" s="7" t="s">
        <v>85</v>
      </c>
      <c r="D15" s="6">
        <v>0.68203073740005504</v>
      </c>
      <c r="E15" s="6">
        <v>1.660152316093445</v>
      </c>
      <c r="F15" s="6">
        <v>0.29554423689842202</v>
      </c>
      <c r="G15" s="6">
        <v>-0.60592985153198209</v>
      </c>
      <c r="H15" s="6">
        <v>0.74512940645217907</v>
      </c>
      <c r="I15" s="6">
        <v>1.0829471349716191</v>
      </c>
      <c r="J15" s="6">
        <v>-8.0965474247932004E-2</v>
      </c>
      <c r="K15" s="6">
        <v>-0.22419972717762002</v>
      </c>
      <c r="L15" s="6">
        <v>0.95290547609329213</v>
      </c>
      <c r="M15" s="6">
        <v>-0.39250048995018005</v>
      </c>
      <c r="N15" s="6">
        <v>4.9544416022265647</v>
      </c>
      <c r="O15" s="6">
        <v>5.2603898724717721</v>
      </c>
      <c r="P15" s="6">
        <v>17.868656277013553</v>
      </c>
      <c r="Q15" s="6">
        <v>10.50773025959006</v>
      </c>
      <c r="R15" s="6">
        <v>15.813122628395435</v>
      </c>
      <c r="S15" s="6">
        <v>13.826323099176751</v>
      </c>
      <c r="T15" s="6">
        <v>90.346603393554688</v>
      </c>
      <c r="U15" s="6">
        <f>_xll.BDP($A15,"TRAILING_12M_R&amp;D_%_SALES",$A$1,$A$2)</f>
        <v>22.705648453864452</v>
      </c>
      <c r="V15" s="6">
        <v>35</v>
      </c>
      <c r="W15" s="6">
        <v>352010</v>
      </c>
      <c r="X15" s="6">
        <v>35201010</v>
      </c>
      <c r="Y15" s="7" t="s">
        <v>86</v>
      </c>
      <c r="Z15" s="7" t="s">
        <v>87</v>
      </c>
      <c r="AA15" s="7" t="s">
        <v>87</v>
      </c>
      <c r="AB15" s="6">
        <v>68.735542297363281</v>
      </c>
      <c r="AC15" s="6">
        <v>0.56529616121359605</v>
      </c>
      <c r="AD15" s="6">
        <v>23.556542489184263</v>
      </c>
      <c r="AE15" s="6">
        <v>50000</v>
      </c>
      <c r="AF15" s="6">
        <v>30000</v>
      </c>
    </row>
    <row r="16" spans="1:32" s="4" customFormat="1" ht="12.75" x14ac:dyDescent="0.2">
      <c r="A16" s="7" t="s">
        <v>88</v>
      </c>
      <c r="B16" s="7" t="s">
        <v>89</v>
      </c>
      <c r="C16" s="7" t="s">
        <v>90</v>
      </c>
      <c r="D16" s="6">
        <v>-0.66399103403091408</v>
      </c>
      <c r="E16" s="6">
        <v>-0.20586797595024101</v>
      </c>
      <c r="F16" s="6">
        <v>8.1886433064938008E-2</v>
      </c>
      <c r="G16" s="6">
        <v>-0.97555828094482411</v>
      </c>
      <c r="H16" s="6">
        <v>-1.3321025371551509</v>
      </c>
      <c r="I16" s="6">
        <v>-0.21618372201919603</v>
      </c>
      <c r="J16" s="6">
        <v>0.19269327819347401</v>
      </c>
      <c r="K16" s="6">
        <v>-0.76999074220657304</v>
      </c>
      <c r="L16" s="6">
        <v>7.223415374755901E-2</v>
      </c>
      <c r="M16" s="6">
        <v>-0.59311336278915405</v>
      </c>
      <c r="N16" s="6">
        <v>2.8921549070739303</v>
      </c>
      <c r="O16" s="6">
        <v>2.6023702756051099</v>
      </c>
      <c r="P16" s="6">
        <v>2.534626928335594</v>
      </c>
      <c r="Q16" s="6">
        <v>2.5036769626155171</v>
      </c>
      <c r="R16" s="6">
        <v>17.449364986638734</v>
      </c>
      <c r="S16" s="6">
        <v>16.394376746179983</v>
      </c>
      <c r="T16" s="6">
        <v>14.804599761962891</v>
      </c>
      <c r="U16" s="6" t="str">
        <f>_xll.BDP($A16,"TRAILING_12M_R&amp;D_%_SALES",$A$1,$A$2)</f>
        <v>#N/A N/A</v>
      </c>
      <c r="V16" s="6">
        <v>30</v>
      </c>
      <c r="W16" s="6">
        <v>302010</v>
      </c>
      <c r="X16" s="6">
        <v>30201010</v>
      </c>
      <c r="Y16" s="7" t="s">
        <v>91</v>
      </c>
      <c r="Z16" s="7" t="s">
        <v>92</v>
      </c>
      <c r="AA16" s="7" t="s">
        <v>93</v>
      </c>
      <c r="AB16" s="6">
        <v>52.560104370117188</v>
      </c>
      <c r="AC16" s="6">
        <v>0.75127113600166207</v>
      </c>
      <c r="AD16" s="6">
        <v>3.7027546456233069</v>
      </c>
      <c r="AE16" s="6">
        <v>53000</v>
      </c>
      <c r="AF16" s="6">
        <v>53200</v>
      </c>
    </row>
    <row r="17" spans="1:32" s="4" customFormat="1" ht="12.75" x14ac:dyDescent="0.2">
      <c r="A17" s="7" t="s">
        <v>94</v>
      </c>
      <c r="B17" s="7" t="s">
        <v>95</v>
      </c>
      <c r="C17" s="7" t="s">
        <v>96</v>
      </c>
      <c r="D17" s="6">
        <v>-0.71328681707382202</v>
      </c>
      <c r="E17" s="6">
        <v>0.620752394199371</v>
      </c>
      <c r="F17" s="6">
        <v>-1.495163202285767</v>
      </c>
      <c r="G17" s="6">
        <v>-0.65753567218780506</v>
      </c>
      <c r="H17" s="6">
        <v>1.702380418777466</v>
      </c>
      <c r="I17" s="6">
        <v>-0.20451992750167802</v>
      </c>
      <c r="J17" s="6">
        <v>0.54514628648757901</v>
      </c>
      <c r="K17" s="6">
        <v>-0.80816727876663208</v>
      </c>
      <c r="L17" s="6">
        <v>1.008680462837219</v>
      </c>
      <c r="M17" s="6">
        <v>-0.59300214052200306</v>
      </c>
      <c r="N17" s="6"/>
      <c r="O17" s="6"/>
      <c r="P17" s="6"/>
      <c r="Q17" s="6"/>
      <c r="R17" s="6"/>
      <c r="S17" s="6"/>
      <c r="T17" s="6">
        <v>0.12613299489021301</v>
      </c>
      <c r="U17" s="6">
        <f>_xll.BDP($A17,"TRAILING_12M_R&amp;D_%_SALES",$A$1,$A$2)</f>
        <v>0</v>
      </c>
      <c r="V17" s="6">
        <v>20</v>
      </c>
      <c r="W17" s="6">
        <v>203050</v>
      </c>
      <c r="X17" s="6">
        <v>20305020</v>
      </c>
      <c r="Y17" s="7" t="s">
        <v>43</v>
      </c>
      <c r="Z17" s="7" t="s">
        <v>97</v>
      </c>
      <c r="AA17" s="7" t="s">
        <v>98</v>
      </c>
      <c r="AB17" s="6">
        <v>47.389598846435547</v>
      </c>
      <c r="AC17" s="6">
        <v>0.33333333333333304</v>
      </c>
      <c r="AD17" s="6"/>
      <c r="AE17" s="6">
        <v>13200</v>
      </c>
      <c r="AF17" s="6">
        <v>15122</v>
      </c>
    </row>
    <row r="18" spans="1:32" s="4" customFormat="1" ht="12.75" x14ac:dyDescent="0.2">
      <c r="A18" s="7" t="s">
        <v>99</v>
      </c>
      <c r="B18" s="7" t="s">
        <v>100</v>
      </c>
      <c r="C18" s="7" t="s">
        <v>101</v>
      </c>
      <c r="D18" s="6">
        <v>-0.31984248757362405</v>
      </c>
      <c r="E18" s="6">
        <v>0.29870659112930303</v>
      </c>
      <c r="F18" s="6">
        <v>0.70725166797637906</v>
      </c>
      <c r="G18" s="6">
        <v>-0.90074926614761408</v>
      </c>
      <c r="H18" s="6">
        <v>-0.58799827098846402</v>
      </c>
      <c r="I18" s="6">
        <v>5.6587152183056003E-2</v>
      </c>
      <c r="J18" s="6">
        <v>-4.3984282761812002E-2</v>
      </c>
      <c r="K18" s="6">
        <v>-0.91313570737838712</v>
      </c>
      <c r="L18" s="6">
        <v>0.59178709983825706</v>
      </c>
      <c r="M18" s="6">
        <v>-0.59096372127533003</v>
      </c>
      <c r="N18" s="6">
        <v>2.0071370288118242</v>
      </c>
      <c r="O18" s="6">
        <v>2.0428905181594241</v>
      </c>
      <c r="P18" s="6">
        <v>4.8274096242487534</v>
      </c>
      <c r="Q18" s="6">
        <v>4.0759545431011954</v>
      </c>
      <c r="R18" s="6">
        <v>14.703932891505511</v>
      </c>
      <c r="S18" s="6">
        <v>18.905710013544009</v>
      </c>
      <c r="T18" s="6">
        <v>30.908315658569336</v>
      </c>
      <c r="U18" s="6">
        <f>_xll.BDP($A18,"TRAILING_12M_R&amp;D_%_SALES",$A$1,$A$2)</f>
        <v>4.4718417047184174</v>
      </c>
      <c r="V18" s="6">
        <v>20</v>
      </c>
      <c r="W18" s="6">
        <v>201040</v>
      </c>
      <c r="X18" s="6">
        <v>20104010</v>
      </c>
      <c r="Y18" s="7" t="s">
        <v>43</v>
      </c>
      <c r="Z18" s="7" t="s">
        <v>81</v>
      </c>
      <c r="AA18" s="7" t="s">
        <v>82</v>
      </c>
      <c r="AB18" s="6">
        <v>71.95452880859375</v>
      </c>
      <c r="AC18" s="6">
        <v>0.68372616128626806</v>
      </c>
      <c r="AD18" s="6">
        <v>-15.601952081349735</v>
      </c>
      <c r="AE18" s="6">
        <v>104400</v>
      </c>
      <c r="AF18" s="6">
        <v>132000</v>
      </c>
    </row>
    <row r="19" spans="1:32" s="4" customFormat="1" ht="12.75" x14ac:dyDescent="0.2">
      <c r="A19" s="7" t="s">
        <v>102</v>
      </c>
      <c r="B19" s="7" t="s">
        <v>103</v>
      </c>
      <c r="C19" s="7" t="s">
        <v>104</v>
      </c>
      <c r="D19" s="6">
        <v>-0.36320680379867604</v>
      </c>
      <c r="E19" s="6">
        <v>-0.90250813961029108</v>
      </c>
      <c r="F19" s="6">
        <v>1.8141800165176392</v>
      </c>
      <c r="G19" s="6">
        <v>-0.65254819393158003</v>
      </c>
      <c r="H19" s="6">
        <v>1.2394411563873291</v>
      </c>
      <c r="I19" s="6">
        <v>0.48368260264396706</v>
      </c>
      <c r="J19" s="6">
        <v>1.9936680793762211</v>
      </c>
      <c r="K19" s="6">
        <v>-0.99820095300674405</v>
      </c>
      <c r="L19" s="6">
        <v>2.6370759010314941</v>
      </c>
      <c r="M19" s="6">
        <v>-0.82954061031341608</v>
      </c>
      <c r="N19" s="6">
        <v>1.1147932923355111</v>
      </c>
      <c r="O19" s="6">
        <v>1.472886745192955</v>
      </c>
      <c r="P19" s="6">
        <v>0.55935536992249102</v>
      </c>
      <c r="Q19" s="6">
        <v>0.52159012821727502</v>
      </c>
      <c r="R19" s="6">
        <v>5.8561803916905548</v>
      </c>
      <c r="S19" s="6">
        <v>9.0342246295758084</v>
      </c>
      <c r="T19" s="6">
        <v>10.15390682220459</v>
      </c>
      <c r="U19" s="6" t="str">
        <f>_xll.BDP($A19,"TRAILING_12M_R&amp;D_%_SALES",$A$1,$A$2)</f>
        <v>#N/A N/A</v>
      </c>
      <c r="V19" s="6">
        <v>40</v>
      </c>
      <c r="W19" s="6">
        <v>401010</v>
      </c>
      <c r="X19" s="6">
        <v>40101010</v>
      </c>
      <c r="Y19" s="7" t="s">
        <v>53</v>
      </c>
      <c r="Z19" s="7" t="s">
        <v>76</v>
      </c>
      <c r="AA19" s="7" t="s">
        <v>77</v>
      </c>
      <c r="AB19" s="6">
        <v>57.418769836425781</v>
      </c>
      <c r="AC19" s="6">
        <v>0.49732139624904503</v>
      </c>
      <c r="AD19" s="6">
        <v>-19.499091751413069</v>
      </c>
      <c r="AE19" s="6">
        <v>19957</v>
      </c>
      <c r="AF19" s="6">
        <v>21664</v>
      </c>
    </row>
    <row r="20" spans="1:32" s="4" customFormat="1" ht="12.75" x14ac:dyDescent="0.2">
      <c r="A20" s="7" t="s">
        <v>105</v>
      </c>
      <c r="B20" s="7" t="s">
        <v>106</v>
      </c>
      <c r="C20" s="7" t="s">
        <v>107</v>
      </c>
      <c r="D20" s="6">
        <v>-0.86932843923568703</v>
      </c>
      <c r="E20" s="6">
        <v>-0.24709035456180603</v>
      </c>
      <c r="F20" s="6">
        <v>-1.233798623085022</v>
      </c>
      <c r="G20" s="6">
        <v>2.482911109924316</v>
      </c>
      <c r="H20" s="6">
        <v>-0.677831470966339</v>
      </c>
      <c r="I20" s="6">
        <v>-1.2051302194595341</v>
      </c>
      <c r="J20" s="6">
        <v>-0.40009063482284501</v>
      </c>
      <c r="K20" s="6">
        <v>0.64043873548507702</v>
      </c>
      <c r="L20" s="6">
        <v>-0.81727248430252109</v>
      </c>
      <c r="M20" s="6">
        <v>2.0950779914855961</v>
      </c>
      <c r="N20" s="6">
        <v>6.7743566228384573</v>
      </c>
      <c r="O20" s="6">
        <v>5.879248407001465</v>
      </c>
      <c r="P20" s="6">
        <v>9.777071009062956</v>
      </c>
      <c r="Q20" s="6">
        <v>6.6385294209521684</v>
      </c>
      <c r="R20" s="6">
        <v>32.793513311311791</v>
      </c>
      <c r="S20" s="6">
        <v>28.543441650839995</v>
      </c>
      <c r="T20" s="6">
        <v>32.622394561767578</v>
      </c>
      <c r="U20" s="6">
        <f>_xll.BDP($A20,"TRAILING_12M_R&amp;D_%_SALES",$A$1,$A$2)</f>
        <v>18.519185732300485</v>
      </c>
      <c r="V20" s="6">
        <v>25</v>
      </c>
      <c r="W20" s="6">
        <v>253010</v>
      </c>
      <c r="X20" s="6">
        <v>25301020</v>
      </c>
      <c r="Y20" s="7" t="s">
        <v>108</v>
      </c>
      <c r="Z20" s="7" t="s">
        <v>109</v>
      </c>
      <c r="AA20" s="7" t="s">
        <v>110</v>
      </c>
      <c r="AB20" s="6">
        <v>34.503570556640625</v>
      </c>
      <c r="AC20" s="6">
        <v>1.497667742293884</v>
      </c>
      <c r="AD20" s="6">
        <v>-49.342338773326432</v>
      </c>
      <c r="AE20" s="6">
        <v>6132</v>
      </c>
      <c r="AF20" s="6"/>
    </row>
    <row r="21" spans="1:32" s="4" customFormat="1" ht="12.75" x14ac:dyDescent="0.2">
      <c r="A21" s="7" t="s">
        <v>111</v>
      </c>
      <c r="B21" s="7" t="s">
        <v>112</v>
      </c>
      <c r="C21" s="7" t="s">
        <v>113</v>
      </c>
      <c r="D21" s="6">
        <v>0.312303066253662</v>
      </c>
      <c r="E21" s="6">
        <v>-0.10919251292944</v>
      </c>
      <c r="F21" s="6">
        <v>-0.33952620625495905</v>
      </c>
      <c r="G21" s="6">
        <v>-0.69638699293136608</v>
      </c>
      <c r="H21" s="6">
        <v>-0.49300441145896906</v>
      </c>
      <c r="I21" s="6">
        <v>-0.21617287397384602</v>
      </c>
      <c r="J21" s="6">
        <v>-0.22107252478599501</v>
      </c>
      <c r="K21" s="6">
        <v>-0.72527849674224909</v>
      </c>
      <c r="L21" s="6">
        <v>0.100461758673191</v>
      </c>
      <c r="M21" s="6">
        <v>-0.22917014360427901</v>
      </c>
      <c r="N21" s="6">
        <v>4.2981490222418071</v>
      </c>
      <c r="O21" s="6">
        <v>4.8624591435255082</v>
      </c>
      <c r="P21" s="6">
        <v>5.3658573418406634</v>
      </c>
      <c r="Q21" s="6">
        <v>4.9308159891246586</v>
      </c>
      <c r="R21" s="6">
        <v>23.473882199702569</v>
      </c>
      <c r="S21" s="6">
        <v>24.941718352907674</v>
      </c>
      <c r="T21" s="6">
        <v>22.508808135986328</v>
      </c>
      <c r="U21" s="6">
        <f>_xll.BDP($A21,"TRAILING_12M_R&amp;D_%_SALES",$A$1,$A$2)</f>
        <v>6.7794994040524426</v>
      </c>
      <c r="V21" s="6">
        <v>35</v>
      </c>
      <c r="W21" s="6">
        <v>351010</v>
      </c>
      <c r="X21" s="6">
        <v>35101010</v>
      </c>
      <c r="Y21" s="7" t="s">
        <v>86</v>
      </c>
      <c r="Z21" s="7" t="s">
        <v>114</v>
      </c>
      <c r="AA21" s="7" t="s">
        <v>115</v>
      </c>
      <c r="AB21" s="6">
        <v>78.905540466308594</v>
      </c>
      <c r="AC21" s="6">
        <v>0.88712382185372907</v>
      </c>
      <c r="AD21" s="6">
        <v>-20.834800792488462</v>
      </c>
      <c r="AE21" s="6">
        <v>113000</v>
      </c>
      <c r="AF21" s="6">
        <v>75000</v>
      </c>
    </row>
    <row r="22" spans="1:32" s="4" customFormat="1" ht="12.75" x14ac:dyDescent="0.2">
      <c r="A22" s="7" t="s">
        <v>116</v>
      </c>
      <c r="B22" s="7" t="s">
        <v>117</v>
      </c>
      <c r="C22" s="7" t="s">
        <v>118</v>
      </c>
      <c r="D22" s="6">
        <v>1.672490000724792</v>
      </c>
      <c r="E22" s="6">
        <v>-0.85686421394348111</v>
      </c>
      <c r="F22" s="6">
        <v>0.35807001590728804</v>
      </c>
      <c r="G22" s="6">
        <v>-0.65162628889083907</v>
      </c>
      <c r="H22" s="6">
        <v>0.90280419588089011</v>
      </c>
      <c r="I22" s="6">
        <v>0.30071935057640103</v>
      </c>
      <c r="J22" s="6">
        <v>2.515244722366333</v>
      </c>
      <c r="K22" s="6">
        <v>-0.55637264251709007</v>
      </c>
      <c r="L22" s="6">
        <v>3.00003981590271</v>
      </c>
      <c r="M22" s="6">
        <v>-0.90218245983123802</v>
      </c>
      <c r="N22" s="6">
        <v>0.667078318998096</v>
      </c>
      <c r="O22" s="6">
        <v>1.2767126756225371</v>
      </c>
      <c r="P22" s="6">
        <v>0.37948368755984602</v>
      </c>
      <c r="Q22" s="6">
        <v>0.33131002733577802</v>
      </c>
      <c r="R22" s="6">
        <v>3.365765760884702</v>
      </c>
      <c r="S22" s="6">
        <v>3.1879846022342448</v>
      </c>
      <c r="T22" s="6">
        <v>12.029619216918945</v>
      </c>
      <c r="U22" s="6" t="str">
        <f>_xll.BDP($A22,"TRAILING_12M_R&amp;D_%_SALES",$A$1,$A$2)</f>
        <v>#N/A N/A</v>
      </c>
      <c r="V22" s="6">
        <v>40</v>
      </c>
      <c r="W22" s="6">
        <v>401010</v>
      </c>
      <c r="X22" s="6">
        <v>40101010</v>
      </c>
      <c r="Y22" s="7" t="s">
        <v>53</v>
      </c>
      <c r="Z22" s="7" t="s">
        <v>76</v>
      </c>
      <c r="AA22" s="7" t="s">
        <v>77</v>
      </c>
      <c r="AB22" s="6">
        <v>51.966602325439453</v>
      </c>
      <c r="AC22" s="6">
        <v>0.29394822150155103</v>
      </c>
      <c r="AD22" s="6">
        <v>2.8090352791592332</v>
      </c>
      <c r="AE22" s="6">
        <v>455174</v>
      </c>
      <c r="AF22" s="6">
        <v>496698</v>
      </c>
    </row>
    <row r="23" spans="1:32" s="4" customFormat="1" ht="12.75" x14ac:dyDescent="0.2">
      <c r="A23" s="7" t="s">
        <v>119</v>
      </c>
      <c r="B23" s="7" t="s">
        <v>120</v>
      </c>
      <c r="C23" s="7" t="s">
        <v>121</v>
      </c>
      <c r="D23" s="6">
        <v>1.672490000724792</v>
      </c>
      <c r="E23" s="6">
        <v>-0.85686421394348111</v>
      </c>
      <c r="F23" s="6">
        <v>0.35807001590728804</v>
      </c>
      <c r="G23" s="6">
        <v>-0.65162628889083907</v>
      </c>
      <c r="H23" s="6">
        <v>0.90280419588089011</v>
      </c>
      <c r="I23" s="6">
        <v>0.30071935057640103</v>
      </c>
      <c r="J23" s="6">
        <v>2.515244722366333</v>
      </c>
      <c r="K23" s="6">
        <v>-0.55637264251709007</v>
      </c>
      <c r="L23" s="6">
        <v>3.00003981590271</v>
      </c>
      <c r="M23" s="6">
        <v>-0.90218245983123802</v>
      </c>
      <c r="N23" s="6">
        <v>0.667078318998096</v>
      </c>
      <c r="O23" s="6"/>
      <c r="P23" s="6">
        <v>0.37948368755984602</v>
      </c>
      <c r="Q23" s="6"/>
      <c r="R23" s="6">
        <v>3.365765760884702</v>
      </c>
      <c r="S23" s="6"/>
      <c r="T23" s="6">
        <v>12.029619216918945</v>
      </c>
      <c r="U23" s="6" t="str">
        <f>_xll.BDP($A23,"TRAILING_12M_R&amp;D_%_SALES",$A$1,$A$2)</f>
        <v>#N/A N/A</v>
      </c>
      <c r="V23" s="6">
        <v>40</v>
      </c>
      <c r="W23" s="6">
        <v>401010</v>
      </c>
      <c r="X23" s="6">
        <v>40101010</v>
      </c>
      <c r="Y23" s="7" t="s">
        <v>53</v>
      </c>
      <c r="Z23" s="7" t="s">
        <v>76</v>
      </c>
      <c r="AA23" s="7" t="s">
        <v>77</v>
      </c>
      <c r="AB23" s="6">
        <v>51.966602325439453</v>
      </c>
      <c r="AC23" s="6">
        <v>0.501036346279225</v>
      </c>
      <c r="AD23" s="6">
        <v>7.1452501634150956</v>
      </c>
      <c r="AE23" s="6">
        <v>455174</v>
      </c>
      <c r="AF23" s="6">
        <v>496698</v>
      </c>
    </row>
    <row r="24" spans="1:32" s="4" customFormat="1" ht="12.75" x14ac:dyDescent="0.2">
      <c r="A24" s="7" t="s">
        <v>122</v>
      </c>
      <c r="B24" s="7" t="s">
        <v>123</v>
      </c>
      <c r="C24" s="7" t="s">
        <v>124</v>
      </c>
      <c r="D24" s="6">
        <v>-0.82267123460769709</v>
      </c>
      <c r="E24" s="6">
        <v>-0.76928317546844505</v>
      </c>
      <c r="F24" s="6">
        <v>0.12117291986942301</v>
      </c>
      <c r="G24" s="6">
        <v>-0.28448435664176902</v>
      </c>
      <c r="H24" s="6">
        <v>-0.83248859643936202</v>
      </c>
      <c r="I24" s="6">
        <v>1.072219133377075</v>
      </c>
      <c r="J24" s="6">
        <v>0.49893152713775601</v>
      </c>
      <c r="K24" s="6">
        <v>9.2326581478119008E-2</v>
      </c>
      <c r="L24" s="6">
        <v>-0.81727248430252109</v>
      </c>
      <c r="M24" s="6">
        <v>-0.72793751955032304</v>
      </c>
      <c r="N24" s="6">
        <v>2.6359071556825362</v>
      </c>
      <c r="O24" s="6">
        <v>2.0276450503377892</v>
      </c>
      <c r="P24" s="6">
        <v>2.1145281396806102</v>
      </c>
      <c r="Q24" s="6">
        <v>1.6634705741785689</v>
      </c>
      <c r="R24" s="6">
        <v>15.809400746693763</v>
      </c>
      <c r="S24" s="6">
        <v>11.54690739600683</v>
      </c>
      <c r="T24" s="6">
        <v>10.204281806945801</v>
      </c>
      <c r="U24" s="6" t="str">
        <f>_xll.BDP($A24,"TRAILING_12M_R&amp;D_%_SALES",$A$1,$A$2)</f>
        <v>#N/A N/A</v>
      </c>
      <c r="V24" s="6">
        <v>40</v>
      </c>
      <c r="W24" s="6">
        <v>403010</v>
      </c>
      <c r="X24" s="6">
        <v>40301040</v>
      </c>
      <c r="Y24" s="7" t="s">
        <v>53</v>
      </c>
      <c r="Z24" s="7" t="s">
        <v>54</v>
      </c>
      <c r="AA24" s="7" t="s">
        <v>125</v>
      </c>
      <c r="AB24" s="6">
        <v>40.579418182373047</v>
      </c>
      <c r="AC24" s="6">
        <v>0.74738357659723309</v>
      </c>
      <c r="AD24" s="6">
        <v>41.619662048642937</v>
      </c>
      <c r="AE24" s="6">
        <v>5200</v>
      </c>
      <c r="AF24" s="6">
        <v>1620</v>
      </c>
    </row>
    <row r="25" spans="1:32" s="4" customFormat="1" ht="12.75" x14ac:dyDescent="0.2">
      <c r="A25" s="7" t="s">
        <v>126</v>
      </c>
      <c r="B25" s="7" t="s">
        <v>127</v>
      </c>
      <c r="C25" s="7" t="s">
        <v>128</v>
      </c>
      <c r="D25" s="6">
        <v>-0.88431894779205311</v>
      </c>
      <c r="E25" s="6">
        <v>-0.85057741403579712</v>
      </c>
      <c r="F25" s="6">
        <v>1.012432932853699</v>
      </c>
      <c r="G25" s="6">
        <v>1.033831000328064</v>
      </c>
      <c r="H25" s="6">
        <v>0.59921950101852406</v>
      </c>
      <c r="I25" s="6">
        <v>-1.8281757831573001E-2</v>
      </c>
      <c r="J25" s="6">
        <v>1.701255202293396</v>
      </c>
      <c r="K25" s="6">
        <v>-0.18289536237716703</v>
      </c>
      <c r="L25" s="6">
        <v>-0.29219081997871404</v>
      </c>
      <c r="M25" s="6">
        <v>9.6936315298080014E-2</v>
      </c>
      <c r="N25" s="6">
        <v>0.17790974070447102</v>
      </c>
      <c r="O25" s="6"/>
      <c r="P25" s="6">
        <v>0.85817480172441107</v>
      </c>
      <c r="Q25" s="6"/>
      <c r="R25" s="6">
        <v>12.177788897222463</v>
      </c>
      <c r="S25" s="6"/>
      <c r="T25" s="6">
        <v>9.3562479019165039</v>
      </c>
      <c r="U25" s="6">
        <f>_xll.BDP($A25,"TRAILING_12M_R&amp;D_%_SALES",$A$1,$A$2)</f>
        <v>2.1849084456258008</v>
      </c>
      <c r="V25" s="6">
        <v>15</v>
      </c>
      <c r="W25" s="6">
        <v>151040</v>
      </c>
      <c r="X25" s="6">
        <v>15104010</v>
      </c>
      <c r="Y25" s="7" t="s">
        <v>38</v>
      </c>
      <c r="Z25" s="7" t="s">
        <v>71</v>
      </c>
      <c r="AA25" s="7" t="s">
        <v>129</v>
      </c>
      <c r="AB25" s="6">
        <v>55.829391479492188</v>
      </c>
      <c r="AC25" s="6">
        <v>0.78191032441603703</v>
      </c>
      <c r="AD25" s="6">
        <v>-24.028288524398832</v>
      </c>
      <c r="AE25" s="6">
        <v>60056</v>
      </c>
      <c r="AF25" s="6">
        <v>65755</v>
      </c>
    </row>
    <row r="26" spans="1:32" s="4" customFormat="1" ht="12.75" x14ac:dyDescent="0.2">
      <c r="A26" s="7" t="s">
        <v>130</v>
      </c>
      <c r="B26" s="7" t="s">
        <v>131</v>
      </c>
      <c r="C26" s="7" t="s">
        <v>132</v>
      </c>
      <c r="D26" s="6">
        <v>-0.73458456993103005</v>
      </c>
      <c r="E26" s="6">
        <v>-0.36940038204193104</v>
      </c>
      <c r="F26" s="6">
        <v>0.19161094725132002</v>
      </c>
      <c r="G26" s="6">
        <v>-0.267351895570755</v>
      </c>
      <c r="H26" s="6">
        <v>1.4407234191894531</v>
      </c>
      <c r="I26" s="6">
        <v>-7.6848834753035999E-2</v>
      </c>
      <c r="J26" s="6">
        <v>1.406408309936523</v>
      </c>
      <c r="K26" s="6">
        <v>5.6986186653376007E-2</v>
      </c>
      <c r="L26" s="6">
        <v>0.28993326425552401</v>
      </c>
      <c r="M26" s="6">
        <v>-2.6373507454991001E-2</v>
      </c>
      <c r="N26" s="6">
        <v>0.137325642100282</v>
      </c>
      <c r="O26" s="6">
        <v>0.14264956899905601</v>
      </c>
      <c r="P26" s="6">
        <v>4.6447774977771887</v>
      </c>
      <c r="Q26" s="6">
        <v>2.9108054345771803</v>
      </c>
      <c r="R26" s="6">
        <v>7.3248144095719034</v>
      </c>
      <c r="S26" s="6">
        <v>7.1109038201112016</v>
      </c>
      <c r="T26" s="6">
        <v>119.88478851318359</v>
      </c>
      <c r="U26" s="6" t="str">
        <f>_xll.BDP($A26,"TRAILING_12M_R&amp;D_%_SALES",$A$1,$A$2)</f>
        <v>#N/A N/A</v>
      </c>
      <c r="V26" s="6">
        <v>30</v>
      </c>
      <c r="W26" s="6">
        <v>301010</v>
      </c>
      <c r="X26" s="6">
        <v>30101030</v>
      </c>
      <c r="Y26" s="7" t="s">
        <v>91</v>
      </c>
      <c r="Z26" s="7" t="s">
        <v>133</v>
      </c>
      <c r="AA26" s="7" t="s">
        <v>134</v>
      </c>
      <c r="AB26" s="6">
        <v>35.147369384765625</v>
      </c>
      <c r="AC26" s="6">
        <v>0.60897866657411404</v>
      </c>
      <c r="AD26" s="6">
        <v>-7.2155702137430611</v>
      </c>
      <c r="AE26" s="6">
        <v>290000</v>
      </c>
      <c r="AF26" s="6">
        <v>273000</v>
      </c>
    </row>
    <row r="27" spans="1:32" s="4" customFormat="1" ht="12.75" x14ac:dyDescent="0.2">
      <c r="A27" s="7" t="s">
        <v>135</v>
      </c>
      <c r="B27" s="7" t="s">
        <v>136</v>
      </c>
      <c r="C27" s="7" t="s">
        <v>137</v>
      </c>
      <c r="D27" s="6">
        <v>0.23558235168457001</v>
      </c>
      <c r="E27" s="6">
        <v>0.41661483049392706</v>
      </c>
      <c r="F27" s="6">
        <v>0.11539987474679901</v>
      </c>
      <c r="G27" s="6">
        <v>-0.631616830825806</v>
      </c>
      <c r="H27" s="6">
        <v>-1.14835524559021</v>
      </c>
      <c r="I27" s="6">
        <v>-0.35845333337783802</v>
      </c>
      <c r="J27" s="6">
        <v>-0.19285400211811102</v>
      </c>
      <c r="K27" s="6">
        <v>0.49402317404747004</v>
      </c>
      <c r="L27" s="6">
        <v>8.6713926866650009E-3</v>
      </c>
      <c r="M27" s="6">
        <v>3.8788773119450004E-2</v>
      </c>
      <c r="N27" s="6">
        <v>2.7045347258500181</v>
      </c>
      <c r="O27" s="6">
        <v>2.6611477444539249</v>
      </c>
      <c r="P27" s="6">
        <v>7.3165123446298281</v>
      </c>
      <c r="Q27" s="6">
        <v>6.1588884931367263</v>
      </c>
      <c r="R27" s="6">
        <v>23.977692850966989</v>
      </c>
      <c r="S27" s="6">
        <v>22.528726616784798</v>
      </c>
      <c r="T27" s="6">
        <v>32.547664642333984</v>
      </c>
      <c r="U27" s="6" t="str">
        <f>_xll.BDP($A27,"TRAILING_12M_R&amp;D_%_SALES",$A$1,$A$2)</f>
        <v>#N/A N/A</v>
      </c>
      <c r="V27" s="6">
        <v>45</v>
      </c>
      <c r="W27" s="6">
        <v>451020</v>
      </c>
      <c r="X27" s="6">
        <v>45102010</v>
      </c>
      <c r="Y27" s="7" t="s">
        <v>66</v>
      </c>
      <c r="Z27" s="7" t="s">
        <v>138</v>
      </c>
      <c r="AA27" s="7" t="s">
        <v>139</v>
      </c>
      <c r="AB27" s="6">
        <v>55.748920440673828</v>
      </c>
      <c r="AC27" s="6">
        <v>1.1373199084699821</v>
      </c>
      <c r="AD27" s="6">
        <v>-34.638481176317214</v>
      </c>
      <c r="AE27" s="6">
        <v>721000</v>
      </c>
      <c r="AF27" s="6">
        <v>459000</v>
      </c>
    </row>
    <row r="28" spans="1:32" s="4" customFormat="1" ht="12.75" x14ac:dyDescent="0.2">
      <c r="A28" s="7" t="s">
        <v>140</v>
      </c>
      <c r="B28" s="7" t="s">
        <v>141</v>
      </c>
      <c r="C28" s="7" t="s">
        <v>142</v>
      </c>
      <c r="D28" s="6">
        <v>-0.93748587369918812</v>
      </c>
      <c r="E28" s="6">
        <v>-1.482239365577698</v>
      </c>
      <c r="F28" s="6">
        <v>0.5522992014884951</v>
      </c>
      <c r="G28" s="6">
        <v>-0.78663545846939109</v>
      </c>
      <c r="H28" s="6">
        <v>0.76224696636200007</v>
      </c>
      <c r="I28" s="6">
        <v>1.04076611995697</v>
      </c>
      <c r="J28" s="6">
        <v>-7.2177194058895E-2</v>
      </c>
      <c r="K28" s="6">
        <v>-1.3335138559341431</v>
      </c>
      <c r="L28" s="6">
        <v>1.4250985383987431</v>
      </c>
      <c r="M28" s="6">
        <v>-0.49054992198944103</v>
      </c>
      <c r="N28" s="6">
        <v>0.25223335368665101</v>
      </c>
      <c r="O28" s="6">
        <v>0.23527971882328702</v>
      </c>
      <c r="P28" s="6">
        <v>1.410749514486598</v>
      </c>
      <c r="Q28" s="6">
        <v>1.3038482919502921</v>
      </c>
      <c r="R28" s="6"/>
      <c r="S28" s="6">
        <v>13.116814968477144</v>
      </c>
      <c r="T28" s="6">
        <v>64.410881042480469</v>
      </c>
      <c r="U28" s="6" t="str">
        <f>_xll.BDP($A28,"TRAILING_12M_R&amp;D_%_SALES",$A$1,$A$2)</f>
        <v>#N/A N/A</v>
      </c>
      <c r="V28" s="6">
        <v>20</v>
      </c>
      <c r="W28" s="6">
        <v>201030</v>
      </c>
      <c r="X28" s="6">
        <v>20103010</v>
      </c>
      <c r="Y28" s="7" t="s">
        <v>43</v>
      </c>
      <c r="Z28" s="7" t="s">
        <v>143</v>
      </c>
      <c r="AA28" s="7" t="s">
        <v>143</v>
      </c>
      <c r="AB28" s="6">
        <v>67.679306030273438</v>
      </c>
      <c r="AC28" s="6">
        <v>0.43993071637133202</v>
      </c>
      <c r="AD28" s="6">
        <v>24.210449224580888</v>
      </c>
      <c r="AE28" s="6"/>
      <c r="AF28" s="6">
        <v>169766</v>
      </c>
    </row>
    <row r="29" spans="1:32" s="4" customFormat="1" ht="12.75" x14ac:dyDescent="0.2">
      <c r="A29" s="7" t="s">
        <v>144</v>
      </c>
      <c r="B29" s="7" t="s">
        <v>145</v>
      </c>
      <c r="C29" s="7" t="s">
        <v>146</v>
      </c>
      <c r="D29" s="6">
        <v>-0.93748587369918812</v>
      </c>
      <c r="E29" s="6">
        <v>-1.482239365577698</v>
      </c>
      <c r="F29" s="6">
        <v>0.5522992014884951</v>
      </c>
      <c r="G29" s="6">
        <v>-0.78663545846939109</v>
      </c>
      <c r="H29" s="6">
        <v>0.76224696636200007</v>
      </c>
      <c r="I29" s="6">
        <v>1.04076611995697</v>
      </c>
      <c r="J29" s="6">
        <v>-7.2177194058895E-2</v>
      </c>
      <c r="K29" s="6">
        <v>-1.3335138559341431</v>
      </c>
      <c r="L29" s="6">
        <v>1.4250985383987431</v>
      </c>
      <c r="M29" s="6">
        <v>-0.49054992198944103</v>
      </c>
      <c r="N29" s="6">
        <v>0.25223335368665101</v>
      </c>
      <c r="O29" s="6"/>
      <c r="P29" s="6">
        <v>1.410749514486598</v>
      </c>
      <c r="Q29" s="6"/>
      <c r="R29" s="6"/>
      <c r="S29" s="6"/>
      <c r="T29" s="6">
        <v>64.410881042480469</v>
      </c>
      <c r="U29" s="6" t="str">
        <f>_xll.BDP($A29,"TRAILING_12M_R&amp;D_%_SALES",$A$1,$A$2)</f>
        <v>#N/A N/A</v>
      </c>
      <c r="V29" s="6">
        <v>20</v>
      </c>
      <c r="W29" s="6">
        <v>201030</v>
      </c>
      <c r="X29" s="6">
        <v>20103010</v>
      </c>
      <c r="Y29" s="7" t="s">
        <v>43</v>
      </c>
      <c r="Z29" s="7" t="s">
        <v>143</v>
      </c>
      <c r="AA29" s="7" t="s">
        <v>143</v>
      </c>
      <c r="AB29" s="6">
        <v>67.679306030273438</v>
      </c>
      <c r="AC29" s="6">
        <v>0.80312773747452104</v>
      </c>
      <c r="AD29" s="6">
        <v>17.380467192712267</v>
      </c>
      <c r="AE29" s="6"/>
      <c r="AF29" s="6">
        <v>169766</v>
      </c>
    </row>
    <row r="30" spans="1:32" s="4" customFormat="1" ht="12.75" x14ac:dyDescent="0.2">
      <c r="A30" s="7" t="s">
        <v>147</v>
      </c>
      <c r="B30" s="7" t="s">
        <v>148</v>
      </c>
      <c r="C30" s="7" t="s">
        <v>149</v>
      </c>
      <c r="D30" s="6">
        <v>-0.23155418038368203</v>
      </c>
      <c r="E30" s="6">
        <v>1.2258938550949101</v>
      </c>
      <c r="F30" s="6">
        <v>0.51599377393722501</v>
      </c>
      <c r="G30" s="6">
        <v>-1.0795543901622E-2</v>
      </c>
      <c r="H30" s="6">
        <v>-0.79782879352569602</v>
      </c>
      <c r="I30" s="6">
        <v>-1.2937191724777219</v>
      </c>
      <c r="J30" s="6">
        <v>-0.36753201484680204</v>
      </c>
      <c r="K30" s="6">
        <v>0.38835564255714405</v>
      </c>
      <c r="L30" s="6">
        <v>-0.81727248430252109</v>
      </c>
      <c r="M30" s="6">
        <v>0.21056191623210901</v>
      </c>
      <c r="N30" s="6">
        <v>8.9774483375514027</v>
      </c>
      <c r="O30" s="6">
        <v>8.0343251375568983</v>
      </c>
      <c r="P30" s="6">
        <v>11.134638085185939</v>
      </c>
      <c r="Q30" s="6">
        <v>8.7596125074700382</v>
      </c>
      <c r="R30" s="6">
        <v>33.022705577822961</v>
      </c>
      <c r="S30" s="6">
        <v>21.728227619410372</v>
      </c>
      <c r="T30" s="6">
        <v>32.972824096679688</v>
      </c>
      <c r="U30" s="6">
        <f>_xll.BDP($A30,"TRAILING_12M_R&amp;D_%_SALES",$A$1,$A$2)</f>
        <v>18.339920948616601</v>
      </c>
      <c r="V30" s="6">
        <v>45</v>
      </c>
      <c r="W30" s="6">
        <v>451030</v>
      </c>
      <c r="X30" s="6">
        <v>45103010</v>
      </c>
      <c r="Y30" s="7" t="s">
        <v>66</v>
      </c>
      <c r="Z30" s="7" t="s">
        <v>150</v>
      </c>
      <c r="AA30" s="7" t="s">
        <v>151</v>
      </c>
      <c r="AB30" s="6">
        <v>66.733726501464844</v>
      </c>
      <c r="AC30" s="6">
        <v>1.2936159712358231</v>
      </c>
      <c r="AD30" s="6">
        <v>-41.014498536731068</v>
      </c>
      <c r="AE30" s="6">
        <v>29239</v>
      </c>
      <c r="AF30" s="6">
        <v>17973</v>
      </c>
    </row>
    <row r="31" spans="1:32" s="4" customFormat="1" ht="12.75" x14ac:dyDescent="0.2">
      <c r="A31" s="7" t="s">
        <v>152</v>
      </c>
      <c r="B31" s="7" t="s">
        <v>153</v>
      </c>
      <c r="C31" s="7" t="s">
        <v>154</v>
      </c>
      <c r="D31" s="6">
        <v>-0.81274944543838501</v>
      </c>
      <c r="E31" s="6">
        <v>-0.71642631292343106</v>
      </c>
      <c r="F31" s="6">
        <v>1.8661468029022221</v>
      </c>
      <c r="G31" s="6">
        <v>-0.56405603885650601</v>
      </c>
      <c r="H31" s="6">
        <v>-0.20676596462726601</v>
      </c>
      <c r="I31" s="6">
        <v>-1.5321623086929321</v>
      </c>
      <c r="J31" s="6">
        <v>-0.10817028582096101</v>
      </c>
      <c r="K31" s="6">
        <v>-0.73103976249694802</v>
      </c>
      <c r="L31" s="6">
        <v>0.45665076375007602</v>
      </c>
      <c r="M31" s="6">
        <v>0.21749395132064803</v>
      </c>
      <c r="N31" s="6">
        <v>1.058141019444321</v>
      </c>
      <c r="O31" s="6">
        <v>0.95918102382451109</v>
      </c>
      <c r="P31" s="6">
        <v>3.744123235043145</v>
      </c>
      <c r="Q31" s="6">
        <v>3.5455142461043589</v>
      </c>
      <c r="R31" s="6">
        <v>28.995371402597765</v>
      </c>
      <c r="S31" s="6">
        <v>27.248285475780328</v>
      </c>
      <c r="T31" s="6">
        <v>19.190383911132813</v>
      </c>
      <c r="U31" s="6" t="str">
        <f>_xll.BDP($A31,"TRAILING_12M_R&amp;D_%_SALES",$A$1,$A$2)</f>
        <v>#N/A N/A</v>
      </c>
      <c r="V31" s="6">
        <v>25</v>
      </c>
      <c r="W31" s="6">
        <v>252030</v>
      </c>
      <c r="X31" s="6">
        <v>25203010</v>
      </c>
      <c r="Y31" s="7" t="s">
        <v>108</v>
      </c>
      <c r="Z31" s="7" t="s">
        <v>155</v>
      </c>
      <c r="AA31" s="7" t="s">
        <v>156</v>
      </c>
      <c r="AB31" s="6">
        <v>56.533546447753906</v>
      </c>
      <c r="AC31" s="6">
        <v>0.94564901666907908</v>
      </c>
      <c r="AD31" s="6">
        <v>-52.382281638586988</v>
      </c>
      <c r="AE31" s="6">
        <v>61401</v>
      </c>
      <c r="AF31" s="6">
        <v>60617</v>
      </c>
    </row>
    <row r="32" spans="1:32" s="4" customFormat="1" ht="12.75" x14ac:dyDescent="0.2">
      <c r="A32" s="7" t="s">
        <v>157</v>
      </c>
      <c r="B32" s="7" t="s">
        <v>158</v>
      </c>
      <c r="C32" s="7" t="s">
        <v>159</v>
      </c>
      <c r="D32" s="6">
        <v>-0.81274944543838501</v>
      </c>
      <c r="E32" s="6">
        <v>-0.71642631292343106</v>
      </c>
      <c r="F32" s="6">
        <v>1.8661468029022221</v>
      </c>
      <c r="G32" s="6">
        <v>-0.56405603885650601</v>
      </c>
      <c r="H32" s="6">
        <v>-0.20676596462726601</v>
      </c>
      <c r="I32" s="6">
        <v>-1.5321623086929321</v>
      </c>
      <c r="J32" s="6">
        <v>-0.10817028582096101</v>
      </c>
      <c r="K32" s="6">
        <v>-0.73103976249694802</v>
      </c>
      <c r="L32" s="6">
        <v>0.45665076375007602</v>
      </c>
      <c r="M32" s="6">
        <v>0.21749395132064803</v>
      </c>
      <c r="N32" s="6">
        <v>1.058141019444321</v>
      </c>
      <c r="O32" s="6">
        <v>0.94536485649952806</v>
      </c>
      <c r="P32" s="6">
        <v>3.744123235043145</v>
      </c>
      <c r="Q32" s="6">
        <v>3.4944438498338668</v>
      </c>
      <c r="R32" s="6">
        <v>28.995371402597765</v>
      </c>
      <c r="S32" s="6">
        <v>26.855794797424501</v>
      </c>
      <c r="T32" s="6">
        <v>19.190383911132813</v>
      </c>
      <c r="U32" s="6" t="str">
        <f>_xll.BDP($A32,"TRAILING_12M_R&amp;D_%_SALES",$A$1,$A$2)</f>
        <v>#N/A N/A</v>
      </c>
      <c r="V32" s="6">
        <v>25</v>
      </c>
      <c r="W32" s="6">
        <v>252030</v>
      </c>
      <c r="X32" s="6">
        <v>25203010</v>
      </c>
      <c r="Y32" s="7" t="s">
        <v>108</v>
      </c>
      <c r="Z32" s="7" t="s">
        <v>155</v>
      </c>
      <c r="AA32" s="7" t="s">
        <v>156</v>
      </c>
      <c r="AB32" s="6">
        <v>56.533546447753906</v>
      </c>
      <c r="AC32" s="6">
        <v>1.2148234315588911</v>
      </c>
      <c r="AD32" s="6">
        <v>-51.767254032914323</v>
      </c>
      <c r="AE32" s="6">
        <v>61401</v>
      </c>
      <c r="AF32" s="6">
        <v>60617</v>
      </c>
    </row>
    <row r="33" spans="1:32" s="4" customFormat="1" ht="12.75" x14ac:dyDescent="0.2">
      <c r="A33" s="7" t="s">
        <v>160</v>
      </c>
      <c r="B33" s="7" t="s">
        <v>161</v>
      </c>
      <c r="C33" s="7" t="s">
        <v>162</v>
      </c>
      <c r="D33" s="6">
        <v>-0.33337518572807301</v>
      </c>
      <c r="E33" s="6">
        <v>-0.143601074814796</v>
      </c>
      <c r="F33" s="6">
        <v>-0.92019844055175803</v>
      </c>
      <c r="G33" s="6">
        <v>0.10276747494936</v>
      </c>
      <c r="H33" s="6">
        <v>-0.80856919288635309</v>
      </c>
      <c r="I33" s="6">
        <v>7.7574767172337009E-2</v>
      </c>
      <c r="J33" s="6">
        <v>-5.5154446512461007E-2</v>
      </c>
      <c r="K33" s="6">
        <v>8.7366648018360013E-2</v>
      </c>
      <c r="L33" s="6">
        <v>0.102797001600266</v>
      </c>
      <c r="M33" s="6">
        <v>-0.16775625944137601</v>
      </c>
      <c r="N33" s="6">
        <v>7.083958755952013</v>
      </c>
      <c r="O33" s="6">
        <v>6.8279184118220915</v>
      </c>
      <c r="P33" s="6">
        <v>2.29093841915026</v>
      </c>
      <c r="Q33" s="6">
        <v>2.2829018985903602</v>
      </c>
      <c r="R33" s="6">
        <v>16.82879531715496</v>
      </c>
      <c r="S33" s="6">
        <v>16.706640106888823</v>
      </c>
      <c r="T33" s="6">
        <v>7.3828630447387704</v>
      </c>
      <c r="U33" s="6">
        <f>_xll.BDP($A33,"TRAILING_12M_R&amp;D_%_SALES",$A$1,$A$2)</f>
        <v>16.056841850718605</v>
      </c>
      <c r="V33" s="6">
        <v>45</v>
      </c>
      <c r="W33" s="6">
        <v>453010</v>
      </c>
      <c r="X33" s="6">
        <v>45301020</v>
      </c>
      <c r="Y33" s="7" t="s">
        <v>66</v>
      </c>
      <c r="Z33" s="7" t="s">
        <v>163</v>
      </c>
      <c r="AA33" s="7" t="s">
        <v>164</v>
      </c>
      <c r="AB33" s="6">
        <v>65.41595458984375</v>
      </c>
      <c r="AC33" s="6">
        <v>1.193205835884477</v>
      </c>
      <c r="AD33" s="6">
        <v>-4.3836150848723499</v>
      </c>
      <c r="AE33" s="6">
        <v>24450</v>
      </c>
      <c r="AF33" s="6">
        <v>15300</v>
      </c>
    </row>
    <row r="34" spans="1:32" s="4" customFormat="1" ht="12.75" x14ac:dyDescent="0.2">
      <c r="A34" s="7" t="s">
        <v>165</v>
      </c>
      <c r="B34" s="7" t="s">
        <v>166</v>
      </c>
      <c r="C34" s="7" t="s">
        <v>167</v>
      </c>
      <c r="D34" s="6">
        <v>1.9078258192170002E-3</v>
      </c>
      <c r="E34" s="6">
        <v>-0.61739295721054099</v>
      </c>
      <c r="F34" s="6">
        <v>0.16684539616107902</v>
      </c>
      <c r="G34" s="6">
        <v>-0.28110682964325001</v>
      </c>
      <c r="H34" s="6">
        <v>-0.51600539684295699</v>
      </c>
      <c r="I34" s="6">
        <v>1.2318416833877559</v>
      </c>
      <c r="J34" s="6">
        <v>0.34303432703018205</v>
      </c>
      <c r="K34" s="6">
        <v>0.20403577387332902</v>
      </c>
      <c r="L34" s="6">
        <v>1.1771826073527001E-2</v>
      </c>
      <c r="M34" s="6">
        <v>1.03216016292572</v>
      </c>
      <c r="N34" s="6">
        <v>0.53174755337843105</v>
      </c>
      <c r="O34" s="6">
        <v>0.5103629616128661</v>
      </c>
      <c r="P34" s="6">
        <v>2.1242091510911409</v>
      </c>
      <c r="Q34" s="6">
        <v>2.0674008449716448</v>
      </c>
      <c r="R34" s="6">
        <v>12.534292104361715</v>
      </c>
      <c r="S34" s="6">
        <v>14.193976736567052</v>
      </c>
      <c r="T34" s="6">
        <v>17.852325439453125</v>
      </c>
      <c r="U34" s="6" t="str">
        <f>_xll.BDP($A34,"TRAILING_12M_R&amp;D_%_SALES",$A$1,$A$2)</f>
        <v>#N/A N/A</v>
      </c>
      <c r="V34" s="6">
        <v>30</v>
      </c>
      <c r="W34" s="6">
        <v>302020</v>
      </c>
      <c r="X34" s="6">
        <v>30202010</v>
      </c>
      <c r="Y34" s="7" t="s">
        <v>91</v>
      </c>
      <c r="Z34" s="7" t="s">
        <v>168</v>
      </c>
      <c r="AA34" s="7" t="s">
        <v>169</v>
      </c>
      <c r="AB34" s="6">
        <v>56.634140014648438</v>
      </c>
      <c r="AC34" s="6">
        <v>0.70865761117077808</v>
      </c>
      <c r="AD34" s="6">
        <v>41.477422267854472</v>
      </c>
      <c r="AE34" s="6">
        <v>39218</v>
      </c>
      <c r="AF34" s="6">
        <v>31800</v>
      </c>
    </row>
    <row r="35" spans="1:32" s="4" customFormat="1" ht="12.75" x14ac:dyDescent="0.2">
      <c r="A35" s="7" t="s">
        <v>170</v>
      </c>
      <c r="B35" s="7" t="s">
        <v>171</v>
      </c>
      <c r="C35" s="7" t="s">
        <v>172</v>
      </c>
      <c r="D35" s="6">
        <v>-0.22372825443744701</v>
      </c>
      <c r="E35" s="6">
        <v>1.77313244342804</v>
      </c>
      <c r="F35" s="6">
        <v>0.71868747472763106</v>
      </c>
      <c r="G35" s="6">
        <v>-0.50595247745513905</v>
      </c>
      <c r="H35" s="6">
        <v>-0.44112050533294705</v>
      </c>
      <c r="I35" s="6">
        <v>0.55384665727615401</v>
      </c>
      <c r="J35" s="6">
        <v>-0.45044389367103604</v>
      </c>
      <c r="K35" s="6">
        <v>-0.39330324530601501</v>
      </c>
      <c r="L35" s="6">
        <v>0.20247635245323201</v>
      </c>
      <c r="M35" s="6">
        <v>-0.86844587326049805</v>
      </c>
      <c r="N35" s="6">
        <v>5.901377623459986</v>
      </c>
      <c r="O35" s="6">
        <v>5.3395362530540451</v>
      </c>
      <c r="P35" s="6">
        <v>38.49201487318382</v>
      </c>
      <c r="Q35" s="6">
        <v>8.7823939849291719</v>
      </c>
      <c r="R35" s="6">
        <v>32.850478486353403</v>
      </c>
      <c r="S35" s="6">
        <v>27.946944994207417</v>
      </c>
      <c r="T35" s="6">
        <v>76.377532958984375</v>
      </c>
      <c r="U35" s="6">
        <f>_xll.BDP($A35,"TRAILING_12M_R&amp;D_%_SALES",$A$1,$A$2)</f>
        <v>0</v>
      </c>
      <c r="V35" s="6">
        <v>20</v>
      </c>
      <c r="W35" s="6">
        <v>202020</v>
      </c>
      <c r="X35" s="6">
        <v>20202010</v>
      </c>
      <c r="Y35" s="7" t="s">
        <v>43</v>
      </c>
      <c r="Z35" s="7" t="s">
        <v>173</v>
      </c>
      <c r="AA35" s="7" t="s">
        <v>174</v>
      </c>
      <c r="AB35" s="6">
        <v>49.642894744873047</v>
      </c>
      <c r="AC35" s="6">
        <v>0.95472232708644011</v>
      </c>
      <c r="AD35" s="6">
        <v>-0.87768038789460812</v>
      </c>
      <c r="AE35" s="6">
        <v>60000</v>
      </c>
      <c r="AF35" s="6">
        <v>58000</v>
      </c>
    </row>
    <row r="36" spans="1:32" s="4" customFormat="1" ht="12.75" x14ac:dyDescent="0.2">
      <c r="A36" s="7" t="s">
        <v>175</v>
      </c>
      <c r="B36" s="7" t="s">
        <v>176</v>
      </c>
      <c r="C36" s="7" t="s">
        <v>177</v>
      </c>
      <c r="D36" s="6">
        <v>-0.24026268720626801</v>
      </c>
      <c r="E36" s="6">
        <v>-0.70572799444198608</v>
      </c>
      <c r="F36" s="6">
        <v>-0.10656850785017001</v>
      </c>
      <c r="G36" s="6">
        <v>-0.75359225273132302</v>
      </c>
      <c r="H36" s="6">
        <v>0.49853724241256703</v>
      </c>
      <c r="I36" s="6">
        <v>0.10046426951885201</v>
      </c>
      <c r="J36" s="6">
        <v>0.95556652545929011</v>
      </c>
      <c r="K36" s="6">
        <v>-0.18666286766529103</v>
      </c>
      <c r="L36" s="6">
        <v>0.92090898752212502</v>
      </c>
      <c r="M36" s="6">
        <v>-0.52359277009964</v>
      </c>
      <c r="N36" s="6">
        <v>0.32136590713156105</v>
      </c>
      <c r="O36" s="6">
        <v>0.292929015337759</v>
      </c>
      <c r="P36" s="6">
        <v>1.66009990878345</v>
      </c>
      <c r="Q36" s="6">
        <v>1.6855814679359922</v>
      </c>
      <c r="R36" s="6">
        <v>11.39881368928477</v>
      </c>
      <c r="S36" s="6">
        <v>10.70055315239274</v>
      </c>
      <c r="T36" s="6">
        <v>16.328216552734375</v>
      </c>
      <c r="U36" s="6">
        <f>_xll.BDP($A36,"TRAILING_12M_R&amp;D_%_SALES",$A$1,$A$2)</f>
        <v>0</v>
      </c>
      <c r="V36" s="6">
        <v>30</v>
      </c>
      <c r="W36" s="6">
        <v>301010</v>
      </c>
      <c r="X36" s="6">
        <v>30101030</v>
      </c>
      <c r="Y36" s="7" t="s">
        <v>91</v>
      </c>
      <c r="Z36" s="7" t="s">
        <v>133</v>
      </c>
      <c r="AA36" s="7" t="s">
        <v>134</v>
      </c>
      <c r="AB36" s="6">
        <v>54.813400268554688</v>
      </c>
      <c r="AC36" s="6">
        <v>0.63459964587734108</v>
      </c>
      <c r="AD36" s="6">
        <v>-13.963255775763628</v>
      </c>
      <c r="AE36" s="6">
        <v>259000</v>
      </c>
      <c r="AF36" s="6">
        <v>225000</v>
      </c>
    </row>
    <row r="37" spans="1:32" s="4" customFormat="1" ht="12.75" x14ac:dyDescent="0.2">
      <c r="A37" s="7" t="s">
        <v>178</v>
      </c>
      <c r="B37" s="7" t="s">
        <v>179</v>
      </c>
      <c r="C37" s="7" t="s">
        <v>180</v>
      </c>
      <c r="D37" s="6">
        <v>-0.91661316156387307</v>
      </c>
      <c r="E37" s="6">
        <v>-0.71964740753173806</v>
      </c>
      <c r="F37" s="6">
        <v>-0.33285954594612105</v>
      </c>
      <c r="G37" s="6">
        <v>-0.30820357799530002</v>
      </c>
      <c r="H37" s="6">
        <v>0.83839547634124811</v>
      </c>
      <c r="I37" s="6">
        <v>0.34766745567321805</v>
      </c>
      <c r="J37" s="6">
        <v>4.5673590153456005E-2</v>
      </c>
      <c r="K37" s="6">
        <v>-0.60021549463272106</v>
      </c>
      <c r="L37" s="6">
        <v>0.46357673406601002</v>
      </c>
      <c r="M37" s="6">
        <v>-0.95154511928558305</v>
      </c>
      <c r="N37" s="6">
        <v>3.0776332742707</v>
      </c>
      <c r="O37" s="6">
        <v>3.2126703752611339</v>
      </c>
      <c r="P37" s="6">
        <v>2.2532909287758098</v>
      </c>
      <c r="Q37" s="6">
        <v>2.07499918475837</v>
      </c>
      <c r="R37" s="6">
        <v>22.285713607079238</v>
      </c>
      <c r="S37" s="6">
        <v>20.410972499247855</v>
      </c>
      <c r="T37" s="6">
        <v>10.419390678405762</v>
      </c>
      <c r="U37" s="6" t="str">
        <f>_xll.BDP($A37,"TRAILING_12M_R&amp;D_%_SALES",$A$1,$A$2)</f>
        <v>#N/A N/A</v>
      </c>
      <c r="V37" s="6">
        <v>55</v>
      </c>
      <c r="W37" s="6">
        <v>551030</v>
      </c>
      <c r="X37" s="6">
        <v>55103010</v>
      </c>
      <c r="Y37" s="7" t="s">
        <v>181</v>
      </c>
      <c r="Z37" s="7" t="s">
        <v>182</v>
      </c>
      <c r="AA37" s="7" t="s">
        <v>182</v>
      </c>
      <c r="AB37" s="6">
        <v>61.824764251708984</v>
      </c>
      <c r="AC37" s="6">
        <v>0.656891814714194</v>
      </c>
      <c r="AD37" s="6">
        <v>2.482024857882736</v>
      </c>
      <c r="AE37" s="6">
        <v>9116</v>
      </c>
      <c r="AF37" s="6">
        <v>8629</v>
      </c>
    </row>
    <row r="38" spans="1:32" s="4" customFormat="1" ht="12.75" x14ac:dyDescent="0.2">
      <c r="A38" s="7" t="s">
        <v>183</v>
      </c>
      <c r="B38" s="7" t="s">
        <v>184</v>
      </c>
      <c r="C38" s="7" t="s">
        <v>185</v>
      </c>
      <c r="D38" s="6">
        <v>-0.23865716159343703</v>
      </c>
      <c r="E38" s="6">
        <v>-0.72285270690918002</v>
      </c>
      <c r="F38" s="6">
        <v>3.8202568888664003E-2</v>
      </c>
      <c r="G38" s="6">
        <v>-0.17862287163734403</v>
      </c>
      <c r="H38" s="6">
        <v>0.96045243740081809</v>
      </c>
      <c r="I38" s="6">
        <v>0.70154249668121305</v>
      </c>
      <c r="J38" s="6">
        <v>0.18907532095909102</v>
      </c>
      <c r="K38" s="6">
        <v>-0.72352337837219205</v>
      </c>
      <c r="L38" s="6">
        <v>0.87160527706146207</v>
      </c>
      <c r="M38" s="6">
        <v>-0.95876014232635509</v>
      </c>
      <c r="N38" s="6">
        <v>2.5715117602763513</v>
      </c>
      <c r="O38" s="6">
        <v>2.6661847661223872</v>
      </c>
      <c r="P38" s="6">
        <v>2.0032716400478039</v>
      </c>
      <c r="Q38" s="6">
        <v>1.9467018292325411</v>
      </c>
      <c r="R38" s="6">
        <v>19.234500599941409</v>
      </c>
      <c r="S38" s="6">
        <v>17.921903325460608</v>
      </c>
      <c r="T38" s="6">
        <v>10.542386054992676</v>
      </c>
      <c r="U38" s="6" t="str">
        <f>_xll.BDP($A38,"TRAILING_12M_R&amp;D_%_SALES",$A$1,$A$2)</f>
        <v>#N/A N/A</v>
      </c>
      <c r="V38" s="6">
        <v>55</v>
      </c>
      <c r="W38" s="6">
        <v>551010</v>
      </c>
      <c r="X38" s="6">
        <v>55101010</v>
      </c>
      <c r="Y38" s="7" t="s">
        <v>181</v>
      </c>
      <c r="Z38" s="7" t="s">
        <v>186</v>
      </c>
      <c r="AA38" s="7" t="s">
        <v>186</v>
      </c>
      <c r="AB38" s="6">
        <v>71.31072998046875</v>
      </c>
      <c r="AC38" s="6">
        <v>0.6748851860688001</v>
      </c>
      <c r="AD38" s="6">
        <v>10.718259863885059</v>
      </c>
      <c r="AE38" s="6">
        <v>16688</v>
      </c>
      <c r="AF38" s="6">
        <v>17634</v>
      </c>
    </row>
    <row r="39" spans="1:32" s="4" customFormat="1" ht="12.75" x14ac:dyDescent="0.2">
      <c r="A39" s="7" t="s">
        <v>187</v>
      </c>
      <c r="B39" s="7" t="s">
        <v>188</v>
      </c>
      <c r="C39" s="7" t="s">
        <v>189</v>
      </c>
      <c r="D39" s="6">
        <v>-0.93997693061828602</v>
      </c>
      <c r="E39" s="6">
        <v>-1.065927386283875</v>
      </c>
      <c r="F39" s="6">
        <v>0.42093962430954002</v>
      </c>
      <c r="G39" s="6">
        <v>-0.27038052678108204</v>
      </c>
      <c r="H39" s="6">
        <v>2.2032849788665771</v>
      </c>
      <c r="I39" s="6">
        <v>0.28072464466095004</v>
      </c>
      <c r="J39" s="6">
        <v>0.93586939573288008</v>
      </c>
      <c r="K39" s="6">
        <v>-0.7469263076782231</v>
      </c>
      <c r="L39" s="6">
        <v>-0.81727248430252109</v>
      </c>
      <c r="M39" s="6">
        <v>-0.64001232385635409</v>
      </c>
      <c r="N39" s="6">
        <v>2.0963564735062561</v>
      </c>
      <c r="O39" s="6">
        <v>1.967715054543584</v>
      </c>
      <c r="P39" s="6">
        <v>0.92111930158939404</v>
      </c>
      <c r="Q39" s="6">
        <v>0.75374568507905104</v>
      </c>
      <c r="R39" s="6">
        <v>9.0099805211856374</v>
      </c>
      <c r="S39" s="6">
        <v>7.4069485161236024</v>
      </c>
      <c r="T39" s="6">
        <v>-8.9073219299316406</v>
      </c>
      <c r="U39" s="6" t="str">
        <f>_xll.BDP($A39,"TRAILING_12M_R&amp;D_%_SALES",$A$1,$A$2)</f>
        <v>#N/A N/A</v>
      </c>
      <c r="V39" s="6">
        <v>20</v>
      </c>
      <c r="W39" s="6">
        <v>201070</v>
      </c>
      <c r="X39" s="6">
        <v>20107010</v>
      </c>
      <c r="Y39" s="7" t="s">
        <v>43</v>
      </c>
      <c r="Z39" s="7" t="s">
        <v>44</v>
      </c>
      <c r="AA39" s="7" t="s">
        <v>44</v>
      </c>
      <c r="AB39" s="6">
        <v>50.789657592773438</v>
      </c>
      <c r="AC39" s="6">
        <v>1.1535322377682591</v>
      </c>
      <c r="AD39" s="6">
        <v>-10.648073089767019</v>
      </c>
      <c r="AE39" s="6">
        <v>730</v>
      </c>
      <c r="AF39" s="6">
        <v>398</v>
      </c>
    </row>
    <row r="40" spans="1:32" s="4" customFormat="1" ht="12.75" x14ac:dyDescent="0.2">
      <c r="A40" s="7" t="s">
        <v>190</v>
      </c>
      <c r="B40" s="7" t="s">
        <v>191</v>
      </c>
      <c r="C40" s="7" t="s">
        <v>192</v>
      </c>
      <c r="D40" s="6">
        <v>-0.87390422821044911</v>
      </c>
      <c r="E40" s="6">
        <v>-1.4402381181716921</v>
      </c>
      <c r="F40" s="6">
        <v>0.48071566224098206</v>
      </c>
      <c r="G40" s="6">
        <v>0.18672414124012002</v>
      </c>
      <c r="H40" s="6">
        <v>1.7142835855484011</v>
      </c>
      <c r="I40" s="6">
        <v>0.80655902624130205</v>
      </c>
      <c r="J40" s="6">
        <v>-0.16033735871315002</v>
      </c>
      <c r="K40" s="6">
        <v>-0.81427681446075406</v>
      </c>
      <c r="L40" s="6">
        <v>0.319410920143127</v>
      </c>
      <c r="M40" s="6">
        <v>-0.82710593938827504</v>
      </c>
      <c r="N40" s="6">
        <v>1.580080836701224</v>
      </c>
      <c r="O40" s="6">
        <v>1.678704641734255</v>
      </c>
      <c r="P40" s="6">
        <v>7.4718921186982721</v>
      </c>
      <c r="Q40" s="6">
        <v>4.1983854100034907</v>
      </c>
      <c r="R40" s="6">
        <v>16.345339001047183</v>
      </c>
      <c r="S40" s="6">
        <v>16.437139925925266</v>
      </c>
      <c r="T40" s="6">
        <v>-10.978043556213379</v>
      </c>
      <c r="U40" s="6">
        <f>_xll.BDP($A40,"TRAILING_12M_R&amp;D_%_SALES",$A$1,$A$2)</f>
        <v>0</v>
      </c>
      <c r="V40" s="6">
        <v>55</v>
      </c>
      <c r="W40" s="6">
        <v>551050</v>
      </c>
      <c r="X40" s="6">
        <v>55105010</v>
      </c>
      <c r="Y40" s="7" t="s">
        <v>181</v>
      </c>
      <c r="Z40" s="7" t="s">
        <v>193</v>
      </c>
      <c r="AA40" s="7" t="s">
        <v>194</v>
      </c>
      <c r="AB40" s="6">
        <v>72.256309509277344</v>
      </c>
      <c r="AC40" s="6">
        <v>1.0218676981790831</v>
      </c>
      <c r="AD40" s="6">
        <v>22.330992266431203</v>
      </c>
      <c r="AE40" s="6">
        <v>8450</v>
      </c>
      <c r="AF40" s="6">
        <v>19000</v>
      </c>
    </row>
    <row r="41" spans="1:32" s="4" customFormat="1" ht="12.75" x14ac:dyDescent="0.2">
      <c r="A41" s="7" t="s">
        <v>195</v>
      </c>
      <c r="B41" s="7" t="s">
        <v>196</v>
      </c>
      <c r="C41" s="7" t="s">
        <v>197</v>
      </c>
      <c r="D41" s="6">
        <v>-0.154474332928658</v>
      </c>
      <c r="E41" s="6">
        <v>-0.51977133750915505</v>
      </c>
      <c r="F41" s="6">
        <v>-0.19724172353744501</v>
      </c>
      <c r="G41" s="6">
        <v>-0.44463577866554305</v>
      </c>
      <c r="H41" s="6">
        <v>-0.69516664743423506</v>
      </c>
      <c r="I41" s="6">
        <v>0.82944619655609109</v>
      </c>
      <c r="J41" s="6">
        <v>0.48118123412132302</v>
      </c>
      <c r="K41" s="6">
        <v>-1.231462955474854</v>
      </c>
      <c r="L41" s="6">
        <v>0.32300847768783603</v>
      </c>
      <c r="M41" s="6">
        <v>-1.0097358226776121</v>
      </c>
      <c r="N41" s="6">
        <v>2.21737321385188</v>
      </c>
      <c r="O41" s="6">
        <v>2.4982301140604042</v>
      </c>
      <c r="P41" s="6">
        <v>1.858275301562877</v>
      </c>
      <c r="Q41" s="6">
        <v>1.7465032515862631</v>
      </c>
      <c r="R41" s="6">
        <v>14.970568136163752</v>
      </c>
      <c r="S41" s="6">
        <v>13.254776505746952</v>
      </c>
      <c r="T41" s="6">
        <v>17.593233108520508</v>
      </c>
      <c r="U41" s="6" t="str">
        <f>_xll.BDP($A41,"TRAILING_12M_R&amp;D_%_SALES",$A$1,$A$2)</f>
        <v>#N/A N/A</v>
      </c>
      <c r="V41" s="6">
        <v>40</v>
      </c>
      <c r="W41" s="6">
        <v>403010</v>
      </c>
      <c r="X41" s="6">
        <v>40301020</v>
      </c>
      <c r="Y41" s="7" t="s">
        <v>53</v>
      </c>
      <c r="Z41" s="7" t="s">
        <v>54</v>
      </c>
      <c r="AA41" s="7" t="s">
        <v>55</v>
      </c>
      <c r="AB41" s="6">
        <v>48.84820556640625</v>
      </c>
      <c r="AC41" s="6">
        <v>0.77920538000587403</v>
      </c>
      <c r="AD41" s="6">
        <v>25.995248848206121</v>
      </c>
      <c r="AE41" s="6">
        <v>12447</v>
      </c>
      <c r="AF41" s="6">
        <v>10212</v>
      </c>
    </row>
    <row r="42" spans="1:32" s="4" customFormat="1" ht="12.75" x14ac:dyDescent="0.2">
      <c r="A42" s="7" t="s">
        <v>198</v>
      </c>
      <c r="B42" s="7" t="s">
        <v>199</v>
      </c>
      <c r="C42" s="7" t="s">
        <v>200</v>
      </c>
      <c r="D42" s="6">
        <v>-0.89233809709549006</v>
      </c>
      <c r="E42" s="6">
        <v>-0.74617975950241111</v>
      </c>
      <c r="F42" s="6">
        <v>0.62012237310409501</v>
      </c>
      <c r="G42" s="6">
        <v>-0.82000637054443404</v>
      </c>
      <c r="H42" s="6">
        <v>0.195135548710823</v>
      </c>
      <c r="I42" s="6">
        <v>0.23228055238723802</v>
      </c>
      <c r="J42" s="6">
        <v>0.69791328907012906</v>
      </c>
      <c r="K42" s="6">
        <v>-0.93384855985641513</v>
      </c>
      <c r="L42" s="6">
        <v>0.92183309793472312</v>
      </c>
      <c r="M42" s="6">
        <v>-1.004199147224426</v>
      </c>
      <c r="N42" s="6">
        <v>0.72021302856133107</v>
      </c>
      <c r="O42" s="6">
        <v>0.62479429738274594</v>
      </c>
      <c r="P42" s="6">
        <v>0.84341420593917804</v>
      </c>
      <c r="Q42" s="6">
        <v>0.725215172803784</v>
      </c>
      <c r="R42" s="6">
        <v>7.6736827338315079</v>
      </c>
      <c r="S42" s="6">
        <v>7.2583631414479948</v>
      </c>
      <c r="T42" s="6">
        <v>9.7911672592163086</v>
      </c>
      <c r="U42" s="6" t="str">
        <f>_xll.BDP($A42,"TRAILING_12M_R&amp;D_%_SALES",$A$1,$A$2)</f>
        <v>#N/A N/A</v>
      </c>
      <c r="V42" s="6">
        <v>40</v>
      </c>
      <c r="W42" s="6">
        <v>403010</v>
      </c>
      <c r="X42" s="6">
        <v>40301030</v>
      </c>
      <c r="Y42" s="7" t="s">
        <v>53</v>
      </c>
      <c r="Z42" s="7" t="s">
        <v>54</v>
      </c>
      <c r="AA42" s="7" t="s">
        <v>201</v>
      </c>
      <c r="AB42" s="6">
        <v>44.5025634765625</v>
      </c>
      <c r="AC42" s="6">
        <v>0.46866228121497405</v>
      </c>
      <c r="AD42" s="6">
        <v>-12.638428224521082</v>
      </c>
      <c r="AE42" s="6">
        <v>10101</v>
      </c>
      <c r="AF42" s="6">
        <v>12080</v>
      </c>
    </row>
    <row r="43" spans="1:32" s="4" customFormat="1" ht="12.75" x14ac:dyDescent="0.2">
      <c r="A43" s="7" t="s">
        <v>202</v>
      </c>
      <c r="B43" s="7" t="s">
        <v>203</v>
      </c>
      <c r="C43" s="7" t="s">
        <v>204</v>
      </c>
      <c r="D43" s="6">
        <v>-0.89233809709549006</v>
      </c>
      <c r="E43" s="6">
        <v>-0.74617975950241111</v>
      </c>
      <c r="F43" s="6">
        <v>0.62012237310409501</v>
      </c>
      <c r="G43" s="6">
        <v>-0.82000637054443404</v>
      </c>
      <c r="H43" s="6">
        <v>0.195135548710823</v>
      </c>
      <c r="I43" s="6">
        <v>0.23228055238723802</v>
      </c>
      <c r="J43" s="6">
        <v>0.69791328907012906</v>
      </c>
      <c r="K43" s="6">
        <v>-0.93384855985641513</v>
      </c>
      <c r="L43" s="6">
        <v>0.92183309793472312</v>
      </c>
      <c r="M43" s="6">
        <v>-1.004199147224426</v>
      </c>
      <c r="N43" s="6">
        <v>0.72021302856133107</v>
      </c>
      <c r="O43" s="6">
        <v>0.643429796624154</v>
      </c>
      <c r="P43" s="6">
        <v>0.84341420593917804</v>
      </c>
      <c r="Q43" s="6">
        <v>0.73593762652297701</v>
      </c>
      <c r="R43" s="6">
        <v>7.6736827338315079</v>
      </c>
      <c r="S43" s="6">
        <v>7.365679381877098</v>
      </c>
      <c r="T43" s="6">
        <v>9.7911672592163086</v>
      </c>
      <c r="U43" s="6" t="str">
        <f>_xll.BDP($A43,"TRAILING_12M_R&amp;D_%_SALES",$A$1,$A$2)</f>
        <v>#N/A N/A</v>
      </c>
      <c r="V43" s="6">
        <v>40</v>
      </c>
      <c r="W43" s="6">
        <v>403010</v>
      </c>
      <c r="X43" s="6">
        <v>40301030</v>
      </c>
      <c r="Y43" s="7" t="s">
        <v>53</v>
      </c>
      <c r="Z43" s="7" t="s">
        <v>54</v>
      </c>
      <c r="AA43" s="7" t="s">
        <v>201</v>
      </c>
      <c r="AB43" s="6">
        <v>44.5025634765625</v>
      </c>
      <c r="AC43" s="6">
        <v>0.9092700864510691</v>
      </c>
      <c r="AD43" s="6">
        <v>-3.751610955137918</v>
      </c>
      <c r="AE43" s="6">
        <v>10101</v>
      </c>
      <c r="AF43" s="6">
        <v>12080</v>
      </c>
    </row>
    <row r="44" spans="1:32" s="4" customFormat="1" ht="12.75" x14ac:dyDescent="0.2">
      <c r="A44" s="7" t="s">
        <v>205</v>
      </c>
      <c r="B44" s="7" t="s">
        <v>206</v>
      </c>
      <c r="C44" s="7" t="s">
        <v>207</v>
      </c>
      <c r="D44" s="6">
        <v>-0.99914509057998713</v>
      </c>
      <c r="E44" s="6">
        <v>-0.89892232418060303</v>
      </c>
      <c r="F44" s="6">
        <v>0.39175471663475003</v>
      </c>
      <c r="G44" s="6">
        <v>-0.96676498651504505</v>
      </c>
      <c r="H44" s="6">
        <v>4.5026008039713003E-2</v>
      </c>
      <c r="I44" s="6">
        <v>-8.6775772273540011E-2</v>
      </c>
      <c r="J44" s="6">
        <v>0.45144009590148904</v>
      </c>
      <c r="K44" s="6">
        <v>-0.61114072799682606</v>
      </c>
      <c r="L44" s="6">
        <v>1.1691546440124509</v>
      </c>
      <c r="M44" s="6">
        <v>-0.97479665279388406</v>
      </c>
      <c r="N44" s="6">
        <v>2.1598442459045661</v>
      </c>
      <c r="O44" s="6">
        <v>2.1418405044588078</v>
      </c>
      <c r="P44" s="6">
        <v>0.85872097325910801</v>
      </c>
      <c r="Q44" s="6">
        <v>0.80552417231626106</v>
      </c>
      <c r="R44" s="6">
        <v>18.14162676072133</v>
      </c>
      <c r="S44" s="6">
        <v>18.895978519537213</v>
      </c>
      <c r="T44" s="6">
        <v>4.6706371307373047</v>
      </c>
      <c r="U44" s="6" t="str">
        <f>_xll.BDP($A44,"TRAILING_12M_R&amp;D_%_SALES",$A$1,$A$2)</f>
        <v>#N/A N/A</v>
      </c>
      <c r="V44" s="6">
        <v>55</v>
      </c>
      <c r="W44" s="6">
        <v>551010</v>
      </c>
      <c r="X44" s="6">
        <v>55101010</v>
      </c>
      <c r="Y44" s="7" t="s">
        <v>181</v>
      </c>
      <c r="Z44" s="7" t="s">
        <v>186</v>
      </c>
      <c r="AA44" s="7" t="s">
        <v>186</v>
      </c>
      <c r="AB44" s="6">
        <v>59.651947021484375</v>
      </c>
      <c r="AC44" s="6">
        <v>0.64446687134666203</v>
      </c>
      <c r="AD44" s="6">
        <v>-11.142316551665887</v>
      </c>
      <c r="AE44" s="6">
        <v>7348</v>
      </c>
      <c r="AF44" s="6">
        <v>6801</v>
      </c>
    </row>
    <row r="45" spans="1:32" s="4" customFormat="1" ht="12.75" x14ac:dyDescent="0.2">
      <c r="A45" s="7" t="s">
        <v>208</v>
      </c>
      <c r="B45" s="7" t="s">
        <v>209</v>
      </c>
      <c r="C45" s="7" t="s">
        <v>210</v>
      </c>
      <c r="D45" s="6">
        <v>-0.91716909408569303</v>
      </c>
      <c r="E45" s="6">
        <v>-0.74048888683319103</v>
      </c>
      <c r="F45" s="6">
        <v>1.5223004817962651</v>
      </c>
      <c r="G45" s="6">
        <v>-0.62236207723617609</v>
      </c>
      <c r="H45" s="6">
        <v>0.65012234449386608</v>
      </c>
      <c r="I45" s="6">
        <v>0.88633906841278109</v>
      </c>
      <c r="J45" s="6">
        <v>1.2452347278594971</v>
      </c>
      <c r="K45" s="6">
        <v>-0.705402731895447</v>
      </c>
      <c r="L45" s="6">
        <v>1.9447827339172361</v>
      </c>
      <c r="M45" s="6">
        <v>-0.97917169332504306</v>
      </c>
      <c r="N45" s="6">
        <v>1.1789902472413729</v>
      </c>
      <c r="O45" s="6"/>
      <c r="P45" s="6">
        <v>1.261348200200447</v>
      </c>
      <c r="Q45" s="6"/>
      <c r="R45" s="6">
        <v>7.9431406806533431</v>
      </c>
      <c r="S45" s="6"/>
      <c r="T45" s="6">
        <v>15.951325416564941</v>
      </c>
      <c r="U45" s="6" t="str">
        <f>_xll.BDP($A45,"TRAILING_12M_R&amp;D_%_SALES",$A$1,$A$2)</f>
        <v>#N/A N/A</v>
      </c>
      <c r="V45" s="6">
        <v>40</v>
      </c>
      <c r="W45" s="6">
        <v>401010</v>
      </c>
      <c r="X45" s="6">
        <v>40101010</v>
      </c>
      <c r="Y45" s="7" t="s">
        <v>53</v>
      </c>
      <c r="Z45" s="7" t="s">
        <v>76</v>
      </c>
      <c r="AA45" s="7" t="s">
        <v>77</v>
      </c>
      <c r="AB45" s="6">
        <v>60.818832397460938</v>
      </c>
      <c r="AC45" s="6">
        <v>0.38000428493775301</v>
      </c>
      <c r="AD45" s="6"/>
      <c r="AE45" s="6">
        <v>35267</v>
      </c>
      <c r="AF45" s="6">
        <v>41241</v>
      </c>
    </row>
    <row r="46" spans="1:32" s="4" customFormat="1" ht="12.75" x14ac:dyDescent="0.2">
      <c r="A46" s="7" t="s">
        <v>211</v>
      </c>
      <c r="B46" s="7" t="s">
        <v>212</v>
      </c>
      <c r="C46" s="7" t="s">
        <v>213</v>
      </c>
      <c r="D46" s="6">
        <v>-0.86617892980575606</v>
      </c>
      <c r="E46" s="6">
        <v>-0.72469615936279308</v>
      </c>
      <c r="F46" s="6">
        <v>1.3161264657974241</v>
      </c>
      <c r="G46" s="6">
        <v>-0.607652068138123</v>
      </c>
      <c r="H46" s="6">
        <v>0.61700630187988303</v>
      </c>
      <c r="I46" s="6">
        <v>0.96432590484619107</v>
      </c>
      <c r="J46" s="6">
        <v>1.205224275588989</v>
      </c>
      <c r="K46" s="6">
        <v>-0.63477617502212502</v>
      </c>
      <c r="L46" s="6">
        <v>1.9670710563659672</v>
      </c>
      <c r="M46" s="6">
        <v>-0.97715598344802912</v>
      </c>
      <c r="N46" s="6">
        <v>1.1789902472413729</v>
      </c>
      <c r="O46" s="6"/>
      <c r="P46" s="6">
        <v>1.261348200200447</v>
      </c>
      <c r="Q46" s="6"/>
      <c r="R46" s="6">
        <v>7.9431406806533431</v>
      </c>
      <c r="S46" s="6"/>
      <c r="T46" s="6">
        <v>15.951325416564941</v>
      </c>
      <c r="U46" s="6" t="str">
        <f>_xll.BDP($A46,"TRAILING_12M_R&amp;D_%_SALES",$A$1,$A$2)</f>
        <v>#N/A N/A</v>
      </c>
      <c r="V46" s="6">
        <v>40</v>
      </c>
      <c r="W46" s="6">
        <v>401010</v>
      </c>
      <c r="X46" s="6">
        <v>40101010</v>
      </c>
      <c r="Y46" s="7" t="s">
        <v>53</v>
      </c>
      <c r="Z46" s="7" t="s">
        <v>76</v>
      </c>
      <c r="AA46" s="7" t="s">
        <v>77</v>
      </c>
      <c r="AB46" s="6">
        <v>60.818832397460938</v>
      </c>
      <c r="AC46" s="6">
        <v>0.51922355658777208</v>
      </c>
      <c r="AD46" s="6">
        <v>29.548469200987082</v>
      </c>
      <c r="AE46" s="6">
        <v>35267</v>
      </c>
      <c r="AF46" s="6">
        <v>41241</v>
      </c>
    </row>
    <row r="47" spans="1:32" s="4" customFormat="1" ht="12.75" x14ac:dyDescent="0.2">
      <c r="A47" s="7" t="s">
        <v>214</v>
      </c>
      <c r="B47" s="7" t="s">
        <v>215</v>
      </c>
      <c r="C47" s="7" t="s">
        <v>216</v>
      </c>
      <c r="D47" s="6">
        <v>-0.78099244832992609</v>
      </c>
      <c r="E47" s="6">
        <v>-0.34081447124481201</v>
      </c>
      <c r="F47" s="6">
        <v>2.4275496006011958</v>
      </c>
      <c r="G47" s="6">
        <v>-0.26815301179885903</v>
      </c>
      <c r="H47" s="6">
        <v>-1.2173919677734379</v>
      </c>
      <c r="I47" s="6">
        <v>-0.24664483964443201</v>
      </c>
      <c r="J47" s="6">
        <v>2.0206811428070068</v>
      </c>
      <c r="K47" s="6">
        <v>-0.40669441223144503</v>
      </c>
      <c r="L47" s="6">
        <v>3.00003981590271</v>
      </c>
      <c r="M47" s="6">
        <v>-0.28250992298126204</v>
      </c>
      <c r="N47" s="6">
        <v>0.9722908978272421</v>
      </c>
      <c r="O47" s="6">
        <v>1.0926128789227361</v>
      </c>
      <c r="P47" s="6">
        <v>0.70821468413385802</v>
      </c>
      <c r="Q47" s="6">
        <v>0.625088445560394</v>
      </c>
      <c r="R47" s="6">
        <v>5.4906406640297982</v>
      </c>
      <c r="S47" s="6">
        <v>6.3406450298687105</v>
      </c>
      <c r="T47" s="6">
        <v>13.188920974731445</v>
      </c>
      <c r="U47" s="6">
        <f>_xll.BDP($A47,"TRAILING_12M_R&amp;D_%_SALES",$A$1,$A$2)</f>
        <v>1.3167822958448492</v>
      </c>
      <c r="V47" s="6">
        <v>15</v>
      </c>
      <c r="W47" s="6">
        <v>151020</v>
      </c>
      <c r="X47" s="6">
        <v>15102010</v>
      </c>
      <c r="Y47" s="7" t="s">
        <v>38</v>
      </c>
      <c r="Z47" s="7" t="s">
        <v>39</v>
      </c>
      <c r="AA47" s="7" t="s">
        <v>39</v>
      </c>
      <c r="AB47" s="6">
        <v>61.522987365722656</v>
      </c>
      <c r="AC47" s="6">
        <v>0.27693481058140101</v>
      </c>
      <c r="AD47" s="6">
        <v>-26.7203013304647</v>
      </c>
      <c r="AE47" s="6">
        <v>46714</v>
      </c>
      <c r="AF47" s="6">
        <v>44859</v>
      </c>
    </row>
    <row r="48" spans="1:32" s="4" customFormat="1" ht="12.75" x14ac:dyDescent="0.2">
      <c r="A48" s="7" t="s">
        <v>217</v>
      </c>
      <c r="B48" s="7" t="s">
        <v>218</v>
      </c>
      <c r="C48" s="7" t="s">
        <v>219</v>
      </c>
      <c r="D48" s="6">
        <v>-0.78099244832992609</v>
      </c>
      <c r="E48" s="6">
        <v>-0.34081447124481201</v>
      </c>
      <c r="F48" s="6">
        <v>2.4275496006011958</v>
      </c>
      <c r="G48" s="6">
        <v>-0.26815301179885903</v>
      </c>
      <c r="H48" s="6">
        <v>-1.2173919677734379</v>
      </c>
      <c r="I48" s="6">
        <v>-0.24664483964443201</v>
      </c>
      <c r="J48" s="6">
        <v>2.0206811428070068</v>
      </c>
      <c r="K48" s="6">
        <v>-0.40669441223144503</v>
      </c>
      <c r="L48" s="6">
        <v>3.00003981590271</v>
      </c>
      <c r="M48" s="6">
        <v>-0.28250992298126204</v>
      </c>
      <c r="N48" s="6">
        <v>0.9722908978272421</v>
      </c>
      <c r="O48" s="6"/>
      <c r="P48" s="6">
        <v>0.70821468413385802</v>
      </c>
      <c r="Q48" s="6"/>
      <c r="R48" s="6">
        <v>5.4906406640297982</v>
      </c>
      <c r="S48" s="6"/>
      <c r="T48" s="6">
        <v>13.188920974731445</v>
      </c>
      <c r="U48" s="6">
        <f>_xll.BDP($A48,"TRAILING_12M_R&amp;D_%_SALES",$A$1,$A$2)</f>
        <v>1.3167822958448492</v>
      </c>
      <c r="V48" s="6">
        <v>15</v>
      </c>
      <c r="W48" s="6">
        <v>151020</v>
      </c>
      <c r="X48" s="6">
        <v>15102010</v>
      </c>
      <c r="Y48" s="7" t="s">
        <v>38</v>
      </c>
      <c r="Z48" s="7" t="s">
        <v>39</v>
      </c>
      <c r="AA48" s="7" t="s">
        <v>39</v>
      </c>
      <c r="AB48" s="6">
        <v>61.522987365722656</v>
      </c>
      <c r="AC48" s="6">
        <v>0.55456094275943502</v>
      </c>
      <c r="AD48" s="6">
        <v>-25.87685844667612</v>
      </c>
      <c r="AE48" s="6">
        <v>46714</v>
      </c>
      <c r="AF48" s="6">
        <v>44859</v>
      </c>
    </row>
    <row r="49" spans="1:32" s="4" customFormat="1" ht="12.75" x14ac:dyDescent="0.2">
      <c r="A49" s="7" t="s">
        <v>220</v>
      </c>
      <c r="B49" s="7" t="s">
        <v>221</v>
      </c>
      <c r="C49" s="7" t="s">
        <v>222</v>
      </c>
      <c r="D49" s="6">
        <v>-0.24026268720626801</v>
      </c>
      <c r="E49" s="6">
        <v>-0.70572799444198608</v>
      </c>
      <c r="F49" s="6">
        <v>-0.10656850785017001</v>
      </c>
      <c r="G49" s="6">
        <v>-0.75359225273132302</v>
      </c>
      <c r="H49" s="6">
        <v>0.49853724241256703</v>
      </c>
      <c r="I49" s="6">
        <v>0.10046426951885201</v>
      </c>
      <c r="J49" s="6">
        <v>0.95556652545929011</v>
      </c>
      <c r="K49" s="6">
        <v>-0.18666286766529103</v>
      </c>
      <c r="L49" s="6">
        <v>0.92090898752212502</v>
      </c>
      <c r="M49" s="6">
        <v>-0.52359277009964</v>
      </c>
      <c r="N49" s="6">
        <v>0.32136590713156105</v>
      </c>
      <c r="O49" s="6">
        <v>0.29190835313654301</v>
      </c>
      <c r="P49" s="6">
        <v>1.66009990878345</v>
      </c>
      <c r="Q49" s="6">
        <v>1.6797084286666819</v>
      </c>
      <c r="R49" s="6">
        <v>11.39881368928477</v>
      </c>
      <c r="S49" s="6">
        <v>10.663269419708913</v>
      </c>
      <c r="T49" s="6">
        <v>16.328216552734375</v>
      </c>
      <c r="U49" s="6">
        <f>_xll.BDP($A49,"TRAILING_12M_R&amp;D_%_SALES",$A$1,$A$2)</f>
        <v>0</v>
      </c>
      <c r="V49" s="6">
        <v>30</v>
      </c>
      <c r="W49" s="6">
        <v>301010</v>
      </c>
      <c r="X49" s="6">
        <v>30101030</v>
      </c>
      <c r="Y49" s="7" t="s">
        <v>91</v>
      </c>
      <c r="Z49" s="7" t="s">
        <v>133</v>
      </c>
      <c r="AA49" s="7" t="s">
        <v>134</v>
      </c>
      <c r="AB49" s="6">
        <v>54.813400268554688</v>
      </c>
      <c r="AC49" s="6">
        <v>0.43981044465805003</v>
      </c>
      <c r="AD49" s="6">
        <v>-14.222946337788889</v>
      </c>
      <c r="AE49" s="6">
        <v>259000</v>
      </c>
      <c r="AF49" s="6">
        <v>225000</v>
      </c>
    </row>
    <row r="50" spans="1:32" s="4" customFormat="1" ht="12.75" x14ac:dyDescent="0.2">
      <c r="A50" s="7" t="s">
        <v>223</v>
      </c>
      <c r="B50" s="7" t="s">
        <v>224</v>
      </c>
      <c r="C50" s="7" t="s">
        <v>225</v>
      </c>
      <c r="D50" s="6">
        <v>-0.90477007627487205</v>
      </c>
      <c r="E50" s="6">
        <v>-2.5764648914337158</v>
      </c>
      <c r="F50" s="6">
        <v>0.82228207588195812</v>
      </c>
      <c r="G50" s="6">
        <v>-0.65783822536468506</v>
      </c>
      <c r="H50" s="6">
        <v>1.863477826118469</v>
      </c>
      <c r="I50" s="6">
        <v>1.2686862945556641</v>
      </c>
      <c r="J50" s="6">
        <v>-1.6494830846786499</v>
      </c>
      <c r="K50" s="6">
        <v>-0.39830556511879001</v>
      </c>
      <c r="L50" s="6">
        <v>-0.81727248430252109</v>
      </c>
      <c r="M50" s="6">
        <v>0.24571272730827301</v>
      </c>
      <c r="N50" s="6">
        <v>1.3878219995887051</v>
      </c>
      <c r="O50" s="6">
        <v>1.087313657614094</v>
      </c>
      <c r="P50" s="6">
        <v>2.081233002107147</v>
      </c>
      <c r="Q50" s="6">
        <v>2.7648057347360919</v>
      </c>
      <c r="R50" s="6"/>
      <c r="S50" s="6"/>
      <c r="T50" s="6">
        <v>-51.241569519042969</v>
      </c>
      <c r="U50" s="6">
        <f>_xll.BDP($A50,"TRAILING_12M_R&amp;D_%_SALES",$A$1,$A$2)</f>
        <v>8.7807780082220219E-2</v>
      </c>
      <c r="V50" s="6">
        <v>20</v>
      </c>
      <c r="W50" s="6">
        <v>203020</v>
      </c>
      <c r="X50" s="6">
        <v>20302010</v>
      </c>
      <c r="Y50" s="7" t="s">
        <v>43</v>
      </c>
      <c r="Z50" s="7" t="s">
        <v>62</v>
      </c>
      <c r="AA50" s="7" t="s">
        <v>62</v>
      </c>
      <c r="AB50" s="6">
        <v>52.348857879638672</v>
      </c>
      <c r="AC50" s="6">
        <v>0.33193302751280301</v>
      </c>
      <c r="AD50" s="6">
        <v>39.843750145519152</v>
      </c>
      <c r="AE50" s="6">
        <v>88395</v>
      </c>
      <c r="AF50" s="6">
        <v>80022</v>
      </c>
    </row>
    <row r="51" spans="1:32" s="4" customFormat="1" ht="12.75" x14ac:dyDescent="0.2">
      <c r="A51" s="7" t="s">
        <v>226</v>
      </c>
      <c r="B51" s="7" t="s">
        <v>227</v>
      </c>
      <c r="C51" s="7" t="s">
        <v>228</v>
      </c>
      <c r="D51" s="6">
        <v>0.46533554792404203</v>
      </c>
      <c r="E51" s="6">
        <v>-0.24096517264843001</v>
      </c>
      <c r="F51" s="6">
        <v>0.85114699602127109</v>
      </c>
      <c r="G51" s="6">
        <v>-0.13971254229545602</v>
      </c>
      <c r="H51" s="6">
        <v>5.3800858557224003E-2</v>
      </c>
      <c r="I51" s="6">
        <v>0.644969463348389</v>
      </c>
      <c r="J51" s="6">
        <v>1.4911208152771001</v>
      </c>
      <c r="K51" s="6">
        <v>-0.42571282386779802</v>
      </c>
      <c r="L51" s="6">
        <v>0.17004026472568501</v>
      </c>
      <c r="M51" s="6">
        <v>-0.91843551397323608</v>
      </c>
      <c r="N51" s="6">
        <v>0.85861691870797907</v>
      </c>
      <c r="O51" s="6">
        <v>0.95375917472655902</v>
      </c>
      <c r="P51" s="6">
        <v>1.2266420982891959</v>
      </c>
      <c r="Q51" s="6">
        <v>1.12822196457246</v>
      </c>
      <c r="R51" s="6">
        <v>18.61785733929635</v>
      </c>
      <c r="S51" s="6">
        <v>10.12444267648377</v>
      </c>
      <c r="T51" s="6">
        <v>26.505064010620117</v>
      </c>
      <c r="U51" s="6" t="str">
        <f>_xll.BDP($A51,"TRAILING_12M_R&amp;D_%_SALES",$A$1,$A$2)</f>
        <v>#N/A N/A</v>
      </c>
      <c r="V51" s="6">
        <v>40</v>
      </c>
      <c r="W51" s="6">
        <v>403010</v>
      </c>
      <c r="X51" s="6">
        <v>40301030</v>
      </c>
      <c r="Y51" s="7" t="s">
        <v>53</v>
      </c>
      <c r="Z51" s="7" t="s">
        <v>54</v>
      </c>
      <c r="AA51" s="7" t="s">
        <v>201</v>
      </c>
      <c r="AB51" s="6">
        <v>49.723369598388672</v>
      </c>
      <c r="AC51" s="6">
        <v>0.96143413511390008</v>
      </c>
      <c r="AD51" s="6">
        <v>13.986313105754732</v>
      </c>
      <c r="AE51" s="6">
        <v>36600</v>
      </c>
      <c r="AF51" s="6">
        <v>56400</v>
      </c>
    </row>
    <row r="52" spans="1:32" s="4" customFormat="1" ht="12.75" x14ac:dyDescent="0.2">
      <c r="A52" s="7" t="s">
        <v>229</v>
      </c>
      <c r="B52" s="7" t="s">
        <v>230</v>
      </c>
      <c r="C52" s="7" t="s">
        <v>231</v>
      </c>
      <c r="D52" s="6">
        <v>-0.15091790258884402</v>
      </c>
      <c r="E52" s="6">
        <v>-0.61245036125183105</v>
      </c>
      <c r="F52" s="6">
        <v>-0.35802277922630305</v>
      </c>
      <c r="G52" s="6">
        <v>-0.98435091972351108</v>
      </c>
      <c r="H52" s="6">
        <v>-0.14496418833732602</v>
      </c>
      <c r="I52" s="6">
        <v>0.20074309408664701</v>
      </c>
      <c r="J52" s="6">
        <v>8.9982561767100004E-3</v>
      </c>
      <c r="K52" s="6">
        <v>-0.75247389078140303</v>
      </c>
      <c r="L52" s="6">
        <v>0.141699939966202</v>
      </c>
      <c r="M52" s="6">
        <v>-0.81333273649215709</v>
      </c>
      <c r="N52" s="6">
        <v>2.578099859124281</v>
      </c>
      <c r="O52" s="6">
        <v>2.2570451381792092</v>
      </c>
      <c r="P52" s="6">
        <v>3.003180919948838</v>
      </c>
      <c r="Q52" s="6">
        <v>2.77871161436456</v>
      </c>
      <c r="R52" s="6">
        <v>26.077658501400322</v>
      </c>
      <c r="S52" s="6">
        <v>20.969703340706239</v>
      </c>
      <c r="T52" s="6">
        <v>12.538294792175293</v>
      </c>
      <c r="U52" s="6">
        <f>_xll.BDP($A52,"TRAILING_12M_R&amp;D_%_SALES",$A$1,$A$2)</f>
        <v>1.4746100968290341</v>
      </c>
      <c r="V52" s="6">
        <v>15</v>
      </c>
      <c r="W52" s="6">
        <v>151010</v>
      </c>
      <c r="X52" s="6">
        <v>15101040</v>
      </c>
      <c r="Y52" s="7" t="s">
        <v>38</v>
      </c>
      <c r="Z52" s="7" t="s">
        <v>48</v>
      </c>
      <c r="AA52" s="7" t="s">
        <v>49</v>
      </c>
      <c r="AB52" s="6">
        <v>65.566841125488281</v>
      </c>
      <c r="AC52" s="6">
        <v>0.74412818787372204</v>
      </c>
      <c r="AD52" s="6">
        <v>-9.0677401559180133</v>
      </c>
      <c r="AE52" s="6">
        <v>66400</v>
      </c>
      <c r="AF52" s="6">
        <v>67000</v>
      </c>
    </row>
    <row r="53" spans="1:32" s="4" customFormat="1" ht="12.75" x14ac:dyDescent="0.2">
      <c r="A53" s="7" t="s">
        <v>232</v>
      </c>
      <c r="B53" s="7" t="s">
        <v>233</v>
      </c>
      <c r="C53" s="7" t="s">
        <v>234</v>
      </c>
      <c r="D53" s="6">
        <v>-0.15091790258884402</v>
      </c>
      <c r="E53" s="6">
        <v>-0.61245036125183105</v>
      </c>
      <c r="F53" s="6">
        <v>-0.35802277922630305</v>
      </c>
      <c r="G53" s="6">
        <v>-0.98435091972351108</v>
      </c>
      <c r="H53" s="6">
        <v>-0.14496418833732602</v>
      </c>
      <c r="I53" s="6">
        <v>0.20074309408664701</v>
      </c>
      <c r="J53" s="6">
        <v>8.9982561767100004E-3</v>
      </c>
      <c r="K53" s="6">
        <v>-0.75247389078140303</v>
      </c>
      <c r="L53" s="6">
        <v>0.141699939966202</v>
      </c>
      <c r="M53" s="6">
        <v>-0.81333273649215709</v>
      </c>
      <c r="N53" s="6">
        <v>2.578099859124281</v>
      </c>
      <c r="O53" s="6">
        <v>2.247232434715098</v>
      </c>
      <c r="P53" s="6">
        <v>3.003180919948838</v>
      </c>
      <c r="Q53" s="6">
        <v>2.7009544012777322</v>
      </c>
      <c r="R53" s="6">
        <v>26.077658501400322</v>
      </c>
      <c r="S53" s="6">
        <v>20.382961657428911</v>
      </c>
      <c r="T53" s="6">
        <v>12.538294792175293</v>
      </c>
      <c r="U53" s="6">
        <f>_xll.BDP($A53,"TRAILING_12M_R&amp;D_%_SALES",$A$1,$A$2)</f>
        <v>1.4746100968290341</v>
      </c>
      <c r="V53" s="6">
        <v>15</v>
      </c>
      <c r="W53" s="6">
        <v>151010</v>
      </c>
      <c r="X53" s="6">
        <v>15101040</v>
      </c>
      <c r="Y53" s="7" t="s">
        <v>38</v>
      </c>
      <c r="Z53" s="7" t="s">
        <v>48</v>
      </c>
      <c r="AA53" s="7" t="s">
        <v>49</v>
      </c>
      <c r="AB53" s="6">
        <v>65.566841125488281</v>
      </c>
      <c r="AC53" s="6">
        <v>0.86942375973823005</v>
      </c>
      <c r="AD53" s="6">
        <v>-8.8025026738362548</v>
      </c>
      <c r="AE53" s="6">
        <v>66400</v>
      </c>
      <c r="AF53" s="6">
        <v>67000</v>
      </c>
    </row>
    <row r="54" spans="1:32" s="4" customFormat="1" ht="12.75" x14ac:dyDescent="0.2">
      <c r="A54" s="7" t="s">
        <v>235</v>
      </c>
      <c r="B54" s="7" t="s">
        <v>236</v>
      </c>
      <c r="C54" s="7" t="s">
        <v>237</v>
      </c>
      <c r="D54" s="6">
        <v>-0.90477007627487205</v>
      </c>
      <c r="E54" s="6">
        <v>-2.5764648914337158</v>
      </c>
      <c r="F54" s="6">
        <v>0.82228207588195812</v>
      </c>
      <c r="G54" s="6">
        <v>-0.65783822536468506</v>
      </c>
      <c r="H54" s="6">
        <v>1.863477826118469</v>
      </c>
      <c r="I54" s="6">
        <v>1.2686862945556641</v>
      </c>
      <c r="J54" s="6">
        <v>-1.6494830846786499</v>
      </c>
      <c r="K54" s="6">
        <v>-0.39830556511879001</v>
      </c>
      <c r="L54" s="6">
        <v>-0.81727248430252109</v>
      </c>
      <c r="M54" s="6">
        <v>0.24571272730827301</v>
      </c>
      <c r="N54" s="6">
        <v>1.3878219995887051</v>
      </c>
      <c r="O54" s="6"/>
      <c r="P54" s="6">
        <v>2.081233002107147</v>
      </c>
      <c r="Q54" s="6"/>
      <c r="R54" s="6"/>
      <c r="S54" s="6"/>
      <c r="T54" s="6">
        <v>-51.241569519042969</v>
      </c>
      <c r="U54" s="6">
        <f>_xll.BDP($A54,"TRAILING_12M_R&amp;D_%_SALES",$A$1,$A$2)</f>
        <v>8.7807780082220219E-2</v>
      </c>
      <c r="V54" s="6">
        <v>20</v>
      </c>
      <c r="W54" s="6">
        <v>203020</v>
      </c>
      <c r="X54" s="6">
        <v>20302010</v>
      </c>
      <c r="Y54" s="7" t="s">
        <v>43</v>
      </c>
      <c r="Z54" s="7" t="s">
        <v>62</v>
      </c>
      <c r="AA54" s="7" t="s">
        <v>62</v>
      </c>
      <c r="AB54" s="6">
        <v>52.348857879638672</v>
      </c>
      <c r="AC54" s="6">
        <v>0.49373142754598803</v>
      </c>
      <c r="AD54" s="6">
        <v>30.735295499484792</v>
      </c>
      <c r="AE54" s="6">
        <v>88395</v>
      </c>
      <c r="AF54" s="6">
        <v>80022</v>
      </c>
    </row>
    <row r="55" spans="1:32" s="4" customFormat="1" ht="12.75" x14ac:dyDescent="0.2">
      <c r="A55" s="7" t="s">
        <v>238</v>
      </c>
      <c r="B55" s="7" t="s">
        <v>239</v>
      </c>
      <c r="C55" s="7" t="s">
        <v>240</v>
      </c>
      <c r="D55" s="6">
        <v>-0.70936524868011508</v>
      </c>
      <c r="E55" s="6">
        <v>-0.38832390308380105</v>
      </c>
      <c r="F55" s="6">
        <v>-0.24262249469757102</v>
      </c>
      <c r="G55" s="6">
        <v>-0.42639359831810003</v>
      </c>
      <c r="H55" s="6">
        <v>-0.342296242713928</v>
      </c>
      <c r="I55" s="6">
        <v>0.56767636537551902</v>
      </c>
      <c r="J55" s="6">
        <v>-0.25662758946418801</v>
      </c>
      <c r="K55" s="6">
        <v>8.8999688625336013E-2</v>
      </c>
      <c r="L55" s="6">
        <v>-0.29075330495834401</v>
      </c>
      <c r="M55" s="6">
        <v>-0.67682582139968905</v>
      </c>
      <c r="N55" s="6">
        <v>4.6476924350748687</v>
      </c>
      <c r="O55" s="6">
        <v>4.2171671408583231</v>
      </c>
      <c r="P55" s="6">
        <v>4.6355443365836635</v>
      </c>
      <c r="Q55" s="6">
        <v>3.8823185258225341</v>
      </c>
      <c r="R55" s="6">
        <v>31.496803471580865</v>
      </c>
      <c r="S55" s="6">
        <v>21.862728713502918</v>
      </c>
      <c r="T55" s="6">
        <v>12.805695533752441</v>
      </c>
      <c r="U55" s="6" t="str">
        <f>_xll.BDP($A55,"TRAILING_12M_R&amp;D_%_SALES",$A$1,$A$2)</f>
        <v>#N/A N/A</v>
      </c>
      <c r="V55" s="6">
        <v>40</v>
      </c>
      <c r="W55" s="6">
        <v>403010</v>
      </c>
      <c r="X55" s="6">
        <v>40301010</v>
      </c>
      <c r="Y55" s="7" t="s">
        <v>53</v>
      </c>
      <c r="Z55" s="7" t="s">
        <v>54</v>
      </c>
      <c r="AA55" s="7" t="s">
        <v>241</v>
      </c>
      <c r="AB55" s="6">
        <v>38.145057678222656</v>
      </c>
      <c r="AC55" s="6">
        <v>0.88425415222829007</v>
      </c>
      <c r="AD55" s="6">
        <v>13.031871271177998</v>
      </c>
      <c r="AE55" s="6">
        <v>39000</v>
      </c>
      <c r="AF55" s="6">
        <v>24800</v>
      </c>
    </row>
    <row r="56" spans="1:32" s="4" customFormat="1" ht="12.75" x14ac:dyDescent="0.2">
      <c r="A56" s="7" t="s">
        <v>242</v>
      </c>
      <c r="B56" s="7" t="s">
        <v>243</v>
      </c>
      <c r="C56" s="7" t="s">
        <v>244</v>
      </c>
      <c r="D56" s="6">
        <v>-0.40683192014694203</v>
      </c>
      <c r="E56" s="6">
        <v>-0.58275502920150801</v>
      </c>
      <c r="F56" s="6">
        <v>0.35088020563125605</v>
      </c>
      <c r="G56" s="6">
        <v>-0.21359068155288702</v>
      </c>
      <c r="H56" s="6">
        <v>0.56396120786666903</v>
      </c>
      <c r="I56" s="6">
        <v>-0.65926057100296009</v>
      </c>
      <c r="J56" s="6">
        <v>1.801264882087708</v>
      </c>
      <c r="K56" s="6">
        <v>-0.22936920821666701</v>
      </c>
      <c r="L56" s="6">
        <v>-0.111372791230679</v>
      </c>
      <c r="M56" s="6">
        <v>-0.40611216425895702</v>
      </c>
      <c r="N56" s="6">
        <v>0.73483054732646202</v>
      </c>
      <c r="O56" s="6"/>
      <c r="P56" s="6">
        <v>0.80553263133209307</v>
      </c>
      <c r="Q56" s="6"/>
      <c r="R56" s="6">
        <v>2.363826608972293</v>
      </c>
      <c r="S56" s="6"/>
      <c r="T56" s="6">
        <v>43.781955718994141</v>
      </c>
      <c r="U56" s="6" t="str">
        <f>_xll.BDP($A56,"TRAILING_12M_R&amp;D_%_SALES",$A$1,$A$2)</f>
        <v>#N/A N/A</v>
      </c>
      <c r="V56" s="6">
        <v>40</v>
      </c>
      <c r="W56" s="6">
        <v>401010</v>
      </c>
      <c r="X56" s="6">
        <v>40101010</v>
      </c>
      <c r="Y56" s="7" t="s">
        <v>53</v>
      </c>
      <c r="Z56" s="7" t="s">
        <v>76</v>
      </c>
      <c r="AA56" s="7" t="s">
        <v>77</v>
      </c>
      <c r="AB56" s="6">
        <v>60.014083862304688</v>
      </c>
      <c r="AC56" s="6"/>
      <c r="AD56" s="6"/>
      <c r="AE56" s="6">
        <v>12606</v>
      </c>
      <c r="AF56" s="6">
        <v>13843</v>
      </c>
    </row>
    <row r="57" spans="1:32" s="4" customFormat="1" ht="12.75" x14ac:dyDescent="0.2">
      <c r="A57" s="7" t="s">
        <v>245</v>
      </c>
      <c r="B57" s="7" t="s">
        <v>246</v>
      </c>
      <c r="C57" s="7" t="s">
        <v>247</v>
      </c>
      <c r="D57" s="6">
        <v>0.65023899078369107</v>
      </c>
      <c r="E57" s="6">
        <v>-0.47549334168434104</v>
      </c>
      <c r="F57" s="6">
        <v>-1.20404589176178</v>
      </c>
      <c r="G57" s="6">
        <v>-0.93126344680786111</v>
      </c>
      <c r="H57" s="6">
        <v>-0.57401925325393699</v>
      </c>
      <c r="I57" s="6">
        <v>-0.61170220375061002</v>
      </c>
      <c r="J57" s="6">
        <v>2.844436407089233</v>
      </c>
      <c r="K57" s="6">
        <v>-0.82478845119476307</v>
      </c>
      <c r="L57" s="6">
        <v>2.996595144271851</v>
      </c>
      <c r="M57" s="6">
        <v>-0.88872224092483509</v>
      </c>
      <c r="N57" s="6">
        <v>0.77433562194929306</v>
      </c>
      <c r="O57" s="6"/>
      <c r="P57" s="6">
        <v>0.561980354969837</v>
      </c>
      <c r="Q57" s="6"/>
      <c r="R57" s="6">
        <v>2.6204848381258081</v>
      </c>
      <c r="S57" s="6"/>
      <c r="T57" s="6">
        <v>22.912334442138672</v>
      </c>
      <c r="U57" s="6" t="str">
        <f>_xll.BDP($A57,"TRAILING_12M_R&amp;D_%_SALES",$A$1,$A$2)</f>
        <v>#N/A N/A</v>
      </c>
      <c r="V57" s="6">
        <v>40</v>
      </c>
      <c r="W57" s="6">
        <v>401010</v>
      </c>
      <c r="X57" s="6">
        <v>40101010</v>
      </c>
      <c r="Y57" s="7" t="s">
        <v>53</v>
      </c>
      <c r="Z57" s="7" t="s">
        <v>76</v>
      </c>
      <c r="AA57" s="7" t="s">
        <v>77</v>
      </c>
      <c r="AB57" s="6"/>
      <c r="AC57" s="6"/>
      <c r="AD57" s="6"/>
      <c r="AE57" s="6">
        <v>287866</v>
      </c>
      <c r="AF57" s="6">
        <v>325075</v>
      </c>
    </row>
    <row r="58" spans="1:32" s="4" customFormat="1" ht="12.75" x14ac:dyDescent="0.2">
      <c r="A58" s="7" t="s">
        <v>248</v>
      </c>
      <c r="B58" s="7" t="s">
        <v>249</v>
      </c>
      <c r="C58" s="7" t="s">
        <v>250</v>
      </c>
      <c r="D58" s="6">
        <v>-0.85330373048782304</v>
      </c>
      <c r="E58" s="6">
        <v>-0.89095622301101707</v>
      </c>
      <c r="F58" s="6">
        <v>0.96257960796356212</v>
      </c>
      <c r="G58" s="6">
        <v>-0.94856202602386508</v>
      </c>
      <c r="H58" s="6">
        <v>-0.69522523880004905</v>
      </c>
      <c r="I58" s="6">
        <v>-0.19408629834651903</v>
      </c>
      <c r="J58" s="6">
        <v>-0.16951857507228901</v>
      </c>
      <c r="K58" s="6">
        <v>-0.66164958477020308</v>
      </c>
      <c r="L58" s="6">
        <v>-0.66921138763427701</v>
      </c>
      <c r="M58" s="6">
        <v>-0.79584550857543901</v>
      </c>
      <c r="N58" s="6">
        <v>3.870972447495578</v>
      </c>
      <c r="O58" s="6">
        <v>3.661282337323811</v>
      </c>
      <c r="P58" s="6">
        <v>1.7151407924950379</v>
      </c>
      <c r="Q58" s="6">
        <v>1.6878653071705261</v>
      </c>
      <c r="R58" s="6">
        <v>58.898978738018975</v>
      </c>
      <c r="S58" s="6">
        <v>28.498564182942872</v>
      </c>
      <c r="T58" s="6">
        <v>2.9478580951690669</v>
      </c>
      <c r="U58" s="6">
        <f>_xll.BDP($A58,"TRAILING_12M_R&amp;D_%_SALES",$A$1,$A$2)</f>
        <v>8.8386641105841992</v>
      </c>
      <c r="V58" s="6">
        <v>35</v>
      </c>
      <c r="W58" s="6">
        <v>351010</v>
      </c>
      <c r="X58" s="6">
        <v>35101020</v>
      </c>
      <c r="Y58" s="7" t="s">
        <v>86</v>
      </c>
      <c r="Z58" s="7" t="s">
        <v>114</v>
      </c>
      <c r="AA58" s="7" t="s">
        <v>251</v>
      </c>
      <c r="AB58" s="6">
        <v>62.549037933349609</v>
      </c>
      <c r="AC58" s="6">
        <v>0.94183935065827207</v>
      </c>
      <c r="AD58" s="6">
        <v>-21.948186719339489</v>
      </c>
      <c r="AE58" s="6">
        <v>24389</v>
      </c>
      <c r="AF58" s="6"/>
    </row>
    <row r="59" spans="1:32" s="4" customFormat="1" ht="12.75" x14ac:dyDescent="0.2">
      <c r="A59" s="7" t="s">
        <v>252</v>
      </c>
      <c r="B59" s="7" t="s">
        <v>253</v>
      </c>
      <c r="C59" s="7" t="s">
        <v>254</v>
      </c>
      <c r="D59" s="6">
        <v>1.00656521320343</v>
      </c>
      <c r="E59" s="6">
        <v>-0.92075663805007912</v>
      </c>
      <c r="F59" s="6">
        <v>0.88100153207778908</v>
      </c>
      <c r="G59" s="6">
        <v>-0.78417742252349909</v>
      </c>
      <c r="H59" s="6">
        <v>-0.559306800365448</v>
      </c>
      <c r="I59" s="6">
        <v>0.32101687788963301</v>
      </c>
      <c r="J59" s="6">
        <v>0.33079719543457003</v>
      </c>
      <c r="K59" s="6">
        <v>-0.83661097288131703</v>
      </c>
      <c r="L59" s="6">
        <v>1.7782295942306521</v>
      </c>
      <c r="M59" s="6">
        <v>-1.0102535486221309</v>
      </c>
      <c r="N59" s="6">
        <v>0.71569602256319309</v>
      </c>
      <c r="O59" s="6">
        <v>0.51836496535400001</v>
      </c>
      <c r="P59" s="6">
        <v>1.579792897125659</v>
      </c>
      <c r="Q59" s="6">
        <v>1.2211189615931559</v>
      </c>
      <c r="R59" s="6">
        <v>18.830892049790585</v>
      </c>
      <c r="S59" s="6">
        <v>8.245716039617264</v>
      </c>
      <c r="T59" s="6">
        <v>6.923037052154541</v>
      </c>
      <c r="U59" s="6" t="str">
        <f>_xll.BDP($A59,"TRAILING_12M_R&amp;D_%_SALES",$A$1,$A$2)</f>
        <v>#N/A N/A</v>
      </c>
      <c r="V59" s="6">
        <v>40</v>
      </c>
      <c r="W59" s="6">
        <v>403010</v>
      </c>
      <c r="X59" s="6">
        <v>40301030</v>
      </c>
      <c r="Y59" s="7" t="s">
        <v>53</v>
      </c>
      <c r="Z59" s="7" t="s">
        <v>54</v>
      </c>
      <c r="AA59" s="7" t="s">
        <v>201</v>
      </c>
      <c r="AB59" s="6">
        <v>57.841262817382813</v>
      </c>
      <c r="AC59" s="6">
        <v>0.66152866452701409</v>
      </c>
      <c r="AD59" s="6">
        <v>-6.4486103825354029</v>
      </c>
      <c r="AE59" s="6">
        <v>155411</v>
      </c>
      <c r="AF59" s="6">
        <v>140253</v>
      </c>
    </row>
    <row r="60" spans="1:32" s="4" customFormat="1" ht="12.75" x14ac:dyDescent="0.2">
      <c r="A60" s="7" t="s">
        <v>255</v>
      </c>
      <c r="B60" s="7" t="s">
        <v>256</v>
      </c>
      <c r="C60" s="7" t="s">
        <v>257</v>
      </c>
      <c r="D60" s="6">
        <v>1.00656521320343</v>
      </c>
      <c r="E60" s="6">
        <v>-0.92075663805007912</v>
      </c>
      <c r="F60" s="6">
        <v>0.88100153207778908</v>
      </c>
      <c r="G60" s="6">
        <v>-0.78417742252349909</v>
      </c>
      <c r="H60" s="6">
        <v>-0.559306800365448</v>
      </c>
      <c r="I60" s="6">
        <v>0.32101687788963301</v>
      </c>
      <c r="J60" s="6">
        <v>0.33079719543457003</v>
      </c>
      <c r="K60" s="6">
        <v>-0.83661097288131703</v>
      </c>
      <c r="L60" s="6">
        <v>1.7782295942306521</v>
      </c>
      <c r="M60" s="6">
        <v>-1.0102535486221309</v>
      </c>
      <c r="N60" s="6">
        <v>0.71569602256319309</v>
      </c>
      <c r="O60" s="6">
        <v>0.55797177306622503</v>
      </c>
      <c r="P60" s="6">
        <v>1.579792897125659</v>
      </c>
      <c r="Q60" s="6"/>
      <c r="R60" s="6">
        <v>18.830892049790585</v>
      </c>
      <c r="S60" s="6">
        <v>1.7193622094216341</v>
      </c>
      <c r="T60" s="6">
        <v>6.923037052154541</v>
      </c>
      <c r="U60" s="6" t="str">
        <f>_xll.BDP($A60,"TRAILING_12M_R&amp;D_%_SALES",$A$1,$A$2)</f>
        <v>#N/A N/A</v>
      </c>
      <c r="V60" s="6">
        <v>40</v>
      </c>
      <c r="W60" s="6">
        <v>403010</v>
      </c>
      <c r="X60" s="6">
        <v>40301030</v>
      </c>
      <c r="Y60" s="7" t="s">
        <v>53</v>
      </c>
      <c r="Z60" s="7" t="s">
        <v>54</v>
      </c>
      <c r="AA60" s="7" t="s">
        <v>201</v>
      </c>
      <c r="AB60" s="6">
        <v>57.841262817382813</v>
      </c>
      <c r="AC60" s="6">
        <v>0.85211517642731804</v>
      </c>
      <c r="AD60" s="6">
        <v>-3.6874438189930192</v>
      </c>
      <c r="AE60" s="6">
        <v>155411</v>
      </c>
      <c r="AF60" s="6">
        <v>140253</v>
      </c>
    </row>
    <row r="61" spans="1:32" s="4" customFormat="1" ht="12.75" x14ac:dyDescent="0.2">
      <c r="A61" s="7" t="s">
        <v>258</v>
      </c>
      <c r="B61" s="7" t="s">
        <v>259</v>
      </c>
      <c r="C61" s="7" t="s">
        <v>260</v>
      </c>
      <c r="D61" s="6">
        <v>-0.110761418938637</v>
      </c>
      <c r="E61" s="6">
        <v>-1.1246573925018311</v>
      </c>
      <c r="F61" s="6">
        <v>-5.4917953908443007E-2</v>
      </c>
      <c r="G61" s="6">
        <v>8.9251538738610008E-3</v>
      </c>
      <c r="H61" s="6">
        <v>-0.45625549554824801</v>
      </c>
      <c r="I61" s="6">
        <v>0.74974548816680908</v>
      </c>
      <c r="J61" s="6">
        <v>0.268542289733887</v>
      </c>
      <c r="K61" s="6">
        <v>-0.33495718240737904</v>
      </c>
      <c r="L61" s="6">
        <v>0.400568068027496</v>
      </c>
      <c r="M61" s="6">
        <v>-0.7953937649726871</v>
      </c>
      <c r="N61" s="6">
        <v>0.73775571321943501</v>
      </c>
      <c r="O61" s="6">
        <v>0.67790003650270103</v>
      </c>
      <c r="P61" s="6">
        <v>2.3050614275979049</v>
      </c>
      <c r="Q61" s="6">
        <v>2.233095840819777</v>
      </c>
      <c r="R61" s="6">
        <v>60.870994270664546</v>
      </c>
      <c r="S61" s="6">
        <v>13.950963389057415</v>
      </c>
      <c r="T61" s="6">
        <v>-1.536478996276855</v>
      </c>
      <c r="U61" s="6" t="str">
        <f>_xll.BDP($A61,"TRAILING_12M_R&amp;D_%_SALES",$A$1,$A$2)</f>
        <v>#N/A N/A</v>
      </c>
      <c r="V61" s="6">
        <v>40</v>
      </c>
      <c r="W61" s="6">
        <v>403010</v>
      </c>
      <c r="X61" s="6">
        <v>40301040</v>
      </c>
      <c r="Y61" s="7" t="s">
        <v>53</v>
      </c>
      <c r="Z61" s="7" t="s">
        <v>54</v>
      </c>
      <c r="AA61" s="7" t="s">
        <v>125</v>
      </c>
      <c r="AB61" s="6">
        <v>58.132984161376953</v>
      </c>
      <c r="AC61" s="6">
        <v>0.72531527852297906</v>
      </c>
      <c r="AD61" s="6">
        <v>18.312003925857102</v>
      </c>
      <c r="AE61" s="6">
        <v>54300</v>
      </c>
      <c r="AF61" s="6">
        <v>43050</v>
      </c>
    </row>
    <row r="62" spans="1:32" s="4" customFormat="1" ht="12.75" x14ac:dyDescent="0.2">
      <c r="A62" s="7" t="s">
        <v>261</v>
      </c>
      <c r="B62" s="7" t="s">
        <v>262</v>
      </c>
      <c r="C62" s="7" t="s">
        <v>263</v>
      </c>
      <c r="D62" s="6">
        <v>-0.7620964050292971</v>
      </c>
      <c r="E62" s="6">
        <v>-0.251372009515762</v>
      </c>
      <c r="F62" s="6">
        <v>5.6081727147102002E-2</v>
      </c>
      <c r="G62" s="6">
        <v>1.1645698547363281</v>
      </c>
      <c r="H62" s="6">
        <v>1.0528078079223631</v>
      </c>
      <c r="I62" s="6">
        <v>-1.3104772567749019</v>
      </c>
      <c r="J62" s="6">
        <v>2.89576268196106</v>
      </c>
      <c r="K62" s="6">
        <v>-0.98806905746460005</v>
      </c>
      <c r="L62" s="6">
        <v>1.6576997041702271</v>
      </c>
      <c r="M62" s="6">
        <v>-1.0212980508804319</v>
      </c>
      <c r="N62" s="6">
        <v>0.70269837803714608</v>
      </c>
      <c r="O62" s="6">
        <v>0.87602663793576407</v>
      </c>
      <c r="P62" s="6">
        <v>0.72632971140461111</v>
      </c>
      <c r="Q62" s="6">
        <v>0.61134577058752604</v>
      </c>
      <c r="R62" s="6">
        <v>3.6035787514492181</v>
      </c>
      <c r="S62" s="6">
        <v>5.7707084262438606</v>
      </c>
      <c r="T62" s="6">
        <v>15.768693923950195</v>
      </c>
      <c r="U62" s="6" t="str">
        <f>_xll.BDP($A62,"TRAILING_12M_R&amp;D_%_SALES",$A$1,$A$2)</f>
        <v>#N/A N/A</v>
      </c>
      <c r="V62" s="6">
        <v>40</v>
      </c>
      <c r="W62" s="6">
        <v>402020</v>
      </c>
      <c r="X62" s="6">
        <v>40202010</v>
      </c>
      <c r="Y62" s="7" t="s">
        <v>53</v>
      </c>
      <c r="Z62" s="7" t="s">
        <v>264</v>
      </c>
      <c r="AA62" s="7" t="s">
        <v>264</v>
      </c>
      <c r="AB62" s="6">
        <v>41.464641571044922</v>
      </c>
      <c r="AC62" s="6">
        <v>1.2940388019377229</v>
      </c>
      <c r="AD62" s="6">
        <v>-46.867885632449891</v>
      </c>
      <c r="AE62" s="6">
        <v>10500</v>
      </c>
      <c r="AF62" s="6">
        <v>7600</v>
      </c>
    </row>
    <row r="63" spans="1:32" s="4" customFormat="1" ht="12.75" x14ac:dyDescent="0.2">
      <c r="A63" s="7" t="s">
        <v>265</v>
      </c>
      <c r="B63" s="7" t="s">
        <v>266</v>
      </c>
      <c r="C63" s="7" t="s">
        <v>267</v>
      </c>
      <c r="D63" s="6">
        <v>-0.88431894779205311</v>
      </c>
      <c r="E63" s="6">
        <v>-0.85057741403579712</v>
      </c>
      <c r="F63" s="6">
        <v>1.012432932853699</v>
      </c>
      <c r="G63" s="6">
        <v>1.033831000328064</v>
      </c>
      <c r="H63" s="6">
        <v>0.59921950101852406</v>
      </c>
      <c r="I63" s="6">
        <v>-1.8281757831573001E-2</v>
      </c>
      <c r="J63" s="6">
        <v>1.701255202293396</v>
      </c>
      <c r="K63" s="6">
        <v>-0.18289536237716703</v>
      </c>
      <c r="L63" s="6">
        <v>-0.29219081997871404</v>
      </c>
      <c r="M63" s="6">
        <v>9.6936315298080014E-2</v>
      </c>
      <c r="N63" s="6">
        <v>0.17790974070447102</v>
      </c>
      <c r="O63" s="6">
        <v>0.24524995406427802</v>
      </c>
      <c r="P63" s="6">
        <v>0.85817480172441107</v>
      </c>
      <c r="Q63" s="6">
        <v>0.71274810127910604</v>
      </c>
      <c r="R63" s="6">
        <v>12.177788897222463</v>
      </c>
      <c r="S63" s="6">
        <v>9.0710962563708843</v>
      </c>
      <c r="T63" s="6">
        <v>9.3562479019165039</v>
      </c>
      <c r="U63" s="6">
        <f>_xll.BDP($A63,"TRAILING_12M_R&amp;D_%_SALES",$A$1,$A$2)</f>
        <v>2.1849084456258008</v>
      </c>
      <c r="V63" s="6">
        <v>15</v>
      </c>
      <c r="W63" s="6">
        <v>151040</v>
      </c>
      <c r="X63" s="6">
        <v>15104010</v>
      </c>
      <c r="Y63" s="7" t="s">
        <v>38</v>
      </c>
      <c r="Z63" s="7" t="s">
        <v>71</v>
      </c>
      <c r="AA63" s="7" t="s">
        <v>129</v>
      </c>
      <c r="AB63" s="6">
        <v>55.829391479492188</v>
      </c>
      <c r="AC63" s="6">
        <v>0.26883330665838401</v>
      </c>
      <c r="AD63" s="6">
        <v>-21.915411283117248</v>
      </c>
      <c r="AE63" s="6">
        <v>60056</v>
      </c>
      <c r="AF63" s="6">
        <v>65755</v>
      </c>
    </row>
    <row r="64" spans="1:32" s="4" customFormat="1" ht="12.75" x14ac:dyDescent="0.2">
      <c r="A64" s="7" t="s">
        <v>268</v>
      </c>
      <c r="B64" s="7" t="s">
        <v>269</v>
      </c>
      <c r="C64" s="7" t="s">
        <v>270</v>
      </c>
      <c r="D64" s="6">
        <v>-0.97468781471252408</v>
      </c>
      <c r="E64" s="6">
        <v>-0.51438570022583008</v>
      </c>
      <c r="F64" s="6">
        <v>0.27023261785507202</v>
      </c>
      <c r="G64" s="6">
        <v>-0.82434427738189708</v>
      </c>
      <c r="H64" s="6">
        <v>-1.2831089496612551</v>
      </c>
      <c r="I64" s="6">
        <v>0.79956865310668901</v>
      </c>
      <c r="J64" s="6">
        <v>8.1618756055832006E-2</v>
      </c>
      <c r="K64" s="6">
        <v>-0.94458055496215809</v>
      </c>
      <c r="L64" s="6">
        <v>0.61438870429992709</v>
      </c>
      <c r="M64" s="6">
        <v>-0.6645483374595641</v>
      </c>
      <c r="N64" s="6">
        <v>2.616502640608978</v>
      </c>
      <c r="O64" s="6">
        <v>2.399337660419123</v>
      </c>
      <c r="P64" s="6">
        <v>2.2170561978916372</v>
      </c>
      <c r="Q64" s="6">
        <v>2.312097902802067</v>
      </c>
      <c r="R64" s="6">
        <v>24.716679037236993</v>
      </c>
      <c r="S64" s="6">
        <v>15.800583388997138</v>
      </c>
      <c r="T64" s="6">
        <v>9.710087776184082</v>
      </c>
      <c r="U64" s="6">
        <f>_xll.BDP($A64,"TRAILING_12M_R&amp;D_%_SALES",$A$1,$A$2)</f>
        <v>17.633663361035243</v>
      </c>
      <c r="V64" s="6">
        <v>35</v>
      </c>
      <c r="W64" s="6">
        <v>352020</v>
      </c>
      <c r="X64" s="6">
        <v>35202010</v>
      </c>
      <c r="Y64" s="7" t="s">
        <v>86</v>
      </c>
      <c r="Z64" s="7" t="s">
        <v>271</v>
      </c>
      <c r="AA64" s="7" t="s">
        <v>271</v>
      </c>
      <c r="AB64" s="6">
        <v>60.225330352783203</v>
      </c>
      <c r="AC64" s="6">
        <v>0.34842595431314904</v>
      </c>
      <c r="AD64" s="6">
        <v>0.24772499334040401</v>
      </c>
      <c r="AE64" s="6">
        <v>14522</v>
      </c>
      <c r="AF64" s="6">
        <v>17202</v>
      </c>
    </row>
    <row r="65" spans="1:32" s="4" customFormat="1" ht="12.75" x14ac:dyDescent="0.2">
      <c r="A65" s="7" t="s">
        <v>272</v>
      </c>
      <c r="B65" s="7" t="s">
        <v>273</v>
      </c>
      <c r="C65" s="7" t="s">
        <v>274</v>
      </c>
      <c r="D65" s="6">
        <v>-0.97468781471252408</v>
      </c>
      <c r="E65" s="6">
        <v>-0.51438570022583008</v>
      </c>
      <c r="F65" s="6">
        <v>0.27023261785507202</v>
      </c>
      <c r="G65" s="6">
        <v>-0.82434427738189708</v>
      </c>
      <c r="H65" s="6">
        <v>-1.2831089496612551</v>
      </c>
      <c r="I65" s="6">
        <v>0.79956865310668901</v>
      </c>
      <c r="J65" s="6">
        <v>8.1618756055832006E-2</v>
      </c>
      <c r="K65" s="6">
        <v>-0.94458055496215809</v>
      </c>
      <c r="L65" s="6">
        <v>0.61438870429992709</v>
      </c>
      <c r="M65" s="6">
        <v>-0.6645483374595641</v>
      </c>
      <c r="N65" s="6">
        <v>2.616502640608978</v>
      </c>
      <c r="O65" s="6">
        <v>2.2558558859087032</v>
      </c>
      <c r="P65" s="6">
        <v>2.2170561978916372</v>
      </c>
      <c r="Q65" s="6"/>
      <c r="R65" s="6">
        <v>24.716679037236993</v>
      </c>
      <c r="S65" s="6">
        <v>16.5172053429907</v>
      </c>
      <c r="T65" s="6">
        <v>9.710087776184082</v>
      </c>
      <c r="U65" s="6">
        <f>_xll.BDP($A65,"TRAILING_12M_R&amp;D_%_SALES",$A$1,$A$2)</f>
        <v>17.633663361035243</v>
      </c>
      <c r="V65" s="6">
        <v>35</v>
      </c>
      <c r="W65" s="6">
        <v>352020</v>
      </c>
      <c r="X65" s="6">
        <v>35202010</v>
      </c>
      <c r="Y65" s="7" t="s">
        <v>86</v>
      </c>
      <c r="Z65" s="7" t="s">
        <v>271</v>
      </c>
      <c r="AA65" s="7" t="s">
        <v>271</v>
      </c>
      <c r="AB65" s="6">
        <v>60.225330352783203</v>
      </c>
      <c r="AC65" s="6">
        <v>0.55441104402107499</v>
      </c>
      <c r="AD65" s="6">
        <v>-3.9290814834449632</v>
      </c>
      <c r="AE65" s="6">
        <v>14522</v>
      </c>
      <c r="AF65" s="6">
        <v>17202</v>
      </c>
    </row>
    <row r="66" spans="1:32" s="4" customFormat="1" ht="12.75" x14ac:dyDescent="0.2">
      <c r="A66" s="7" t="s">
        <v>275</v>
      </c>
      <c r="B66" s="7" t="s">
        <v>276</v>
      </c>
      <c r="C66" s="7" t="s">
        <v>277</v>
      </c>
      <c r="D66" s="6">
        <v>-0.35489866137504605</v>
      </c>
      <c r="E66" s="6">
        <v>0.82037997245788608</v>
      </c>
      <c r="F66" s="6">
        <v>0.66902339458465609</v>
      </c>
      <c r="G66" s="6">
        <v>0.43605720996856706</v>
      </c>
      <c r="H66" s="6">
        <v>-0.47196832299232505</v>
      </c>
      <c r="I66" s="6">
        <v>-0.53083324432373002</v>
      </c>
      <c r="J66" s="6">
        <v>0.12390358000993701</v>
      </c>
      <c r="K66" s="6">
        <v>0.319961458444595</v>
      </c>
      <c r="L66" s="6">
        <v>-0.28185376524925204</v>
      </c>
      <c r="M66" s="6">
        <v>0.40936207771301303</v>
      </c>
      <c r="N66" s="6">
        <v>3.2881035019912588</v>
      </c>
      <c r="O66" s="6">
        <v>3.3881310597521321</v>
      </c>
      <c r="P66" s="6">
        <v>6.7400948943697649</v>
      </c>
      <c r="Q66" s="6">
        <v>6.4251425320259541</v>
      </c>
      <c r="R66" s="6">
        <v>12.972150079964074</v>
      </c>
      <c r="S66" s="6">
        <v>14.306319867604969</v>
      </c>
      <c r="T66" s="6">
        <v>53.393886566162109</v>
      </c>
      <c r="U66" s="6">
        <f>_xll.BDP($A66,"TRAILING_12M_R&amp;D_%_SALES",$A$1,$A$2)</f>
        <v>12.078885471322598</v>
      </c>
      <c r="V66" s="6">
        <v>45</v>
      </c>
      <c r="W66" s="6">
        <v>453010</v>
      </c>
      <c r="X66" s="6">
        <v>45301010</v>
      </c>
      <c r="Y66" s="7" t="s">
        <v>66</v>
      </c>
      <c r="Z66" s="7" t="s">
        <v>163</v>
      </c>
      <c r="AA66" s="7" t="s">
        <v>278</v>
      </c>
      <c r="AB66" s="6">
        <v>63.001708984375</v>
      </c>
      <c r="AC66" s="6">
        <v>1.4834335182647831</v>
      </c>
      <c r="AD66" s="6">
        <v>-37.789303484187478</v>
      </c>
      <c r="AE66" s="6">
        <v>33000</v>
      </c>
      <c r="AF66" s="6">
        <v>18400</v>
      </c>
    </row>
    <row r="67" spans="1:32" s="4" customFormat="1" ht="12.75" x14ac:dyDescent="0.2">
      <c r="A67" s="7" t="s">
        <v>279</v>
      </c>
      <c r="B67" s="7" t="s">
        <v>280</v>
      </c>
      <c r="C67" s="7" t="s">
        <v>281</v>
      </c>
      <c r="D67" s="6">
        <v>-4.8839312046766004E-2</v>
      </c>
      <c r="E67" s="6">
        <v>-0.68248909711837802</v>
      </c>
      <c r="F67" s="6">
        <v>-2.3124253749847412</v>
      </c>
      <c r="G67" s="6">
        <v>3.0002627372741699</v>
      </c>
      <c r="H67" s="6">
        <v>-1.2144056558609011</v>
      </c>
      <c r="I67" s="6">
        <v>-1.4115474224090581</v>
      </c>
      <c r="J67" s="6">
        <v>-8.2951530814171004E-2</v>
      </c>
      <c r="K67" s="6">
        <v>2.3714759349822998</v>
      </c>
      <c r="L67" s="6">
        <v>-0.81727248430252109</v>
      </c>
      <c r="M67" s="6">
        <v>3.0000665187835689</v>
      </c>
      <c r="N67" s="6">
        <v>4.1214892781829686</v>
      </c>
      <c r="O67" s="6">
        <v>4.1843769917705229</v>
      </c>
      <c r="P67" s="6">
        <v>1.9142905365145082</v>
      </c>
      <c r="Q67" s="6">
        <v>1.817882462685642</v>
      </c>
      <c r="R67" s="6">
        <v>33.817737135878261</v>
      </c>
      <c r="S67" s="6">
        <v>17.710390520432465</v>
      </c>
      <c r="T67" s="6">
        <v>7.3705368041992188</v>
      </c>
      <c r="U67" s="6">
        <f>_xll.BDP($A67,"TRAILING_12M_R&amp;D_%_SALES",$A$1,$A$2)</f>
        <v>25.037812681791738</v>
      </c>
      <c r="V67" s="6">
        <v>45</v>
      </c>
      <c r="W67" s="6">
        <v>453010</v>
      </c>
      <c r="X67" s="6">
        <v>45301020</v>
      </c>
      <c r="Y67" s="7" t="s">
        <v>66</v>
      </c>
      <c r="Z67" s="7" t="s">
        <v>163</v>
      </c>
      <c r="AA67" s="7" t="s">
        <v>164</v>
      </c>
      <c r="AB67" s="6">
        <v>73.171714782714844</v>
      </c>
      <c r="AC67" s="6">
        <v>1.707355698216269</v>
      </c>
      <c r="AD67" s="6">
        <v>-55.377196440491772</v>
      </c>
      <c r="AE67" s="6">
        <v>15500</v>
      </c>
      <c r="AF67" s="6">
        <v>8900</v>
      </c>
    </row>
    <row r="68" spans="1:32" s="4" customFormat="1" ht="12.75" x14ac:dyDescent="0.2">
      <c r="A68" s="7" t="s">
        <v>282</v>
      </c>
      <c r="B68" s="7" t="s">
        <v>283</v>
      </c>
      <c r="C68" s="7" t="s">
        <v>284</v>
      </c>
      <c r="D68" s="6">
        <v>6.7512229084969011E-2</v>
      </c>
      <c r="E68" s="6">
        <v>1.1286461353302</v>
      </c>
      <c r="F68" s="6">
        <v>-0.29479447007179305</v>
      </c>
      <c r="G68" s="6">
        <v>-0.27983978390693703</v>
      </c>
      <c r="H68" s="6">
        <v>1.245589137077332</v>
      </c>
      <c r="I68" s="6">
        <v>0.88830256462097212</v>
      </c>
      <c r="J68" s="6">
        <v>-0.12252563983202001</v>
      </c>
      <c r="K68" s="6">
        <v>-0.63423168659210205</v>
      </c>
      <c r="L68" s="6">
        <v>0.76371043920517001</v>
      </c>
      <c r="M68" s="6">
        <v>-0.65460312366485607</v>
      </c>
      <c r="N68" s="6">
        <v>5.4350273617312874</v>
      </c>
      <c r="O68" s="6">
        <v>5.0363321755378223</v>
      </c>
      <c r="P68" s="6">
        <v>38.357089667585512</v>
      </c>
      <c r="Q68" s="6">
        <v>42.903316838618963</v>
      </c>
      <c r="R68" s="6">
        <v>16.608336760636668</v>
      </c>
      <c r="S68" s="6">
        <v>14.252601968618938</v>
      </c>
      <c r="T68" s="6">
        <v>115.16428375244141</v>
      </c>
      <c r="U68" s="6">
        <f>_xll.BDP($A68,"TRAILING_12M_R&amp;D_%_SALES",$A$1,$A$2)</f>
        <v>17.843465773097176</v>
      </c>
      <c r="V68" s="6">
        <v>35</v>
      </c>
      <c r="W68" s="6">
        <v>352010</v>
      </c>
      <c r="X68" s="6">
        <v>35201010</v>
      </c>
      <c r="Y68" s="7" t="s">
        <v>86</v>
      </c>
      <c r="Z68" s="7" t="s">
        <v>87</v>
      </c>
      <c r="AA68" s="7" t="s">
        <v>87</v>
      </c>
      <c r="AB68" s="6">
        <v>67.629013061523438</v>
      </c>
      <c r="AC68" s="6">
        <v>0.56597882215666206</v>
      </c>
      <c r="AD68" s="6">
        <v>19.630063993596881</v>
      </c>
      <c r="AE68" s="6">
        <v>24200</v>
      </c>
      <c r="AF68" s="6">
        <v>19200</v>
      </c>
    </row>
    <row r="69" spans="1:32" s="4" customFormat="1" ht="12.75" x14ac:dyDescent="0.2">
      <c r="A69" s="7" t="s">
        <v>285</v>
      </c>
      <c r="B69" s="7" t="s">
        <v>286</v>
      </c>
      <c r="C69" s="7" t="s">
        <v>287</v>
      </c>
      <c r="D69" s="6">
        <v>1.6124194487929001E-2</v>
      </c>
      <c r="E69" s="6">
        <v>1.1371874809265141</v>
      </c>
      <c r="F69" s="6">
        <v>2.1461648941040039</v>
      </c>
      <c r="G69" s="6">
        <v>-0.65991902351379406</v>
      </c>
      <c r="H69" s="6">
        <v>-0.51101577281951904</v>
      </c>
      <c r="I69" s="6">
        <v>-0.24350291490554801</v>
      </c>
      <c r="J69" s="6">
        <v>3.000007152557373</v>
      </c>
      <c r="K69" s="6">
        <v>0.16810844838619202</v>
      </c>
      <c r="L69" s="6">
        <v>3.00003981590271</v>
      </c>
      <c r="M69" s="6">
        <v>2.8804125785827641</v>
      </c>
      <c r="N69" s="6">
        <v>0.50590364863454806</v>
      </c>
      <c r="O69" s="6">
        <v>0.72373649205312207</v>
      </c>
      <c r="P69" s="6">
        <v>0.68260472896874602</v>
      </c>
      <c r="Q69" s="6">
        <v>0.67030110517423203</v>
      </c>
      <c r="R69" s="6">
        <v>1.369764774775635</v>
      </c>
      <c r="S69" s="6">
        <v>6.4082647274055793</v>
      </c>
      <c r="T69" s="6">
        <v>61.993930816650391</v>
      </c>
      <c r="U69" s="6" t="str">
        <f>_xll.BDP($A69,"TRAILING_12M_R&amp;D_%_SALES",$A$1,$A$2)</f>
        <v>#N/A N/A</v>
      </c>
      <c r="V69" s="6">
        <v>20</v>
      </c>
      <c r="W69" s="6">
        <v>203030</v>
      </c>
      <c r="X69" s="6">
        <v>20303010</v>
      </c>
      <c r="Y69" s="7" t="s">
        <v>43</v>
      </c>
      <c r="Z69" s="7" t="s">
        <v>288</v>
      </c>
      <c r="AA69" s="7" t="s">
        <v>288</v>
      </c>
      <c r="AB69" s="6">
        <v>58.454883575439453</v>
      </c>
      <c r="AC69" s="6">
        <v>0.75803967399921302</v>
      </c>
      <c r="AD69" s="6">
        <v>-20.425246970662247</v>
      </c>
      <c r="AE69" s="6">
        <v>85375</v>
      </c>
      <c r="AF69" s="6">
        <v>87736</v>
      </c>
    </row>
    <row r="70" spans="1:32" s="4" customFormat="1" ht="12.75" x14ac:dyDescent="0.2">
      <c r="A70" s="7" t="s">
        <v>289</v>
      </c>
      <c r="B70" s="7" t="s">
        <v>290</v>
      </c>
      <c r="C70" s="7" t="s">
        <v>291</v>
      </c>
      <c r="D70" s="6">
        <v>1.6124194487929001E-2</v>
      </c>
      <c r="E70" s="6">
        <v>1.1371874809265141</v>
      </c>
      <c r="F70" s="6">
        <v>2.1461648941040039</v>
      </c>
      <c r="G70" s="6">
        <v>-0.65991902351379406</v>
      </c>
      <c r="H70" s="6">
        <v>-0.51101577281951904</v>
      </c>
      <c r="I70" s="6">
        <v>-0.24350291490554801</v>
      </c>
      <c r="J70" s="6">
        <v>3.000007152557373</v>
      </c>
      <c r="K70" s="6">
        <v>0.16810844838619202</v>
      </c>
      <c r="L70" s="6">
        <v>3.00003981590271</v>
      </c>
      <c r="M70" s="6">
        <v>2.8804125785827641</v>
      </c>
      <c r="N70" s="6">
        <v>0.50590364863454806</v>
      </c>
      <c r="O70" s="6">
        <v>0.72373649205312207</v>
      </c>
      <c r="P70" s="6">
        <v>0.68260472896874602</v>
      </c>
      <c r="Q70" s="6">
        <v>0.68522986030060706</v>
      </c>
      <c r="R70" s="6">
        <v>1.369764774775635</v>
      </c>
      <c r="S70" s="6">
        <v>6.5509877725593784</v>
      </c>
      <c r="T70" s="6">
        <v>61.993930816650391</v>
      </c>
      <c r="U70" s="6" t="str">
        <f>_xll.BDP($A70,"TRAILING_12M_R&amp;D_%_SALES",$A$1,$A$2)</f>
        <v>#N/A N/A</v>
      </c>
      <c r="V70" s="6">
        <v>20</v>
      </c>
      <c r="W70" s="6">
        <v>203030</v>
      </c>
      <c r="X70" s="6">
        <v>20303010</v>
      </c>
      <c r="Y70" s="7" t="s">
        <v>43</v>
      </c>
      <c r="Z70" s="7" t="s">
        <v>288</v>
      </c>
      <c r="AA70" s="7" t="s">
        <v>288</v>
      </c>
      <c r="AB70" s="6">
        <v>58.454883575439453</v>
      </c>
      <c r="AC70" s="6">
        <v>0.62199064473987009</v>
      </c>
      <c r="AD70" s="6">
        <v>-28.808219735189223</v>
      </c>
      <c r="AE70" s="6">
        <v>85375</v>
      </c>
      <c r="AF70" s="6">
        <v>87736</v>
      </c>
    </row>
    <row r="71" spans="1:32" s="4" customFormat="1" ht="12.75" x14ac:dyDescent="0.2">
      <c r="A71" s="7" t="s">
        <v>292</v>
      </c>
      <c r="B71" s="7" t="s">
        <v>293</v>
      </c>
      <c r="C71" s="7" t="s">
        <v>294</v>
      </c>
      <c r="D71" s="6">
        <v>1.6124194487929001E-2</v>
      </c>
      <c r="E71" s="6">
        <v>1.1371874809265141</v>
      </c>
      <c r="F71" s="6">
        <v>2.1461648941040039</v>
      </c>
      <c r="G71" s="6">
        <v>-0.65991902351379406</v>
      </c>
      <c r="H71" s="6">
        <v>-0.51101577281951904</v>
      </c>
      <c r="I71" s="6">
        <v>-0.24350291490554801</v>
      </c>
      <c r="J71" s="6">
        <v>3.000007152557373</v>
      </c>
      <c r="K71" s="6">
        <v>0.16810844838619202</v>
      </c>
      <c r="L71" s="6">
        <v>3.00003981590271</v>
      </c>
      <c r="M71" s="6">
        <v>2.8804125785827641</v>
      </c>
      <c r="N71" s="6">
        <v>0.50590364863454806</v>
      </c>
      <c r="O71" s="6">
        <v>0.72288276650129601</v>
      </c>
      <c r="P71" s="6">
        <v>0.68260472896874602</v>
      </c>
      <c r="Q71" s="6">
        <v>0.67000457039044503</v>
      </c>
      <c r="R71" s="6">
        <v>1.369764774775635</v>
      </c>
      <c r="S71" s="6">
        <v>6.4054285102659989</v>
      </c>
      <c r="T71" s="6">
        <v>61.993930816650391</v>
      </c>
      <c r="U71" s="6" t="str">
        <f>_xll.BDP($A71,"TRAILING_12M_R&amp;D_%_SALES",$A$1,$A$2)</f>
        <v>#N/A N/A</v>
      </c>
      <c r="V71" s="6">
        <v>20</v>
      </c>
      <c r="W71" s="6">
        <v>203030</v>
      </c>
      <c r="X71" s="6">
        <v>20303010</v>
      </c>
      <c r="Y71" s="7" t="s">
        <v>43</v>
      </c>
      <c r="Z71" s="7" t="s">
        <v>288</v>
      </c>
      <c r="AA71" s="7" t="s">
        <v>288</v>
      </c>
      <c r="AB71" s="6">
        <v>58.454883575439453</v>
      </c>
      <c r="AC71" s="6">
        <v>1.032709364336615</v>
      </c>
      <c r="AD71" s="6">
        <v>-30.106078151291847</v>
      </c>
      <c r="AE71" s="6">
        <v>85375</v>
      </c>
      <c r="AF71" s="6">
        <v>87736</v>
      </c>
    </row>
    <row r="72" spans="1:32" s="4" customFormat="1" ht="12.75" x14ac:dyDescent="0.2">
      <c r="A72" s="7" t="s">
        <v>295</v>
      </c>
      <c r="B72" s="7" t="s">
        <v>296</v>
      </c>
      <c r="C72" s="7" t="s">
        <v>297</v>
      </c>
      <c r="D72" s="6">
        <v>-0.28392708301544201</v>
      </c>
      <c r="E72" s="6">
        <v>0.41847747564315801</v>
      </c>
      <c r="F72" s="6">
        <v>0.60072952508926403</v>
      </c>
      <c r="G72" s="6">
        <v>-0.24774673581123402</v>
      </c>
      <c r="H72" s="6">
        <v>-0.58047026395797707</v>
      </c>
      <c r="I72" s="6">
        <v>0.48373660445213301</v>
      </c>
      <c r="J72" s="6">
        <v>0.43834784626960804</v>
      </c>
      <c r="K72" s="6">
        <v>-0.82001066207885709</v>
      </c>
      <c r="L72" s="6">
        <v>-2.0860532298684002E-2</v>
      </c>
      <c r="M72" s="6">
        <v>-0.95259523391723611</v>
      </c>
      <c r="N72" s="6">
        <v>2.4328861996503299</v>
      </c>
      <c r="O72" s="6">
        <v>2.2817080230945499</v>
      </c>
      <c r="P72" s="6">
        <v>10.199934969362872</v>
      </c>
      <c r="Q72" s="6">
        <v>5.5458988061869778</v>
      </c>
      <c r="R72" s="6">
        <v>11.952160622461752</v>
      </c>
      <c r="S72" s="6">
        <v>10.861213087102398</v>
      </c>
      <c r="T72" s="6">
        <v>58.545291900634766</v>
      </c>
      <c r="U72" s="6" t="str">
        <f>_xll.BDP($A72,"TRAILING_12M_R&amp;D_%_SALES",$A$1,$A$2)</f>
        <v>#N/A N/A</v>
      </c>
      <c r="V72" s="6">
        <v>40</v>
      </c>
      <c r="W72" s="6">
        <v>402030</v>
      </c>
      <c r="X72" s="6">
        <v>40203010</v>
      </c>
      <c r="Y72" s="7" t="s">
        <v>53</v>
      </c>
      <c r="Z72" s="7" t="s">
        <v>298</v>
      </c>
      <c r="AA72" s="7" t="s">
        <v>299</v>
      </c>
      <c r="AB72" s="6">
        <v>44.160545349121094</v>
      </c>
      <c r="AC72" s="6">
        <v>1.1545291356589611</v>
      </c>
      <c r="AD72" s="6">
        <v>4.8659129963068093</v>
      </c>
      <c r="AE72" s="6">
        <v>12000</v>
      </c>
      <c r="AF72" s="6">
        <v>13000</v>
      </c>
    </row>
    <row r="73" spans="1:32" s="4" customFormat="1" ht="12.75" x14ac:dyDescent="0.2">
      <c r="A73" s="7" t="s">
        <v>300</v>
      </c>
      <c r="B73" s="7" t="s">
        <v>301</v>
      </c>
      <c r="C73" s="7" t="s">
        <v>302</v>
      </c>
      <c r="D73" s="6">
        <v>-0.165128454566002</v>
      </c>
      <c r="E73" s="6">
        <v>-6.0841318219900006E-2</v>
      </c>
      <c r="F73" s="6">
        <v>0.78508013486862205</v>
      </c>
      <c r="G73" s="6">
        <v>-0.27548581361770602</v>
      </c>
      <c r="H73" s="6">
        <v>-0.72258269786834706</v>
      </c>
      <c r="I73" s="6">
        <v>0.29225078225135803</v>
      </c>
      <c r="J73" s="6">
        <v>3.000007152557373</v>
      </c>
      <c r="K73" s="6">
        <v>-1.2399971485137939</v>
      </c>
      <c r="L73" s="6">
        <v>-0.10275632143020601</v>
      </c>
      <c r="M73" s="6">
        <v>5.2727971225977006E-2</v>
      </c>
      <c r="N73" s="6">
        <v>0.29882115924999103</v>
      </c>
      <c r="O73" s="6">
        <v>0.36047034658140104</v>
      </c>
      <c r="P73" s="6">
        <v>0.45535512894372304</v>
      </c>
      <c r="Q73" s="6">
        <v>0.39018147408256204</v>
      </c>
      <c r="R73" s="6">
        <v>1.9397407683805461</v>
      </c>
      <c r="S73" s="6">
        <v>7.452012335380199</v>
      </c>
      <c r="T73" s="6">
        <v>26.522359848022461</v>
      </c>
      <c r="U73" s="6" t="str">
        <f>_xll.BDP($A73,"TRAILING_12M_R&amp;D_%_SALES",$A$1,$A$2)</f>
        <v>#N/A N/A</v>
      </c>
      <c r="V73" s="6">
        <v>15</v>
      </c>
      <c r="W73" s="6">
        <v>151040</v>
      </c>
      <c r="X73" s="6">
        <v>15104050</v>
      </c>
      <c r="Y73" s="7" t="s">
        <v>38</v>
      </c>
      <c r="Z73" s="7" t="s">
        <v>71</v>
      </c>
      <c r="AA73" s="7" t="s">
        <v>303</v>
      </c>
      <c r="AB73" s="6">
        <v>73.010765075683594</v>
      </c>
      <c r="AC73" s="6">
        <v>0.43628275894197205</v>
      </c>
      <c r="AD73" s="6">
        <v>-15.520399650203032</v>
      </c>
      <c r="AE73" s="6">
        <v>158000</v>
      </c>
      <c r="AF73" s="6">
        <v>199000</v>
      </c>
    </row>
    <row r="74" spans="1:32" s="4" customFormat="1" ht="12.75" x14ac:dyDescent="0.2">
      <c r="A74" s="7" t="s">
        <v>304</v>
      </c>
      <c r="B74" s="7" t="s">
        <v>305</v>
      </c>
      <c r="C74" s="7" t="s">
        <v>306</v>
      </c>
      <c r="D74" s="6">
        <v>-0.22810409963131001</v>
      </c>
      <c r="E74" s="6">
        <v>0.37622517347335804</v>
      </c>
      <c r="F74" s="6">
        <v>0.67245101928710904</v>
      </c>
      <c r="G74" s="6">
        <v>-0.50760334730148304</v>
      </c>
      <c r="H74" s="6">
        <v>1.539872288703918</v>
      </c>
      <c r="I74" s="6">
        <v>-0.25264742970466603</v>
      </c>
      <c r="J74" s="6">
        <v>-0.56253004074096702</v>
      </c>
      <c r="K74" s="6">
        <v>-0.26455858349800104</v>
      </c>
      <c r="L74" s="6">
        <v>0.62346518039703402</v>
      </c>
      <c r="M74" s="6">
        <v>-0.60995310544967707</v>
      </c>
      <c r="N74" s="6">
        <v>9.3044037820178076</v>
      </c>
      <c r="O74" s="6">
        <v>8.8904040427296138</v>
      </c>
      <c r="P74" s="6">
        <v>15.702893259550788</v>
      </c>
      <c r="Q74" s="6">
        <v>15.209273010163434</v>
      </c>
      <c r="R74" s="6">
        <v>33.478709469304363</v>
      </c>
      <c r="S74" s="6">
        <v>45.334891265069224</v>
      </c>
      <c r="T74" s="6">
        <v>49.653640747070313</v>
      </c>
      <c r="U74" s="6" t="str">
        <f>_xll.BDP($A74,"TRAILING_12M_R&amp;D_%_SALES",$A$1,$A$2)</f>
        <v>#N/A N/A</v>
      </c>
      <c r="V74" s="6">
        <v>60</v>
      </c>
      <c r="W74" s="6">
        <v>601080</v>
      </c>
      <c r="X74" s="6">
        <v>60108030</v>
      </c>
      <c r="Y74" s="7" t="s">
        <v>307</v>
      </c>
      <c r="Z74" s="7" t="s">
        <v>308</v>
      </c>
      <c r="AA74" s="7" t="s">
        <v>309</v>
      </c>
      <c r="AB74" s="6">
        <v>63.223014831542969</v>
      </c>
      <c r="AC74" s="6">
        <v>0.88840388649746105</v>
      </c>
      <c r="AD74" s="6">
        <v>-25.28339338699076</v>
      </c>
      <c r="AE74" s="6">
        <v>6378</v>
      </c>
      <c r="AF74" s="6">
        <v>4507</v>
      </c>
    </row>
    <row r="75" spans="1:32" s="4" customFormat="1" ht="12.75" x14ac:dyDescent="0.2">
      <c r="A75" s="7" t="s">
        <v>310</v>
      </c>
      <c r="B75" s="7" t="s">
        <v>311</v>
      </c>
      <c r="C75" s="7" t="s">
        <v>312</v>
      </c>
      <c r="D75" s="6">
        <v>1.7818945646286011</v>
      </c>
      <c r="E75" s="6">
        <v>-0.91667544841766402</v>
      </c>
      <c r="F75" s="6">
        <v>0.65782463550567605</v>
      </c>
      <c r="G75" s="6">
        <v>8.3364315330982E-2</v>
      </c>
      <c r="H75" s="6">
        <v>2.2476911544800002E-2</v>
      </c>
      <c r="I75" s="6">
        <v>-1.248235821723938</v>
      </c>
      <c r="J75" s="6">
        <v>-0.307267695665359</v>
      </c>
      <c r="K75" s="6">
        <v>1.531468272209167</v>
      </c>
      <c r="L75" s="6">
        <v>-0.81727248430252109</v>
      </c>
      <c r="M75" s="6">
        <v>0.54860520362854004</v>
      </c>
      <c r="N75" s="6">
        <v>1.7021246860416881</v>
      </c>
      <c r="O75" s="6">
        <v>1.5248348593590362</v>
      </c>
      <c r="P75" s="6">
        <v>6.230549265653603</v>
      </c>
      <c r="Q75" s="6">
        <v>4.7433375914443099</v>
      </c>
      <c r="R75" s="6">
        <v>84.756325281489964</v>
      </c>
      <c r="S75" s="6">
        <v>31.040517513649455</v>
      </c>
      <c r="T75" s="6">
        <v>8.7757167816162109</v>
      </c>
      <c r="U75" s="6">
        <f>_xll.BDP($A75,"TRAILING_12M_R&amp;D_%_SALES",$A$1,$A$2)</f>
        <v>13.879261833440706</v>
      </c>
      <c r="V75" s="6">
        <v>25</v>
      </c>
      <c r="W75" s="6">
        <v>255030</v>
      </c>
      <c r="X75" s="6">
        <v>25503030</v>
      </c>
      <c r="Y75" s="7" t="s">
        <v>108</v>
      </c>
      <c r="Z75" s="7" t="s">
        <v>313</v>
      </c>
      <c r="AA75" s="7" t="s">
        <v>313</v>
      </c>
      <c r="AB75" s="6">
        <v>52.821647644042969</v>
      </c>
      <c r="AC75" s="6">
        <v>1.4271059598504792</v>
      </c>
      <c r="AD75" s="6">
        <v>-50.191082641183918</v>
      </c>
      <c r="AE75" s="6">
        <v>1608000</v>
      </c>
      <c r="AF75" s="6">
        <v>341400</v>
      </c>
    </row>
    <row r="76" spans="1:32" s="4" customFormat="1" ht="12.75" x14ac:dyDescent="0.2">
      <c r="A76" s="7" t="s">
        <v>314</v>
      </c>
      <c r="B76" s="7" t="s">
        <v>315</v>
      </c>
      <c r="C76" s="7" t="s">
        <v>316</v>
      </c>
      <c r="D76" s="6">
        <v>-0.30563938617706304</v>
      </c>
      <c r="E76" s="6">
        <v>-0.45778870582580605</v>
      </c>
      <c r="F76" s="6">
        <v>0.54605442285537709</v>
      </c>
      <c r="G76" s="6">
        <v>-0.96305155754089411</v>
      </c>
      <c r="H76" s="6">
        <v>-2.6104271411896002E-2</v>
      </c>
      <c r="I76" s="6">
        <v>0.75833958387374911</v>
      </c>
      <c r="J76" s="6">
        <v>0.266755610704422</v>
      </c>
      <c r="K76" s="6">
        <v>-0.47525155544281006</v>
      </c>
      <c r="L76" s="6">
        <v>-0.36140248179435702</v>
      </c>
      <c r="M76" s="6">
        <v>7.1763262152672008E-2</v>
      </c>
      <c r="N76" s="6">
        <v>0.646059455094396</v>
      </c>
      <c r="O76" s="6">
        <v>0.61665911954891006</v>
      </c>
      <c r="P76" s="6">
        <v>3.4966587557009992</v>
      </c>
      <c r="Q76" s="6">
        <v>3.287497216722219</v>
      </c>
      <c r="R76" s="6">
        <v>16.109656479807821</v>
      </c>
      <c r="S76" s="6">
        <v>15.406933362635211</v>
      </c>
      <c r="T76" s="6">
        <v>22.657054901123047</v>
      </c>
      <c r="U76" s="6" t="str">
        <f>_xll.BDP($A76,"TRAILING_12M_R&amp;D_%_SALES",$A$1,$A$2)</f>
        <v>#N/A N/A</v>
      </c>
      <c r="V76" s="6">
        <v>30</v>
      </c>
      <c r="W76" s="6">
        <v>301010</v>
      </c>
      <c r="X76" s="6">
        <v>30101030</v>
      </c>
      <c r="Y76" s="7" t="s">
        <v>91</v>
      </c>
      <c r="Z76" s="7" t="s">
        <v>133</v>
      </c>
      <c r="AA76" s="7" t="s">
        <v>134</v>
      </c>
      <c r="AB76" s="6">
        <v>47.379539489746094</v>
      </c>
      <c r="AC76" s="6">
        <v>0.84819919720501902</v>
      </c>
      <c r="AD76" s="6">
        <v>5.6317391185718657</v>
      </c>
      <c r="AE76" s="6"/>
      <c r="AF76" s="6"/>
    </row>
    <row r="77" spans="1:32" s="4" customFormat="1" ht="12.75" x14ac:dyDescent="0.2">
      <c r="A77" s="7" t="s">
        <v>317</v>
      </c>
      <c r="B77" s="7" t="s">
        <v>318</v>
      </c>
      <c r="C77" s="7" t="s">
        <v>319</v>
      </c>
      <c r="D77" s="6">
        <v>-0.72935247421264604</v>
      </c>
      <c r="E77" s="6">
        <v>-0.46097841858863803</v>
      </c>
      <c r="F77" s="6">
        <v>0.53879243135452304</v>
      </c>
      <c r="G77" s="6">
        <v>-0.82952558994293202</v>
      </c>
      <c r="H77" s="6">
        <v>-0.21153797209262801</v>
      </c>
      <c r="I77" s="6">
        <v>-7.1118563413620009E-2</v>
      </c>
      <c r="J77" s="6">
        <v>0.86584568023681607</v>
      </c>
      <c r="K77" s="6">
        <v>-0.28906095027923601</v>
      </c>
      <c r="L77" s="6">
        <v>2.148149728775024</v>
      </c>
      <c r="M77" s="6">
        <v>-0.99085259437561013</v>
      </c>
      <c r="N77" s="6"/>
      <c r="O77" s="6"/>
      <c r="P77" s="6"/>
      <c r="Q77" s="6"/>
      <c r="R77" s="6"/>
      <c r="S77" s="6"/>
      <c r="T77" s="6"/>
      <c r="U77" s="6" t="str">
        <f>_xll.BDP($A77,"TRAILING_12M_R&amp;D_%_SALES",$A$1,$A$2)</f>
        <v>#N/A N/A</v>
      </c>
      <c r="V77" s="6">
        <v>40</v>
      </c>
      <c r="W77" s="6">
        <v>401010</v>
      </c>
      <c r="X77" s="6">
        <v>40101010</v>
      </c>
      <c r="Y77" s="7" t="s">
        <v>53</v>
      </c>
      <c r="Z77" s="7" t="s">
        <v>76</v>
      </c>
      <c r="AA77" s="7" t="s">
        <v>77</v>
      </c>
      <c r="AB77" s="6"/>
      <c r="AC77" s="6">
        <v>0.37267293868830603</v>
      </c>
      <c r="AD77" s="6">
        <v>-13.450373887080991</v>
      </c>
      <c r="AE77" s="6"/>
      <c r="AF77" s="6"/>
    </row>
    <row r="78" spans="1:32" s="4" customFormat="1" ht="12.75" x14ac:dyDescent="0.2">
      <c r="A78" s="7" t="s">
        <v>320</v>
      </c>
      <c r="B78" s="7" t="s">
        <v>321</v>
      </c>
      <c r="C78" s="7" t="s">
        <v>322</v>
      </c>
      <c r="D78" s="6">
        <v>-0.72935247421264604</v>
      </c>
      <c r="E78" s="6">
        <v>-0.46097841858863803</v>
      </c>
      <c r="F78" s="6">
        <v>0.53879243135452304</v>
      </c>
      <c r="G78" s="6">
        <v>-0.82952558994293202</v>
      </c>
      <c r="H78" s="6">
        <v>-0.21153797209262801</v>
      </c>
      <c r="I78" s="6">
        <v>-7.1118563413620009E-2</v>
      </c>
      <c r="J78" s="6">
        <v>0.86584568023681607</v>
      </c>
      <c r="K78" s="6">
        <v>-0.28906095027923601</v>
      </c>
      <c r="L78" s="6">
        <v>2.148149728775024</v>
      </c>
      <c r="M78" s="6">
        <v>-0.99085259437561013</v>
      </c>
      <c r="N78" s="6"/>
      <c r="O78" s="6"/>
      <c r="P78" s="6"/>
      <c r="Q78" s="6"/>
      <c r="R78" s="6"/>
      <c r="S78" s="6"/>
      <c r="T78" s="6"/>
      <c r="U78" s="6" t="str">
        <f>_xll.BDP($A78,"TRAILING_12M_R&amp;D_%_SALES",$A$1,$A$2)</f>
        <v>#N/A N/A</v>
      </c>
      <c r="V78" s="6">
        <v>40</v>
      </c>
      <c r="W78" s="6">
        <v>401010</v>
      </c>
      <c r="X78" s="6">
        <v>40101010</v>
      </c>
      <c r="Y78" s="7" t="s">
        <v>53</v>
      </c>
      <c r="Z78" s="7" t="s">
        <v>76</v>
      </c>
      <c r="AA78" s="7" t="s">
        <v>77</v>
      </c>
      <c r="AB78" s="6"/>
      <c r="AC78" s="6">
        <v>0.86114333566853707</v>
      </c>
      <c r="AD78" s="6">
        <v>-15.216480128901889</v>
      </c>
      <c r="AE78" s="6"/>
      <c r="AF78" s="6"/>
    </row>
    <row r="79" spans="1:32" s="4" customFormat="1" ht="12.75" x14ac:dyDescent="0.2">
      <c r="A79" s="7" t="s">
        <v>323</v>
      </c>
      <c r="B79" s="7" t="s">
        <v>324</v>
      </c>
      <c r="C79" s="7" t="s">
        <v>325</v>
      </c>
      <c r="D79" s="6">
        <v>-0.54533302783966109</v>
      </c>
      <c r="E79" s="6">
        <v>1.394232511520386</v>
      </c>
      <c r="F79" s="6">
        <v>0.14652547240257302</v>
      </c>
      <c r="G79" s="6">
        <v>-0.31030654907226601</v>
      </c>
      <c r="H79" s="6">
        <v>0.84807431697845503</v>
      </c>
      <c r="I79" s="6">
        <v>0.251302450895309</v>
      </c>
      <c r="J79" s="6">
        <v>-0.32906493544578602</v>
      </c>
      <c r="K79" s="6">
        <v>-0.51154237985611006</v>
      </c>
      <c r="L79" s="6">
        <v>-0.45447599887847906</v>
      </c>
      <c r="M79" s="6">
        <v>-0.6576511859893801</v>
      </c>
      <c r="N79" s="6">
        <v>5.1874406291816699</v>
      </c>
      <c r="O79" s="6">
        <v>4.7477033623313343</v>
      </c>
      <c r="P79" s="6"/>
      <c r="Q79" s="6">
        <v>105.16645720549094</v>
      </c>
      <c r="R79" s="6">
        <v>25.407940792450479</v>
      </c>
      <c r="S79" s="6">
        <v>20.656092812978454</v>
      </c>
      <c r="T79" s="6"/>
      <c r="U79" s="6">
        <f>_xll.BDP($A79,"TRAILING_12M_R&amp;D_%_SALES",$A$1,$A$2)</f>
        <v>3.433558415084724</v>
      </c>
      <c r="V79" s="6">
        <v>40</v>
      </c>
      <c r="W79" s="6">
        <v>403010</v>
      </c>
      <c r="X79" s="6">
        <v>40301010</v>
      </c>
      <c r="Y79" s="7" t="s">
        <v>53</v>
      </c>
      <c r="Z79" s="7" t="s">
        <v>54</v>
      </c>
      <c r="AA79" s="7" t="s">
        <v>241</v>
      </c>
      <c r="AB79" s="6">
        <v>50.497936248779297</v>
      </c>
      <c r="AC79" s="6">
        <v>0.89819061666492506</v>
      </c>
      <c r="AD79" s="6">
        <v>0.87672080407716901</v>
      </c>
      <c r="AE79" s="6">
        <v>50000</v>
      </c>
      <c r="AF79" s="6">
        <v>69000</v>
      </c>
    </row>
    <row r="80" spans="1:32" s="4" customFormat="1" ht="12.75" x14ac:dyDescent="0.2">
      <c r="A80" s="7" t="s">
        <v>326</v>
      </c>
      <c r="B80" s="7" t="s">
        <v>327</v>
      </c>
      <c r="C80" s="7" t="s">
        <v>328</v>
      </c>
      <c r="D80" s="6">
        <v>-0.27268439531326299</v>
      </c>
      <c r="E80" s="6">
        <v>-1.030654311180115</v>
      </c>
      <c r="F80" s="6">
        <v>0.35598984360694902</v>
      </c>
      <c r="G80" s="6">
        <v>-0.86589044332504306</v>
      </c>
      <c r="H80" s="6">
        <v>0.6241706609725951</v>
      </c>
      <c r="I80" s="6">
        <v>0.30044156312942505</v>
      </c>
      <c r="J80" s="6">
        <v>0.39359557628631603</v>
      </c>
      <c r="K80" s="6">
        <v>-0.96761888265609708</v>
      </c>
      <c r="L80" s="6">
        <v>-0.20355246961116802</v>
      </c>
      <c r="M80" s="6">
        <v>-0.88759446144104004</v>
      </c>
      <c r="N80" s="6">
        <v>0.266294935410822</v>
      </c>
      <c r="O80" s="6">
        <v>0.24421553392930803</v>
      </c>
      <c r="P80" s="6">
        <v>2.3562537419885401</v>
      </c>
      <c r="Q80" s="6">
        <v>2.4246022795688029</v>
      </c>
      <c r="R80" s="6">
        <v>118.12394335014456</v>
      </c>
      <c r="S80" s="6">
        <v>66.134580022580806</v>
      </c>
      <c r="T80" s="6">
        <v>2.007919073104858</v>
      </c>
      <c r="U80" s="6">
        <f>_xll.BDP($A80,"TRAILING_12M_R&amp;D_%_SALES",$A$1,$A$2)</f>
        <v>0</v>
      </c>
      <c r="V80" s="6">
        <v>30</v>
      </c>
      <c r="W80" s="6">
        <v>301010</v>
      </c>
      <c r="X80" s="6">
        <v>30101040</v>
      </c>
      <c r="Y80" s="7" t="s">
        <v>91</v>
      </c>
      <c r="Z80" s="7" t="s">
        <v>133</v>
      </c>
      <c r="AA80" s="7" t="s">
        <v>329</v>
      </c>
      <c r="AB80" s="6">
        <v>53.093250274658203</v>
      </c>
      <c r="AC80" s="6">
        <v>0.36223613831029805</v>
      </c>
      <c r="AD80" s="6">
        <v>-16.350551190365326</v>
      </c>
      <c r="AE80" s="6">
        <v>420663</v>
      </c>
      <c r="AF80" s="6">
        <v>406146</v>
      </c>
    </row>
    <row r="81" spans="1:32" s="4" customFormat="1" ht="12.75" x14ac:dyDescent="0.2">
      <c r="A81" s="7" t="s">
        <v>330</v>
      </c>
      <c r="B81" s="7" t="s">
        <v>331</v>
      </c>
      <c r="C81" s="7" t="s">
        <v>332</v>
      </c>
      <c r="D81" s="6">
        <v>-0.27268439531326299</v>
      </c>
      <c r="E81" s="6">
        <v>-1.030654311180115</v>
      </c>
      <c r="F81" s="6">
        <v>0.35598984360694902</v>
      </c>
      <c r="G81" s="6">
        <v>-0.86589044332504306</v>
      </c>
      <c r="H81" s="6">
        <v>0.6241706609725951</v>
      </c>
      <c r="I81" s="6">
        <v>0.30044156312942505</v>
      </c>
      <c r="J81" s="6">
        <v>0.39359557628631603</v>
      </c>
      <c r="K81" s="6">
        <v>-0.96761888265609708</v>
      </c>
      <c r="L81" s="6">
        <v>-0.20355246961116802</v>
      </c>
      <c r="M81" s="6">
        <v>-0.88759446144104004</v>
      </c>
      <c r="N81" s="6">
        <v>0.266294935410822</v>
      </c>
      <c r="O81" s="6"/>
      <c r="P81" s="6">
        <v>2.3562537419885401</v>
      </c>
      <c r="Q81" s="6"/>
      <c r="R81" s="6">
        <v>118.12394335014456</v>
      </c>
      <c r="S81" s="6"/>
      <c r="T81" s="6">
        <v>2.007919073104858</v>
      </c>
      <c r="U81" s="6">
        <f>_xll.BDP($A81,"TRAILING_12M_R&amp;D_%_SALES",$A$1,$A$2)</f>
        <v>0</v>
      </c>
      <c r="V81" s="6">
        <v>30</v>
      </c>
      <c r="W81" s="6">
        <v>301010</v>
      </c>
      <c r="X81" s="6">
        <v>30101040</v>
      </c>
      <c r="Y81" s="7" t="s">
        <v>91</v>
      </c>
      <c r="Z81" s="7" t="s">
        <v>133</v>
      </c>
      <c r="AA81" s="7" t="s">
        <v>329</v>
      </c>
      <c r="AB81" s="6">
        <v>53.093250274658203</v>
      </c>
      <c r="AC81" s="6">
        <v>0.56619176231589208</v>
      </c>
      <c r="AD81" s="6">
        <v>-9.3605788284389035</v>
      </c>
      <c r="AE81" s="6">
        <v>420663</v>
      </c>
      <c r="AF81" s="6">
        <v>406146</v>
      </c>
    </row>
    <row r="82" spans="1:32" s="4" customFormat="1" ht="12.75" x14ac:dyDescent="0.2">
      <c r="A82" s="7" t="s">
        <v>333</v>
      </c>
      <c r="B82" s="7" t="s">
        <v>334</v>
      </c>
      <c r="C82" s="7" t="s">
        <v>335</v>
      </c>
      <c r="D82" s="6">
        <v>-0.545579314231873</v>
      </c>
      <c r="E82" s="6">
        <v>-0.45577731728553805</v>
      </c>
      <c r="F82" s="6">
        <v>0.16517882049083701</v>
      </c>
      <c r="G82" s="6">
        <v>-0.33144828677177401</v>
      </c>
      <c r="H82" s="6">
        <v>-0.22707852721214303</v>
      </c>
      <c r="I82" s="6">
        <v>0.55020892620086703</v>
      </c>
      <c r="J82" s="6">
        <v>-0.32371532917022705</v>
      </c>
      <c r="K82" s="6">
        <v>-0.27601259946823103</v>
      </c>
      <c r="L82" s="6">
        <v>0.19791050255298601</v>
      </c>
      <c r="M82" s="6">
        <v>-0.74175971746444702</v>
      </c>
      <c r="N82" s="6">
        <v>5.3891855574236764</v>
      </c>
      <c r="O82" s="6">
        <v>5.0572909100961567</v>
      </c>
      <c r="P82" s="6">
        <v>5.2026778091822754</v>
      </c>
      <c r="Q82" s="6">
        <v>4.6030078046480405</v>
      </c>
      <c r="R82" s="6">
        <v>29.568147939328838</v>
      </c>
      <c r="S82" s="6">
        <v>26.371049828612115</v>
      </c>
      <c r="T82" s="6">
        <v>16.909948348999023</v>
      </c>
      <c r="U82" s="6">
        <f>_xll.BDP($A82,"TRAILING_12M_R&amp;D_%_SALES",$A$1,$A$2)</f>
        <v>0.80184798956351222</v>
      </c>
      <c r="V82" s="6">
        <v>15</v>
      </c>
      <c r="W82" s="6">
        <v>151010</v>
      </c>
      <c r="X82" s="6">
        <v>15101040</v>
      </c>
      <c r="Y82" s="7" t="s">
        <v>38</v>
      </c>
      <c r="Z82" s="7" t="s">
        <v>48</v>
      </c>
      <c r="AA82" s="7" t="s">
        <v>49</v>
      </c>
      <c r="AB82" s="6">
        <v>71.914291381835938</v>
      </c>
      <c r="AC82" s="6">
        <v>0.8835472541105911</v>
      </c>
      <c r="AD82" s="6">
        <v>4.5556516469144492</v>
      </c>
      <c r="AE82" s="6">
        <v>19710</v>
      </c>
      <c r="AF82" s="6">
        <v>15000</v>
      </c>
    </row>
    <row r="83" spans="1:32" s="4" customFormat="1" ht="12.75" x14ac:dyDescent="0.2">
      <c r="A83" s="7" t="s">
        <v>336</v>
      </c>
      <c r="B83" s="7" t="s">
        <v>337</v>
      </c>
      <c r="C83" s="7" t="s">
        <v>338</v>
      </c>
      <c r="D83" s="6">
        <v>-0.85043692588806208</v>
      </c>
      <c r="E83" s="6">
        <v>-3.9853986352682003E-2</v>
      </c>
      <c r="F83" s="6">
        <v>-0.63410866260528609</v>
      </c>
      <c r="G83" s="6">
        <v>-0.54685670137405407</v>
      </c>
      <c r="H83" s="6">
        <v>-0.10962837934494001</v>
      </c>
      <c r="I83" s="6">
        <v>0.17608438432216603</v>
      </c>
      <c r="J83" s="6">
        <v>-0.27069732546806302</v>
      </c>
      <c r="K83" s="6">
        <v>4.7597803175449004E-2</v>
      </c>
      <c r="L83" s="6">
        <v>-0.27316862344741805</v>
      </c>
      <c r="M83" s="6">
        <v>-0.23402203619480103</v>
      </c>
      <c r="N83" s="6">
        <v>3.6621287461661689</v>
      </c>
      <c r="O83" s="6">
        <v>3.5365874689392882</v>
      </c>
      <c r="P83" s="6">
        <v>6.9119155706228304</v>
      </c>
      <c r="Q83" s="6">
        <v>5.9103272492701144</v>
      </c>
      <c r="R83" s="6">
        <v>25.954697289897993</v>
      </c>
      <c r="S83" s="6">
        <v>24.902258048544546</v>
      </c>
      <c r="T83" s="6">
        <v>29.716861724853516</v>
      </c>
      <c r="U83" s="6" t="str">
        <f>_xll.BDP($A83,"TRAILING_12M_R&amp;D_%_SALES",$A$1,$A$2)</f>
        <v>#N/A N/A</v>
      </c>
      <c r="V83" s="6">
        <v>45</v>
      </c>
      <c r="W83" s="6">
        <v>452030</v>
      </c>
      <c r="X83" s="6">
        <v>45203015</v>
      </c>
      <c r="Y83" s="7" t="s">
        <v>66</v>
      </c>
      <c r="Z83" s="7" t="s">
        <v>339</v>
      </c>
      <c r="AA83" s="7" t="s">
        <v>340</v>
      </c>
      <c r="AB83" s="6">
        <v>56.543605804443359</v>
      </c>
      <c r="AC83" s="6">
        <v>1.0585851188498989</v>
      </c>
      <c r="AD83" s="6">
        <v>-11.509267397162715</v>
      </c>
      <c r="AE83" s="6">
        <v>90000</v>
      </c>
      <c r="AF83" s="6">
        <v>62000</v>
      </c>
    </row>
    <row r="84" spans="1:32" s="4" customFormat="1" ht="12.75" x14ac:dyDescent="0.2">
      <c r="A84" s="7" t="s">
        <v>341</v>
      </c>
      <c r="B84" s="7" t="s">
        <v>342</v>
      </c>
      <c r="C84" s="7" t="s">
        <v>343</v>
      </c>
      <c r="D84" s="6">
        <v>-0.21057513356208801</v>
      </c>
      <c r="E84" s="6">
        <v>-2.1155827045440669</v>
      </c>
      <c r="F84" s="6">
        <v>-1.726269125938416</v>
      </c>
      <c r="G84" s="6">
        <v>-4.1285086423159006E-2</v>
      </c>
      <c r="H84" s="6">
        <v>0.37599986791610701</v>
      </c>
      <c r="I84" s="6">
        <v>0.20377802848815901</v>
      </c>
      <c r="J84" s="6">
        <v>-1.0678437948226931</v>
      </c>
      <c r="K84" s="6">
        <v>2.1574428081512451</v>
      </c>
      <c r="L84" s="6">
        <v>0.42417228221893305</v>
      </c>
      <c r="M84" s="6">
        <v>0.75153082609176602</v>
      </c>
      <c r="N84" s="6">
        <v>2.9222058979825052</v>
      </c>
      <c r="O84" s="6">
        <v>4.0337350231595916</v>
      </c>
      <c r="P84" s="6"/>
      <c r="Q84" s="6">
        <v>4.3741211691433683</v>
      </c>
      <c r="R84" s="6"/>
      <c r="S84" s="6">
        <v>9.3678522345147019</v>
      </c>
      <c r="T84" s="6"/>
      <c r="U84" s="6" t="str">
        <f>_xll.BDP($A84,"TRAILING_12M_R&amp;D_%_SALES",$A$1,$A$2)</f>
        <v>#N/A N/A</v>
      </c>
      <c r="V84" s="6">
        <v>40</v>
      </c>
      <c r="W84" s="6">
        <v>402010</v>
      </c>
      <c r="X84" s="6">
        <v>40201020</v>
      </c>
      <c r="Y84" s="7" t="s">
        <v>53</v>
      </c>
      <c r="Z84" s="7" t="s">
        <v>344</v>
      </c>
      <c r="AA84" s="7" t="s">
        <v>345</v>
      </c>
      <c r="AB84" s="6">
        <v>39.352176666259766</v>
      </c>
      <c r="AC84" s="6">
        <v>1.259391852795944</v>
      </c>
      <c r="AD84" s="6">
        <v>-10.318099968207806</v>
      </c>
      <c r="AE84" s="6">
        <v>2153</v>
      </c>
      <c r="AF84" s="6">
        <v>986</v>
      </c>
    </row>
    <row r="85" spans="1:32" s="4" customFormat="1" ht="12.75" x14ac:dyDescent="0.2">
      <c r="A85" s="7" t="s">
        <v>346</v>
      </c>
      <c r="B85" s="7" t="s">
        <v>347</v>
      </c>
      <c r="C85" s="7" t="s">
        <v>348</v>
      </c>
      <c r="D85" s="6">
        <v>0.39057129621505704</v>
      </c>
      <c r="E85" s="6">
        <v>-0.77828639745712302</v>
      </c>
      <c r="F85" s="6">
        <v>0.19092608988285101</v>
      </c>
      <c r="G85" s="6">
        <v>-0.72109639644622803</v>
      </c>
      <c r="H85" s="6">
        <v>-0.33705252408981301</v>
      </c>
      <c r="I85" s="6">
        <v>-5.4850339889526006E-2</v>
      </c>
      <c r="J85" s="6">
        <v>1.9271541833877561</v>
      </c>
      <c r="K85" s="6">
        <v>-0.91219550371170011</v>
      </c>
      <c r="L85" s="6">
        <v>2.3817653656005859</v>
      </c>
      <c r="M85" s="6">
        <v>-0.92422825098037709</v>
      </c>
      <c r="N85" s="6">
        <v>0.31924752087861002</v>
      </c>
      <c r="O85" s="6">
        <v>0.30885324644193202</v>
      </c>
      <c r="P85" s="6">
        <v>1.376267463742231</v>
      </c>
      <c r="Q85" s="6">
        <v>1.157682358388413</v>
      </c>
      <c r="R85" s="6">
        <v>9.6595128706266031</v>
      </c>
      <c r="S85" s="6">
        <v>8.0258407581475861</v>
      </c>
      <c r="T85" s="6">
        <v>11.408958435058594</v>
      </c>
      <c r="U85" s="6" t="str">
        <f>_xll.BDP($A85,"TRAILING_12M_R&amp;D_%_SALES",$A$1,$A$2)</f>
        <v>#N/A N/A</v>
      </c>
      <c r="V85" s="6">
        <v>40</v>
      </c>
      <c r="W85" s="6">
        <v>403010</v>
      </c>
      <c r="X85" s="6">
        <v>40301030</v>
      </c>
      <c r="Y85" s="7" t="s">
        <v>53</v>
      </c>
      <c r="Z85" s="7" t="s">
        <v>54</v>
      </c>
      <c r="AA85" s="7" t="s">
        <v>201</v>
      </c>
      <c r="AB85" s="6">
        <v>57.549541473388672</v>
      </c>
      <c r="AC85" s="6">
        <v>0.36456972712403402</v>
      </c>
      <c r="AD85" s="6">
        <v>-11.004371722992012</v>
      </c>
      <c r="AE85" s="6">
        <v>74621</v>
      </c>
      <c r="AF85" s="6">
        <v>73727</v>
      </c>
    </row>
    <row r="86" spans="1:32" s="4" customFormat="1" ht="12.75" x14ac:dyDescent="0.2">
      <c r="A86" s="7" t="s">
        <v>349</v>
      </c>
      <c r="B86" s="7" t="s">
        <v>350</v>
      </c>
      <c r="C86" s="7" t="s">
        <v>351</v>
      </c>
      <c r="D86" s="6">
        <v>0.41893315315246604</v>
      </c>
      <c r="E86" s="6">
        <v>-0.78338319063186601</v>
      </c>
      <c r="F86" s="6">
        <v>0.46341681480407704</v>
      </c>
      <c r="G86" s="6">
        <v>-0.70926976203918501</v>
      </c>
      <c r="H86" s="6">
        <v>-0.36075758934021002</v>
      </c>
      <c r="I86" s="6">
        <v>0.23156911134719801</v>
      </c>
      <c r="J86" s="6">
        <v>1.908932209014893</v>
      </c>
      <c r="K86" s="6">
        <v>-0.88231521844863903</v>
      </c>
      <c r="L86" s="6">
        <v>2.291749238967896</v>
      </c>
      <c r="M86" s="6">
        <v>-0.91332620382309004</v>
      </c>
      <c r="N86" s="6">
        <v>0.31924752087861002</v>
      </c>
      <c r="O86" s="6"/>
      <c r="P86" s="6">
        <v>1.376267463742231</v>
      </c>
      <c r="Q86" s="6"/>
      <c r="R86" s="6">
        <v>9.6595128706266031</v>
      </c>
      <c r="S86" s="6"/>
      <c r="T86" s="6">
        <v>11.408958435058594</v>
      </c>
      <c r="U86" s="6" t="str">
        <f>_xll.BDP($A86,"TRAILING_12M_R&amp;D_%_SALES",$A$1,$A$2)</f>
        <v>#N/A N/A</v>
      </c>
      <c r="V86" s="6">
        <v>40</v>
      </c>
      <c r="W86" s="6">
        <v>403010</v>
      </c>
      <c r="X86" s="6">
        <v>40301030</v>
      </c>
      <c r="Y86" s="7" t="s">
        <v>53</v>
      </c>
      <c r="Z86" s="7" t="s">
        <v>54</v>
      </c>
      <c r="AA86" s="7" t="s">
        <v>201</v>
      </c>
      <c r="AB86" s="6">
        <v>57.549541473388672</v>
      </c>
      <c r="AC86" s="6">
        <v>0.79652892582414203</v>
      </c>
      <c r="AD86" s="6">
        <v>-10.427992806423237</v>
      </c>
      <c r="AE86" s="6">
        <v>74621</v>
      </c>
      <c r="AF86" s="6">
        <v>73727</v>
      </c>
    </row>
    <row r="87" spans="1:32" s="4" customFormat="1" ht="12.75" x14ac:dyDescent="0.2">
      <c r="A87" s="7" t="s">
        <v>352</v>
      </c>
      <c r="B87" s="7" t="s">
        <v>353</v>
      </c>
      <c r="C87" s="7" t="s">
        <v>354</v>
      </c>
      <c r="D87" s="6">
        <v>-2.7267953380942001E-2</v>
      </c>
      <c r="E87" s="6">
        <v>1.074729204177856</v>
      </c>
      <c r="F87" s="6">
        <v>0.88433784246444702</v>
      </c>
      <c r="G87" s="6">
        <v>-0.90282738208770807</v>
      </c>
      <c r="H87" s="6">
        <v>-0.77384424209594704</v>
      </c>
      <c r="I87" s="6">
        <v>-8.7277404963970004E-2</v>
      </c>
      <c r="J87" s="6">
        <v>-0.48023366928100603</v>
      </c>
      <c r="K87" s="6">
        <v>0.86857104301452603</v>
      </c>
      <c r="L87" s="6">
        <v>-0.28751596808433505</v>
      </c>
      <c r="M87" s="6">
        <v>1.106657862663269</v>
      </c>
      <c r="N87" s="6">
        <v>10.207553858317517</v>
      </c>
      <c r="O87" s="6">
        <v>8.1315258842463152</v>
      </c>
      <c r="P87" s="6">
        <v>25.742257844291945</v>
      </c>
      <c r="Q87" s="6">
        <v>19.578491004586361</v>
      </c>
      <c r="R87" s="6">
        <v>36.129772871588237</v>
      </c>
      <c r="S87" s="6">
        <v>28.185226957342124</v>
      </c>
      <c r="T87" s="6">
        <v>57.367080688476563</v>
      </c>
      <c r="U87" s="6">
        <f>_xll.BDP($A87,"TRAILING_12M_R&amp;D_%_SALES",$A$1,$A$2)</f>
        <v>15.227382894182833</v>
      </c>
      <c r="V87" s="6">
        <v>45</v>
      </c>
      <c r="W87" s="6">
        <v>453010</v>
      </c>
      <c r="X87" s="6">
        <v>45301010</v>
      </c>
      <c r="Y87" s="7" t="s">
        <v>66</v>
      </c>
      <c r="Z87" s="7" t="s">
        <v>163</v>
      </c>
      <c r="AA87" s="7" t="s">
        <v>278</v>
      </c>
      <c r="AB87" s="6">
        <v>62.116485595703125</v>
      </c>
      <c r="AC87" s="6">
        <v>1.5333874286332121</v>
      </c>
      <c r="AD87" s="6">
        <v>-30.87939009804974</v>
      </c>
      <c r="AE87" s="6">
        <v>32016</v>
      </c>
      <c r="AF87" s="6">
        <v>13991</v>
      </c>
    </row>
    <row r="88" spans="1:32" s="4" customFormat="1" ht="12.75" x14ac:dyDescent="0.2">
      <c r="A88" s="7" t="s">
        <v>355</v>
      </c>
      <c r="B88" s="7" t="s">
        <v>356</v>
      </c>
      <c r="C88" s="7" t="s">
        <v>357</v>
      </c>
      <c r="D88" s="6">
        <v>-2.7267953380942001E-2</v>
      </c>
      <c r="E88" s="6">
        <v>1.074729204177856</v>
      </c>
      <c r="F88" s="6">
        <v>0.88433784246444702</v>
      </c>
      <c r="G88" s="6">
        <v>-0.90282738208770807</v>
      </c>
      <c r="H88" s="6">
        <v>-0.77384424209594704</v>
      </c>
      <c r="I88" s="6">
        <v>-8.7277404963970004E-2</v>
      </c>
      <c r="J88" s="6">
        <v>-0.48023366928100603</v>
      </c>
      <c r="K88" s="6">
        <v>0.86857104301452603</v>
      </c>
      <c r="L88" s="6">
        <v>-0.28751596808433505</v>
      </c>
      <c r="M88" s="6">
        <v>1.106657862663269</v>
      </c>
      <c r="N88" s="6">
        <v>10.207553858317517</v>
      </c>
      <c r="O88" s="6">
        <v>8.0947391566214382</v>
      </c>
      <c r="P88" s="6">
        <v>25.742257844291945</v>
      </c>
      <c r="Q88" s="6">
        <v>19.489985704118745</v>
      </c>
      <c r="R88" s="6">
        <v>36.129772871588237</v>
      </c>
      <c r="S88" s="6">
        <v>27.303500828147968</v>
      </c>
      <c r="T88" s="6">
        <v>57.367080688476563</v>
      </c>
      <c r="U88" s="6">
        <f>_xll.BDP($A88,"TRAILING_12M_R&amp;D_%_SALES",$A$1,$A$2)</f>
        <v>15.227382894182833</v>
      </c>
      <c r="V88" s="6">
        <v>45</v>
      </c>
      <c r="W88" s="6">
        <v>453010</v>
      </c>
      <c r="X88" s="6">
        <v>45301010</v>
      </c>
      <c r="Y88" s="7" t="s">
        <v>66</v>
      </c>
      <c r="Z88" s="7" t="s">
        <v>163</v>
      </c>
      <c r="AA88" s="7" t="s">
        <v>278</v>
      </c>
      <c r="AB88" s="6">
        <v>62.116485595703125</v>
      </c>
      <c r="AC88" s="6">
        <v>1.3986697328974151</v>
      </c>
      <c r="AD88" s="6">
        <v>-32.159114499258578</v>
      </c>
      <c r="AE88" s="6">
        <v>32016</v>
      </c>
      <c r="AF88" s="6">
        <v>13991</v>
      </c>
    </row>
    <row r="89" spans="1:32" s="4" customFormat="1" ht="12.75" x14ac:dyDescent="0.2">
      <c r="A89" s="7" t="s">
        <v>358</v>
      </c>
      <c r="B89" s="7" t="s">
        <v>359</v>
      </c>
      <c r="C89" s="7" t="s">
        <v>360</v>
      </c>
      <c r="D89" s="6">
        <v>-0.90908795595169112</v>
      </c>
      <c r="E89" s="6">
        <v>-0.44922453165054305</v>
      </c>
      <c r="F89" s="6">
        <v>0.318972438573837</v>
      </c>
      <c r="G89" s="6">
        <v>-0.71611839532852206</v>
      </c>
      <c r="H89" s="6">
        <v>-1.3198554515838621</v>
      </c>
      <c r="I89" s="6">
        <v>-8.5349954664707003E-2</v>
      </c>
      <c r="J89" s="6">
        <v>1.112352609634399</v>
      </c>
      <c r="K89" s="6">
        <v>9.3093059957027005E-2</v>
      </c>
      <c r="L89" s="6">
        <v>2.0241963863372798</v>
      </c>
      <c r="M89" s="6">
        <v>0.178319647908211</v>
      </c>
      <c r="N89" s="6">
        <v>0.35484707916496305</v>
      </c>
      <c r="O89" s="6"/>
      <c r="P89" s="6">
        <v>0.92143646433141813</v>
      </c>
      <c r="Q89" s="6"/>
      <c r="R89" s="6">
        <v>6.5226100487338323</v>
      </c>
      <c r="S89" s="6"/>
      <c r="T89" s="6">
        <v>14.128347396850586</v>
      </c>
      <c r="U89" s="6">
        <f>_xll.BDP($A89,"TRAILING_12M_R&amp;D_%_SALES",$A$1,$A$2)</f>
        <v>4.0273073740794025</v>
      </c>
      <c r="V89" s="6">
        <v>45</v>
      </c>
      <c r="W89" s="6">
        <v>452020</v>
      </c>
      <c r="X89" s="6">
        <v>45202030</v>
      </c>
      <c r="Y89" s="7" t="s">
        <v>66</v>
      </c>
      <c r="Z89" s="7" t="s">
        <v>67</v>
      </c>
      <c r="AA89" s="7" t="s">
        <v>67</v>
      </c>
      <c r="AB89" s="6">
        <v>58.585655212402344</v>
      </c>
      <c r="AC89" s="6"/>
      <c r="AD89" s="6"/>
      <c r="AE89" s="6">
        <v>6957</v>
      </c>
      <c r="AF89" s="6"/>
    </row>
    <row r="90" spans="1:32" s="4" customFormat="1" ht="12.75" x14ac:dyDescent="0.2">
      <c r="A90" s="7" t="s">
        <v>361</v>
      </c>
      <c r="B90" s="7" t="s">
        <v>362</v>
      </c>
      <c r="C90" s="7" t="s">
        <v>363</v>
      </c>
      <c r="D90" s="6">
        <v>-0.98962593078613303</v>
      </c>
      <c r="E90" s="6">
        <v>-0.15529365837574002</v>
      </c>
      <c r="F90" s="6">
        <v>0.81146895885467507</v>
      </c>
      <c r="G90" s="6">
        <v>-0.675029337406158</v>
      </c>
      <c r="H90" s="6">
        <v>-3.8602933287621002E-2</v>
      </c>
      <c r="I90" s="6">
        <v>0.26515582203865101</v>
      </c>
      <c r="J90" s="6">
        <v>1.79861056804657</v>
      </c>
      <c r="K90" s="6">
        <v>0.162023290991783</v>
      </c>
      <c r="L90" s="6">
        <v>2.8123669624328613</v>
      </c>
      <c r="M90" s="6">
        <v>0.11881203949451401</v>
      </c>
      <c r="N90" s="6">
        <v>0.607507759844502</v>
      </c>
      <c r="O90" s="6">
        <v>0.589508186432393</v>
      </c>
      <c r="P90" s="6">
        <v>1.3974098837113591</v>
      </c>
      <c r="Q90" s="6"/>
      <c r="R90" s="6">
        <v>5.2432323561461853</v>
      </c>
      <c r="S90" s="6">
        <v>7.3713155164477868</v>
      </c>
      <c r="T90" s="6">
        <v>29.520114898681641</v>
      </c>
      <c r="U90" s="6">
        <f>_xll.BDP($A90,"TRAILING_12M_R&amp;D_%_SALES",$A$1,$A$2)</f>
        <v>4.8420975621344757</v>
      </c>
      <c r="V90" s="6">
        <v>45</v>
      </c>
      <c r="W90" s="6">
        <v>453010</v>
      </c>
      <c r="X90" s="6">
        <v>45301020</v>
      </c>
      <c r="Y90" s="7" t="s">
        <v>66</v>
      </c>
      <c r="Z90" s="7" t="s">
        <v>163</v>
      </c>
      <c r="AA90" s="7" t="s">
        <v>164</v>
      </c>
      <c r="AB90" s="6">
        <v>78.523284912109375</v>
      </c>
      <c r="AC90" s="6">
        <v>1.242009867421314</v>
      </c>
      <c r="AD90" s="6">
        <v>-12.091790175166018</v>
      </c>
      <c r="AE90" s="6"/>
      <c r="AF90" s="6"/>
    </row>
    <row r="91" spans="1:32" s="4" customFormat="1" ht="12.75" x14ac:dyDescent="0.2">
      <c r="A91" s="7" t="s">
        <v>364</v>
      </c>
      <c r="B91" s="7" t="s">
        <v>365</v>
      </c>
      <c r="C91" s="7" t="s">
        <v>366</v>
      </c>
      <c r="D91" s="6">
        <v>-0.72261035442352306</v>
      </c>
      <c r="E91" s="6">
        <v>-0.56078088283538807</v>
      </c>
      <c r="F91" s="6">
        <v>-1.2097276449203491</v>
      </c>
      <c r="G91" s="6">
        <v>0.44914752244949302</v>
      </c>
      <c r="H91" s="6">
        <v>-0.8380295634269711</v>
      </c>
      <c r="I91" s="6">
        <v>0.93484091758728005</v>
      </c>
      <c r="J91" s="6">
        <v>-0.31335157155990601</v>
      </c>
      <c r="K91" s="6">
        <v>0.15242089331150102</v>
      </c>
      <c r="L91" s="6">
        <v>-0.51747703552246105</v>
      </c>
      <c r="M91" s="6">
        <v>-0.557719826698303</v>
      </c>
      <c r="N91" s="6">
        <v>8.1225521492519341</v>
      </c>
      <c r="O91" s="6">
        <v>6.2695975367852359</v>
      </c>
      <c r="P91" s="6">
        <v>3.1850777956039309</v>
      </c>
      <c r="Q91" s="6">
        <v>2.654744042513371</v>
      </c>
      <c r="R91" s="6">
        <v>34.697403427551279</v>
      </c>
      <c r="S91" s="6">
        <v>19.88119423743456</v>
      </c>
      <c r="T91" s="6">
        <v>9.3629398345947266</v>
      </c>
      <c r="U91" s="6">
        <f>_xll.BDP($A91,"TRAILING_12M_R&amp;D_%_SALES",$A$1,$A$2)</f>
        <v>18.033540087296117</v>
      </c>
      <c r="V91" s="6">
        <v>50</v>
      </c>
      <c r="W91" s="6">
        <v>502020</v>
      </c>
      <c r="X91" s="6">
        <v>50202020</v>
      </c>
      <c r="Y91" s="7" t="s">
        <v>367</v>
      </c>
      <c r="Z91" s="7" t="s">
        <v>368</v>
      </c>
      <c r="AA91" s="7" t="s">
        <v>369</v>
      </c>
      <c r="AB91" s="6">
        <v>48.767730712890625</v>
      </c>
      <c r="AC91" s="6">
        <v>0.47370484436062904</v>
      </c>
      <c r="AD91" s="6">
        <v>14.098163273707209</v>
      </c>
      <c r="AE91" s="6">
        <v>9800</v>
      </c>
      <c r="AF91" s="6">
        <v>9600</v>
      </c>
    </row>
    <row r="92" spans="1:32" s="4" customFormat="1" ht="12.75" x14ac:dyDescent="0.2">
      <c r="A92" s="7" t="s">
        <v>370</v>
      </c>
      <c r="B92" s="7" t="s">
        <v>371</v>
      </c>
      <c r="C92" s="7" t="s">
        <v>372</v>
      </c>
      <c r="D92" s="6">
        <v>0.31120082736015303</v>
      </c>
      <c r="E92" s="6">
        <v>0.89964818954467807</v>
      </c>
      <c r="F92" s="6">
        <v>0.50024807453155506</v>
      </c>
      <c r="G92" s="6">
        <v>-0.23629187047481501</v>
      </c>
      <c r="H92" s="6">
        <v>0.66721367835998502</v>
      </c>
      <c r="I92" s="6">
        <v>0.29904633760452304</v>
      </c>
      <c r="J92" s="6">
        <v>-6.8390943109989E-2</v>
      </c>
      <c r="K92" s="6">
        <v>-0.40840017795562705</v>
      </c>
      <c r="L92" s="6">
        <v>0.82080847024917603</v>
      </c>
      <c r="M92" s="6">
        <v>-8.7921634316444008E-2</v>
      </c>
      <c r="N92" s="6">
        <v>6.886648680505453</v>
      </c>
      <c r="O92" s="6">
        <v>6.5865709568438859</v>
      </c>
      <c r="P92" s="6">
        <v>10.291793658816148</v>
      </c>
      <c r="Q92" s="6">
        <v>10.163945622841101</v>
      </c>
      <c r="R92" s="6">
        <v>20.524235521720481</v>
      </c>
      <c r="S92" s="6">
        <v>13.534160689563693</v>
      </c>
      <c r="T92" s="6">
        <v>51.058891296386719</v>
      </c>
      <c r="U92" s="6">
        <f>_xll.BDP($A92,"TRAILING_12M_R&amp;D_%_SALES",$A$1,$A$2)</f>
        <v>18.051731492612557</v>
      </c>
      <c r="V92" s="6">
        <v>45</v>
      </c>
      <c r="W92" s="6">
        <v>453010</v>
      </c>
      <c r="X92" s="6">
        <v>45301020</v>
      </c>
      <c r="Y92" s="7" t="s">
        <v>66</v>
      </c>
      <c r="Z92" s="7" t="s">
        <v>163</v>
      </c>
      <c r="AA92" s="7" t="s">
        <v>164</v>
      </c>
      <c r="AB92" s="6">
        <v>54.380847930908203</v>
      </c>
      <c r="AC92" s="6">
        <v>1.197338855980395</v>
      </c>
      <c r="AD92" s="6">
        <v>-13.222422917621046</v>
      </c>
      <c r="AE92" s="6">
        <v>20000</v>
      </c>
      <c r="AF92" s="6">
        <v>14000</v>
      </c>
    </row>
    <row r="93" spans="1:32" s="4" customFormat="1" ht="12.75" x14ac:dyDescent="0.2">
      <c r="A93" s="7" t="s">
        <v>373</v>
      </c>
      <c r="B93" s="7" t="s">
        <v>374</v>
      </c>
      <c r="C93" s="7" t="s">
        <v>375</v>
      </c>
      <c r="D93" s="6">
        <v>0.82704144716262806</v>
      </c>
      <c r="E93" s="6">
        <v>-0.74793845415115401</v>
      </c>
      <c r="F93" s="6">
        <v>1.8243048191070561</v>
      </c>
      <c r="G93" s="6">
        <v>-0.84516394138336204</v>
      </c>
      <c r="H93" s="6">
        <v>-0.74880671501159701</v>
      </c>
      <c r="I93" s="6">
        <v>0.57428675889968905</v>
      </c>
      <c r="J93" s="6">
        <v>0.89210051298141502</v>
      </c>
      <c r="K93" s="6">
        <v>-1.041346073150635</v>
      </c>
      <c r="L93" s="6">
        <v>2.017815113067627</v>
      </c>
      <c r="M93" s="6">
        <v>-0.97168898582458507</v>
      </c>
      <c r="N93" s="6">
        <v>0.56775158539622905</v>
      </c>
      <c r="O93" s="6">
        <v>0.56348566556868407</v>
      </c>
      <c r="P93" s="6">
        <v>1.320985218854789</v>
      </c>
      <c r="Q93" s="6">
        <v>1.1158181595916701</v>
      </c>
      <c r="R93" s="6">
        <v>8.2305840435445408</v>
      </c>
      <c r="S93" s="6">
        <v>7.6736494387276464</v>
      </c>
      <c r="T93" s="6">
        <v>13.632264137268066</v>
      </c>
      <c r="U93" s="6" t="str">
        <f>_xll.BDP($A93,"TRAILING_12M_R&amp;D_%_SALES",$A$1,$A$2)</f>
        <v>#N/A N/A</v>
      </c>
      <c r="V93" s="6">
        <v>40</v>
      </c>
      <c r="W93" s="6">
        <v>403010</v>
      </c>
      <c r="X93" s="6">
        <v>40301030</v>
      </c>
      <c r="Y93" s="7" t="s">
        <v>53</v>
      </c>
      <c r="Z93" s="7" t="s">
        <v>54</v>
      </c>
      <c r="AA93" s="7" t="s">
        <v>201</v>
      </c>
      <c r="AB93" s="6">
        <v>57.006336212158203</v>
      </c>
      <c r="AC93" s="6">
        <v>0.77101350995882612</v>
      </c>
      <c r="AD93" s="6">
        <v>-0.6050592428496151</v>
      </c>
      <c r="AE93" s="6">
        <v>110477</v>
      </c>
      <c r="AF93" s="6">
        <v>118366</v>
      </c>
    </row>
    <row r="94" spans="1:32" s="4" customFormat="1" ht="12.75" x14ac:dyDescent="0.2">
      <c r="A94" s="7" t="s">
        <v>376</v>
      </c>
      <c r="B94" s="7" t="s">
        <v>377</v>
      </c>
      <c r="C94" s="7" t="s">
        <v>378</v>
      </c>
      <c r="D94" s="6">
        <v>0.82704144716262806</v>
      </c>
      <c r="E94" s="6">
        <v>-0.74793845415115401</v>
      </c>
      <c r="F94" s="6">
        <v>1.8243048191070561</v>
      </c>
      <c r="G94" s="6">
        <v>-0.84516394138336204</v>
      </c>
      <c r="H94" s="6">
        <v>-0.74880671501159701</v>
      </c>
      <c r="I94" s="6">
        <v>0.57428675889968905</v>
      </c>
      <c r="J94" s="6">
        <v>0.89210051298141502</v>
      </c>
      <c r="K94" s="6">
        <v>-1.041346073150635</v>
      </c>
      <c r="L94" s="6">
        <v>2.017815113067627</v>
      </c>
      <c r="M94" s="6">
        <v>-0.97168898582458507</v>
      </c>
      <c r="N94" s="6">
        <v>0.56775158539622905</v>
      </c>
      <c r="O94" s="6">
        <v>0.56272824283758305</v>
      </c>
      <c r="P94" s="6">
        <v>1.320985218854789</v>
      </c>
      <c r="Q94" s="6">
        <v>1.121158029094637</v>
      </c>
      <c r="R94" s="6">
        <v>8.2305840435445408</v>
      </c>
      <c r="S94" s="6">
        <v>7.7103746257712107</v>
      </c>
      <c r="T94" s="6">
        <v>13.632264137268066</v>
      </c>
      <c r="U94" s="6" t="str">
        <f>_xll.BDP($A94,"TRAILING_12M_R&amp;D_%_SALES",$A$1,$A$2)</f>
        <v>#N/A N/A</v>
      </c>
      <c r="V94" s="6">
        <v>40</v>
      </c>
      <c r="W94" s="6">
        <v>403010</v>
      </c>
      <c r="X94" s="6">
        <v>40301030</v>
      </c>
      <c r="Y94" s="7" t="s">
        <v>53</v>
      </c>
      <c r="Z94" s="7" t="s">
        <v>54</v>
      </c>
      <c r="AA94" s="7" t="s">
        <v>201</v>
      </c>
      <c r="AB94" s="6">
        <v>57.006336212158203</v>
      </c>
      <c r="AC94" s="6">
        <v>0.84428802168498607</v>
      </c>
      <c r="AD94" s="6">
        <v>-0.28755200355942101</v>
      </c>
      <c r="AE94" s="6">
        <v>110477</v>
      </c>
      <c r="AF94" s="6">
        <v>118366</v>
      </c>
    </row>
    <row r="95" spans="1:32" s="4" customFormat="1" ht="12.75" x14ac:dyDescent="0.2">
      <c r="A95" s="7" t="s">
        <v>379</v>
      </c>
      <c r="B95" s="7" t="s">
        <v>380</v>
      </c>
      <c r="C95" s="7" t="s">
        <v>381</v>
      </c>
      <c r="D95" s="6">
        <v>-0.25503072142601002</v>
      </c>
      <c r="E95" s="6">
        <v>-0.48804941773414606</v>
      </c>
      <c r="F95" s="6">
        <v>1.5955488681793211</v>
      </c>
      <c r="G95" s="6">
        <v>-0.80228120088577304</v>
      </c>
      <c r="H95" s="6">
        <v>0.683954298496246</v>
      </c>
      <c r="I95" s="6">
        <v>0.20370192825794201</v>
      </c>
      <c r="J95" s="6">
        <v>0.35205599665641801</v>
      </c>
      <c r="K95" s="6">
        <v>0.17852866649627702</v>
      </c>
      <c r="L95" s="6">
        <v>-0.55018687248230003</v>
      </c>
      <c r="M95" s="6">
        <v>-0.85650169849395807</v>
      </c>
      <c r="N95" s="6">
        <v>3.080461216639983</v>
      </c>
      <c r="O95" s="6"/>
      <c r="P95" s="6">
        <v>2.2321380956858849</v>
      </c>
      <c r="Q95" s="6"/>
      <c r="R95" s="6">
        <v>15.604110922777434</v>
      </c>
      <c r="S95" s="6"/>
      <c r="T95" s="6">
        <v>15.427371025085449</v>
      </c>
      <c r="U95" s="6" t="str">
        <f>_xll.BDP($A95,"TRAILING_12M_R&amp;D_%_SALES",$A$1,$A$2)</f>
        <v>#N/A N/A</v>
      </c>
      <c r="V95" s="6">
        <v>40</v>
      </c>
      <c r="W95" s="6">
        <v>401010</v>
      </c>
      <c r="X95" s="6">
        <v>40101010</v>
      </c>
      <c r="Y95" s="7" t="s">
        <v>53</v>
      </c>
      <c r="Z95" s="7" t="s">
        <v>76</v>
      </c>
      <c r="AA95" s="7" t="s">
        <v>77</v>
      </c>
      <c r="AB95" s="6"/>
      <c r="AC95" s="6"/>
      <c r="AD95" s="6"/>
      <c r="AE95" s="6">
        <v>85815</v>
      </c>
      <c r="AF95" s="6">
        <v>56617</v>
      </c>
    </row>
    <row r="96" spans="1:32" s="4" customFormat="1" ht="12.75" x14ac:dyDescent="0.2">
      <c r="A96" s="7" t="s">
        <v>382</v>
      </c>
      <c r="B96" s="7" t="s">
        <v>383</v>
      </c>
      <c r="C96" s="7" t="s">
        <v>384</v>
      </c>
      <c r="D96" s="6">
        <v>0.46418240666389504</v>
      </c>
      <c r="E96" s="6">
        <v>-0.26883140206337003</v>
      </c>
      <c r="F96" s="6">
        <v>-0.124717235565186</v>
      </c>
      <c r="G96" s="6">
        <v>-0.43083626031875605</v>
      </c>
      <c r="H96" s="6">
        <v>0.35193651914596602</v>
      </c>
      <c r="I96" s="6">
        <v>4.1644372045994006E-2</v>
      </c>
      <c r="J96" s="6">
        <v>0.33229154348373402</v>
      </c>
      <c r="K96" s="6">
        <v>-0.50307220220565807</v>
      </c>
      <c r="L96" s="6">
        <v>-0.116629056632519</v>
      </c>
      <c r="M96" s="6">
        <v>-0.72208017110824607</v>
      </c>
      <c r="N96" s="6">
        <v>2.1196934006552768</v>
      </c>
      <c r="O96" s="6">
        <v>1.8807443530460932</v>
      </c>
      <c r="P96" s="6">
        <v>4.6102440567716059</v>
      </c>
      <c r="Q96" s="6">
        <v>4.1242796350902244</v>
      </c>
      <c r="R96" s="6">
        <v>14.849246159993243</v>
      </c>
      <c r="S96" s="6">
        <v>13.796019595880541</v>
      </c>
      <c r="T96" s="6">
        <v>31.178926467895508</v>
      </c>
      <c r="U96" s="6" t="str">
        <f>_xll.BDP($A96,"TRAILING_12M_R&amp;D_%_SALES",$A$1,$A$2)</f>
        <v>#N/A N/A</v>
      </c>
      <c r="V96" s="6">
        <v>40</v>
      </c>
      <c r="W96" s="6">
        <v>402020</v>
      </c>
      <c r="X96" s="6">
        <v>40202010</v>
      </c>
      <c r="Y96" s="7" t="s">
        <v>53</v>
      </c>
      <c r="Z96" s="7" t="s">
        <v>264</v>
      </c>
      <c r="AA96" s="7" t="s">
        <v>264</v>
      </c>
      <c r="AB96" s="6">
        <v>61.633636474609375</v>
      </c>
      <c r="AC96" s="6">
        <v>1.0878540560039691</v>
      </c>
      <c r="AD96" s="6">
        <v>-8.8421807358492259</v>
      </c>
      <c r="AE96" s="6">
        <v>64000</v>
      </c>
      <c r="AF96" s="6">
        <v>56400</v>
      </c>
    </row>
    <row r="97" spans="1:32" s="4" customFormat="1" ht="12.75" x14ac:dyDescent="0.2">
      <c r="A97" s="7" t="s">
        <v>385</v>
      </c>
      <c r="B97" s="7" t="s">
        <v>386</v>
      </c>
      <c r="C97" s="7" t="s">
        <v>387</v>
      </c>
      <c r="D97" s="6">
        <v>-0.77434390783309903</v>
      </c>
      <c r="E97" s="6">
        <v>0.136313617229462</v>
      </c>
      <c r="F97" s="6">
        <v>-0.89448833465576205</v>
      </c>
      <c r="G97" s="6">
        <v>0.34655356407165505</v>
      </c>
      <c r="H97" s="6">
        <v>1.310066342353821</v>
      </c>
      <c r="I97" s="6">
        <v>0.66696697473526001</v>
      </c>
      <c r="J97" s="6">
        <v>-0.22295571863651301</v>
      </c>
      <c r="K97" s="6">
        <v>0.17801427841186501</v>
      </c>
      <c r="L97" s="6">
        <v>-0.81727248430252109</v>
      </c>
      <c r="M97" s="6">
        <v>-5.8250620961189006E-2</v>
      </c>
      <c r="N97" s="6">
        <v>2.9177185078667081</v>
      </c>
      <c r="O97" s="6">
        <v>2.644826389293927</v>
      </c>
      <c r="P97" s="6"/>
      <c r="Q97" s="6"/>
      <c r="R97" s="6">
        <v>20.673819701109561</v>
      </c>
      <c r="S97" s="6">
        <v>18.74419466997168</v>
      </c>
      <c r="T97" s="6"/>
      <c r="U97" s="6" t="str">
        <f>_xll.BDP($A97,"TRAILING_12M_R&amp;D_%_SALES",$A$1,$A$2)</f>
        <v>#N/A N/A</v>
      </c>
      <c r="V97" s="6">
        <v>25</v>
      </c>
      <c r="W97" s="6">
        <v>255040</v>
      </c>
      <c r="X97" s="6">
        <v>25504050</v>
      </c>
      <c r="Y97" s="7" t="s">
        <v>108</v>
      </c>
      <c r="Z97" s="7" t="s">
        <v>388</v>
      </c>
      <c r="AA97" s="7" t="s">
        <v>389</v>
      </c>
      <c r="AB97" s="6">
        <v>55.416961669921875</v>
      </c>
      <c r="AC97" s="6">
        <v>0.72712222993546205</v>
      </c>
      <c r="AD97" s="6">
        <v>18.309246662701728</v>
      </c>
      <c r="AE97" s="6">
        <v>69440</v>
      </c>
      <c r="AF97" s="6">
        <v>87000</v>
      </c>
    </row>
    <row r="98" spans="1:32" s="4" customFormat="1" ht="12.75" x14ac:dyDescent="0.2">
      <c r="A98" s="7" t="s">
        <v>390</v>
      </c>
      <c r="B98" s="7" t="s">
        <v>391</v>
      </c>
      <c r="C98" s="7" t="s">
        <v>392</v>
      </c>
      <c r="D98" s="6">
        <v>0.38746637105941806</v>
      </c>
      <c r="E98" s="6">
        <v>-1.8951305150985722</v>
      </c>
      <c r="F98" s="6">
        <v>-1.2851308584213261</v>
      </c>
      <c r="G98" s="6">
        <v>1.7336215972900391</v>
      </c>
      <c r="H98" s="6">
        <v>1.2202702760696411</v>
      </c>
      <c r="I98" s="6">
        <v>8.3412483334541002E-2</v>
      </c>
      <c r="J98" s="6">
        <v>-1.1266578435897829</v>
      </c>
      <c r="K98" s="6">
        <v>-2.9856532812119002E-2</v>
      </c>
      <c r="L98" s="6">
        <v>-0.81727248430252109</v>
      </c>
      <c r="M98" s="6">
        <v>0.45168638229370106</v>
      </c>
      <c r="N98" s="6">
        <v>1.8416683344432281</v>
      </c>
      <c r="O98" s="6">
        <v>1.4067175148802269</v>
      </c>
      <c r="P98" s="6"/>
      <c r="Q98" s="6"/>
      <c r="R98" s="6"/>
      <c r="S98" s="6">
        <v>70.515521974318546</v>
      </c>
      <c r="T98" s="6"/>
      <c r="U98" s="6">
        <f>_xll.BDP($A98,"TRAILING_12M_R&amp;D_%_SALES",$A$1,$A$2)</f>
        <v>5.7308657937068723</v>
      </c>
      <c r="V98" s="6">
        <v>20</v>
      </c>
      <c r="W98" s="6">
        <v>201010</v>
      </c>
      <c r="X98" s="6">
        <v>20101010</v>
      </c>
      <c r="Y98" s="7" t="s">
        <v>43</v>
      </c>
      <c r="Z98" s="7" t="s">
        <v>393</v>
      </c>
      <c r="AA98" s="7" t="s">
        <v>393</v>
      </c>
      <c r="AB98" s="6">
        <v>64.550849914550781</v>
      </c>
      <c r="AC98" s="6">
        <v>1.1458950338987319</v>
      </c>
      <c r="AD98" s="6">
        <v>-6.0283167164767111</v>
      </c>
      <c r="AE98" s="6">
        <v>142000</v>
      </c>
      <c r="AF98" s="6">
        <v>150500</v>
      </c>
    </row>
    <row r="99" spans="1:32" s="4" customFormat="1" ht="12.75" x14ac:dyDescent="0.2">
      <c r="A99" s="7" t="s">
        <v>394</v>
      </c>
      <c r="B99" s="7" t="s">
        <v>395</v>
      </c>
      <c r="C99" s="7" t="s">
        <v>396</v>
      </c>
      <c r="D99" s="6">
        <v>0.93127411603927612</v>
      </c>
      <c r="E99" s="6">
        <v>-1.111911535263062</v>
      </c>
      <c r="F99" s="6">
        <v>2.185809850692749</v>
      </c>
      <c r="G99" s="6">
        <v>0.41273048520088201</v>
      </c>
      <c r="H99" s="6">
        <v>-0.91227865219116211</v>
      </c>
      <c r="I99" s="6">
        <v>-0.21666811406612402</v>
      </c>
      <c r="J99" s="6">
        <v>0.25440928339958202</v>
      </c>
      <c r="K99" s="6">
        <v>0.27761918306350702</v>
      </c>
      <c r="L99" s="6">
        <v>-0.81727248430252109</v>
      </c>
      <c r="M99" s="6">
        <v>-0.20073299109935802</v>
      </c>
      <c r="N99" s="6">
        <v>1.8979370087254379</v>
      </c>
      <c r="O99" s="6">
        <v>1.68201149336428</v>
      </c>
      <c r="P99" s="6">
        <v>1.6976277500296462</v>
      </c>
      <c r="Q99" s="6">
        <v>1.7711491766391101</v>
      </c>
      <c r="R99" s="6">
        <v>12.74150423285692</v>
      </c>
      <c r="S99" s="6">
        <v>10.600952868370525</v>
      </c>
      <c r="T99" s="6">
        <v>0.66633099317550704</v>
      </c>
      <c r="U99" s="6">
        <f>_xll.BDP($A99,"TRAILING_12M_R&amp;D_%_SALES",$A$1,$A$2)</f>
        <v>5.734761913977553</v>
      </c>
      <c r="V99" s="6">
        <v>25</v>
      </c>
      <c r="W99" s="6">
        <v>255030</v>
      </c>
      <c r="X99" s="6">
        <v>25503030</v>
      </c>
      <c r="Y99" s="7" t="s">
        <v>108</v>
      </c>
      <c r="Z99" s="7" t="s">
        <v>313</v>
      </c>
      <c r="AA99" s="7" t="s">
        <v>313</v>
      </c>
      <c r="AB99" s="6">
        <v>43.245147705078125</v>
      </c>
      <c r="AC99" s="6">
        <v>1.2009193750656779</v>
      </c>
      <c r="AD99" s="6">
        <v>-28.376292488870568</v>
      </c>
      <c r="AE99" s="6">
        <v>254941</v>
      </c>
      <c r="AF99" s="6">
        <v>50097</v>
      </c>
    </row>
    <row r="100" spans="1:32" s="4" customFormat="1" ht="12.75" x14ac:dyDescent="0.2">
      <c r="A100" s="7" t="s">
        <v>397</v>
      </c>
      <c r="B100" s="7" t="s">
        <v>398</v>
      </c>
      <c r="C100" s="7" t="s">
        <v>399</v>
      </c>
      <c r="D100" s="6">
        <v>0.93127411603927612</v>
      </c>
      <c r="E100" s="6">
        <v>-1.111911535263062</v>
      </c>
      <c r="F100" s="6">
        <v>2.185809850692749</v>
      </c>
      <c r="G100" s="6">
        <v>0.41273048520088201</v>
      </c>
      <c r="H100" s="6">
        <v>-0.91227865219116211</v>
      </c>
      <c r="I100" s="6">
        <v>-0.21666811406612402</v>
      </c>
      <c r="J100" s="6">
        <v>0.25440928339958202</v>
      </c>
      <c r="K100" s="6">
        <v>0.27761918306350702</v>
      </c>
      <c r="L100" s="6">
        <v>-0.81727248430252109</v>
      </c>
      <c r="M100" s="6">
        <v>-0.20073299109935802</v>
      </c>
      <c r="N100" s="6">
        <v>1.8979370087254379</v>
      </c>
      <c r="O100" s="6">
        <v>1.68029288757118</v>
      </c>
      <c r="P100" s="6">
        <v>1.6976277500296462</v>
      </c>
      <c r="Q100" s="6">
        <v>1.7693406399472551</v>
      </c>
      <c r="R100" s="6">
        <v>12.74150423285692</v>
      </c>
      <c r="S100" s="6">
        <v>10.590131678660152</v>
      </c>
      <c r="T100" s="6">
        <v>0.66633099317550704</v>
      </c>
      <c r="U100" s="6">
        <f>_xll.BDP($A100,"TRAILING_12M_R&amp;D_%_SALES",$A$1,$A$2)</f>
        <v>5.734761913977553</v>
      </c>
      <c r="V100" s="6">
        <v>25</v>
      </c>
      <c r="W100" s="6">
        <v>255030</v>
      </c>
      <c r="X100" s="6">
        <v>25503030</v>
      </c>
      <c r="Y100" s="7" t="s">
        <v>108</v>
      </c>
      <c r="Z100" s="7" t="s">
        <v>313</v>
      </c>
      <c r="AA100" s="7" t="s">
        <v>313</v>
      </c>
      <c r="AB100" s="6">
        <v>43.245147705078125</v>
      </c>
      <c r="AC100" s="6">
        <v>0.93792104276252308</v>
      </c>
      <c r="AD100" s="6">
        <v>-24.346629787761554</v>
      </c>
      <c r="AE100" s="6">
        <v>254941</v>
      </c>
      <c r="AF100" s="6">
        <v>50097</v>
      </c>
    </row>
    <row r="101" spans="1:32" s="4" customFormat="1" ht="12.75" x14ac:dyDescent="0.2">
      <c r="A101" s="7" t="s">
        <v>400</v>
      </c>
      <c r="B101" s="7" t="s">
        <v>401</v>
      </c>
      <c r="C101" s="7" t="s">
        <v>402</v>
      </c>
      <c r="D101" s="6">
        <v>1.6216269731521611</v>
      </c>
      <c r="E101" s="6">
        <v>-0.87260985374450706</v>
      </c>
      <c r="F101" s="6">
        <v>0.55247515439987205</v>
      </c>
      <c r="G101" s="6">
        <v>-0.21529603004455602</v>
      </c>
      <c r="H101" s="6">
        <v>0.43777939677238503</v>
      </c>
      <c r="I101" s="6">
        <v>-0.49158823490142806</v>
      </c>
      <c r="J101" s="6">
        <v>0.66312563419342008</v>
      </c>
      <c r="K101" s="6">
        <v>-0.51078516244888306</v>
      </c>
      <c r="L101" s="6">
        <v>0.48539212346077004</v>
      </c>
      <c r="M101" s="6">
        <v>-1.009001612663269</v>
      </c>
      <c r="N101" s="6">
        <v>2.610481087086459</v>
      </c>
      <c r="O101" s="6">
        <v>2.5683210775707028</v>
      </c>
      <c r="P101" s="6">
        <v>1.105577569514604</v>
      </c>
      <c r="Q101" s="6">
        <v>1.0044928199464751</v>
      </c>
      <c r="R101" s="6">
        <v>10.199612714509167</v>
      </c>
      <c r="S101" s="6">
        <v>9.1155616980180074</v>
      </c>
      <c r="T101" s="6">
        <v>10.577569007873535</v>
      </c>
      <c r="U101" s="6" t="str">
        <f>_xll.BDP($A101,"TRAILING_12M_R&amp;D_%_SALES",$A$1,$A$2)</f>
        <v>#N/A N/A</v>
      </c>
      <c r="V101" s="6">
        <v>40</v>
      </c>
      <c r="W101" s="6">
        <v>401010</v>
      </c>
      <c r="X101" s="6">
        <v>40101010</v>
      </c>
      <c r="Y101" s="7" t="s">
        <v>53</v>
      </c>
      <c r="Z101" s="7" t="s">
        <v>76</v>
      </c>
      <c r="AA101" s="7" t="s">
        <v>77</v>
      </c>
      <c r="AB101" s="6">
        <v>75.988334655761719</v>
      </c>
      <c r="AC101" s="6">
        <v>0.97601728334596805</v>
      </c>
      <c r="AD101" s="6">
        <v>-23.878332763442845</v>
      </c>
      <c r="AE101" s="6">
        <v>208248</v>
      </c>
      <c r="AF101" s="6">
        <v>208000</v>
      </c>
    </row>
    <row r="102" spans="1:32" s="4" customFormat="1" ht="12.75" x14ac:dyDescent="0.2">
      <c r="A102" s="7" t="s">
        <v>403</v>
      </c>
      <c r="B102" s="7" t="s">
        <v>404</v>
      </c>
      <c r="C102" s="7" t="s">
        <v>405</v>
      </c>
      <c r="D102" s="6">
        <v>1.547896146774292</v>
      </c>
      <c r="E102" s="6">
        <v>-0.84765154123306308</v>
      </c>
      <c r="F102" s="6">
        <v>0.34192684292793302</v>
      </c>
      <c r="G102" s="6">
        <v>-0.75177526473999001</v>
      </c>
      <c r="H102" s="6">
        <v>0.42614257335662803</v>
      </c>
      <c r="I102" s="6">
        <v>0.37573775649070701</v>
      </c>
      <c r="J102" s="6">
        <v>2.6391961574554439</v>
      </c>
      <c r="K102" s="6">
        <v>-0.63842689990997303</v>
      </c>
      <c r="L102" s="6">
        <v>3.00003981590271</v>
      </c>
      <c r="M102" s="6">
        <v>-0.8799080848693851</v>
      </c>
      <c r="N102" s="6">
        <v>0.71100420456805102</v>
      </c>
      <c r="O102" s="6">
        <v>1.322348515857773</v>
      </c>
      <c r="P102" s="6">
        <v>0.36729443301218101</v>
      </c>
      <c r="Q102" s="6">
        <v>0.34387552832901302</v>
      </c>
      <c r="R102" s="6">
        <v>3.2928473105682192</v>
      </c>
      <c r="S102" s="6">
        <v>3.4084650240995571</v>
      </c>
      <c r="T102" s="6">
        <v>11.574446678161621</v>
      </c>
      <c r="U102" s="6" t="str">
        <f>_xll.BDP($A102,"TRAILING_12M_R&amp;D_%_SALES",$A$1,$A$2)</f>
        <v>#N/A N/A</v>
      </c>
      <c r="V102" s="6">
        <v>40</v>
      </c>
      <c r="W102" s="6">
        <v>401010</v>
      </c>
      <c r="X102" s="6">
        <v>40101010</v>
      </c>
      <c r="Y102" s="7" t="s">
        <v>53</v>
      </c>
      <c r="Z102" s="7" t="s">
        <v>76</v>
      </c>
      <c r="AA102" s="7" t="s">
        <v>77</v>
      </c>
      <c r="AB102" s="6">
        <v>59.289810180664063</v>
      </c>
      <c r="AC102" s="6">
        <v>0.42631859795527005</v>
      </c>
      <c r="AD102" s="6">
        <v>15.517808504315699</v>
      </c>
      <c r="AE102" s="6">
        <v>306322</v>
      </c>
      <c r="AF102" s="6">
        <v>308900</v>
      </c>
    </row>
    <row r="103" spans="1:32" s="4" customFormat="1" ht="12.75" x14ac:dyDescent="0.2">
      <c r="A103" s="7" t="s">
        <v>406</v>
      </c>
      <c r="B103" s="7" t="s">
        <v>407</v>
      </c>
      <c r="C103" s="7" t="s">
        <v>408</v>
      </c>
      <c r="D103" s="6">
        <v>1.547896146774292</v>
      </c>
      <c r="E103" s="6">
        <v>-0.84765154123306308</v>
      </c>
      <c r="F103" s="6">
        <v>0.34192684292793302</v>
      </c>
      <c r="G103" s="6">
        <v>-0.75177526473999001</v>
      </c>
      <c r="H103" s="6">
        <v>0.42614257335662803</v>
      </c>
      <c r="I103" s="6">
        <v>0.37573775649070701</v>
      </c>
      <c r="J103" s="6">
        <v>2.6391961574554439</v>
      </c>
      <c r="K103" s="6">
        <v>-0.63842689990997303</v>
      </c>
      <c r="L103" s="6">
        <v>3.00003981590271</v>
      </c>
      <c r="M103" s="6">
        <v>-0.8799080848693851</v>
      </c>
      <c r="N103" s="6">
        <v>0.71100420456805102</v>
      </c>
      <c r="O103" s="6"/>
      <c r="P103" s="6">
        <v>0.36729443301218101</v>
      </c>
      <c r="Q103" s="6"/>
      <c r="R103" s="6">
        <v>3.2928473105682192</v>
      </c>
      <c r="S103" s="6"/>
      <c r="T103" s="6">
        <v>11.574446678161621</v>
      </c>
      <c r="U103" s="6" t="str">
        <f>_xll.BDP($A103,"TRAILING_12M_R&amp;D_%_SALES",$A$1,$A$2)</f>
        <v>#N/A N/A</v>
      </c>
      <c r="V103" s="6">
        <v>40</v>
      </c>
      <c r="W103" s="6">
        <v>401010</v>
      </c>
      <c r="X103" s="6">
        <v>40101010</v>
      </c>
      <c r="Y103" s="7" t="s">
        <v>53</v>
      </c>
      <c r="Z103" s="7" t="s">
        <v>76</v>
      </c>
      <c r="AA103" s="7" t="s">
        <v>77</v>
      </c>
      <c r="AB103" s="6">
        <v>59.289810180664063</v>
      </c>
      <c r="AC103" s="6">
        <v>0.51392334542796503</v>
      </c>
      <c r="AD103" s="6">
        <v>8.9357157665511888</v>
      </c>
      <c r="AE103" s="6">
        <v>306322</v>
      </c>
      <c r="AF103" s="6">
        <v>308900</v>
      </c>
    </row>
    <row r="104" spans="1:32" s="4" customFormat="1" ht="12.75" x14ac:dyDescent="0.2">
      <c r="A104" s="7" t="s">
        <v>409</v>
      </c>
      <c r="B104" s="7" t="s">
        <v>410</v>
      </c>
      <c r="C104" s="7" t="s">
        <v>411</v>
      </c>
      <c r="D104" s="6">
        <v>-0.55330675840377808</v>
      </c>
      <c r="E104" s="6">
        <v>-0.53456032276153609</v>
      </c>
      <c r="F104" s="6">
        <v>1.387038588523865</v>
      </c>
      <c r="G104" s="6">
        <v>-0.92847442626953103</v>
      </c>
      <c r="H104" s="6">
        <v>-0.14986380934715302</v>
      </c>
      <c r="I104" s="6">
        <v>1.382792592048645</v>
      </c>
      <c r="J104" s="6">
        <v>0.26258051395416304</v>
      </c>
      <c r="K104" s="6">
        <v>-0.43732726573944103</v>
      </c>
      <c r="L104" s="6">
        <v>0.61507117748260509</v>
      </c>
      <c r="M104" s="6">
        <v>-0.60876417160034202</v>
      </c>
      <c r="N104" s="6">
        <v>1.354762969571675</v>
      </c>
      <c r="O104" s="6">
        <v>1.1141575057841731</v>
      </c>
      <c r="P104" s="6">
        <v>2.384027685691859</v>
      </c>
      <c r="Q104" s="6">
        <v>2.8905502386828341</v>
      </c>
      <c r="R104" s="6">
        <v>19.686532597393963</v>
      </c>
      <c r="S104" s="6">
        <v>15.002014342725914</v>
      </c>
      <c r="T104" s="6">
        <v>15.035041809082031</v>
      </c>
      <c r="U104" s="6">
        <f>_xll.BDP($A104,"TRAILING_12M_R&amp;D_%_SALES",$A$1,$A$2)</f>
        <v>0.95762197764104351</v>
      </c>
      <c r="V104" s="6">
        <v>20</v>
      </c>
      <c r="W104" s="6">
        <v>201010</v>
      </c>
      <c r="X104" s="6">
        <v>20101010</v>
      </c>
      <c r="Y104" s="7" t="s">
        <v>43</v>
      </c>
      <c r="Z104" s="7" t="s">
        <v>393</v>
      </c>
      <c r="AA104" s="7" t="s">
        <v>393</v>
      </c>
      <c r="AB104" s="6">
        <v>63.353786468505859</v>
      </c>
      <c r="AC104" s="6">
        <v>0.37604301476512203</v>
      </c>
      <c r="AD104" s="6">
        <v>43.981846718788972</v>
      </c>
      <c r="AE104" s="6">
        <v>90500</v>
      </c>
      <c r="AF104" s="6">
        <v>76000</v>
      </c>
    </row>
    <row r="105" spans="1:32" s="4" customFormat="1" ht="12.75" x14ac:dyDescent="0.2">
      <c r="A105" s="7" t="s">
        <v>412</v>
      </c>
      <c r="B105" s="7" t="s">
        <v>413</v>
      </c>
      <c r="C105" s="7" t="s">
        <v>414</v>
      </c>
      <c r="D105" s="6">
        <v>-0.55330675840377808</v>
      </c>
      <c r="E105" s="6">
        <v>-0.53456032276153609</v>
      </c>
      <c r="F105" s="6">
        <v>1.387038588523865</v>
      </c>
      <c r="G105" s="6">
        <v>-0.92847442626953103</v>
      </c>
      <c r="H105" s="6">
        <v>-0.14986380934715302</v>
      </c>
      <c r="I105" s="6">
        <v>1.382792592048645</v>
      </c>
      <c r="J105" s="6">
        <v>0.26258051395416304</v>
      </c>
      <c r="K105" s="6">
        <v>-0.43732726573944103</v>
      </c>
      <c r="L105" s="6">
        <v>0.61507117748260509</v>
      </c>
      <c r="M105" s="6">
        <v>-0.60876417160034202</v>
      </c>
      <c r="N105" s="6">
        <v>1.354762969571675</v>
      </c>
      <c r="O105" s="6">
        <v>1.1342069476313279</v>
      </c>
      <c r="P105" s="6">
        <v>2.384027685691859</v>
      </c>
      <c r="Q105" s="6">
        <v>2.9425807176173731</v>
      </c>
      <c r="R105" s="6">
        <v>19.686532597393963</v>
      </c>
      <c r="S105" s="6">
        <v>15.271977520689454</v>
      </c>
      <c r="T105" s="6">
        <v>15.035041809082031</v>
      </c>
      <c r="U105" s="6" t="str">
        <f>_xll.BDP($A105,"TRAILING_12M_R&amp;D_%_SALES",$A$1,$A$2)</f>
        <v>#N/A N/A</v>
      </c>
      <c r="V105" s="6">
        <v>20</v>
      </c>
      <c r="W105" s="6">
        <v>201010</v>
      </c>
      <c r="X105" s="6">
        <v>20101010</v>
      </c>
      <c r="Y105" s="7" t="s">
        <v>43</v>
      </c>
      <c r="Z105" s="7" t="s">
        <v>393</v>
      </c>
      <c r="AA105" s="7" t="s">
        <v>393</v>
      </c>
      <c r="AB105" s="6">
        <v>63.353786468505859</v>
      </c>
      <c r="AC105" s="6">
        <v>0.50134634090362307</v>
      </c>
      <c r="AD105" s="6">
        <v>47.498828146225456</v>
      </c>
      <c r="AE105" s="6">
        <v>90500</v>
      </c>
      <c r="AF105" s="6">
        <v>76000</v>
      </c>
    </row>
    <row r="106" spans="1:32" s="4" customFormat="1" ht="12.75" x14ac:dyDescent="0.2">
      <c r="A106" s="7" t="s">
        <v>415</v>
      </c>
      <c r="B106" s="7" t="s">
        <v>416</v>
      </c>
      <c r="C106" s="7" t="s">
        <v>417</v>
      </c>
      <c r="D106" s="6">
        <v>-0.43931123614311202</v>
      </c>
      <c r="E106" s="6">
        <v>-1.3654718399047852</v>
      </c>
      <c r="F106" s="6">
        <v>0.203890591859818</v>
      </c>
      <c r="G106" s="6">
        <v>1.4612584114074711</v>
      </c>
      <c r="H106" s="6">
        <v>-0.36134591698646501</v>
      </c>
      <c r="I106" s="6">
        <v>-6.1072170734406003E-2</v>
      </c>
      <c r="J106" s="6">
        <v>7.2480574250221003E-2</v>
      </c>
      <c r="K106" s="6">
        <v>-0.53395968675613403</v>
      </c>
      <c r="L106" s="6">
        <v>-0.81727248430252109</v>
      </c>
      <c r="M106" s="6">
        <v>-0.37802124023437506</v>
      </c>
      <c r="N106" s="6">
        <v>2.216593927829686</v>
      </c>
      <c r="O106" s="6">
        <v>2.002973249920887</v>
      </c>
      <c r="P106" s="6">
        <v>1.2667574079111259</v>
      </c>
      <c r="Q106" s="6">
        <v>1.303946316852953</v>
      </c>
      <c r="R106" s="6">
        <v>22.125929660170197</v>
      </c>
      <c r="S106" s="6">
        <v>12.667703838530672</v>
      </c>
      <c r="T106" s="6">
        <v>2.0162661075592041</v>
      </c>
      <c r="U106" s="6">
        <f>_xll.BDP($A106,"TRAILING_12M_R&amp;D_%_SALES",$A$1,$A$2)</f>
        <v>16.625727699530515</v>
      </c>
      <c r="V106" s="6">
        <v>50</v>
      </c>
      <c r="W106" s="6">
        <v>502030</v>
      </c>
      <c r="X106" s="6">
        <v>50203010</v>
      </c>
      <c r="Y106" s="7" t="s">
        <v>367</v>
      </c>
      <c r="Z106" s="7" t="s">
        <v>418</v>
      </c>
      <c r="AA106" s="7" t="s">
        <v>418</v>
      </c>
      <c r="AB106" s="6">
        <v>51.192031860351563</v>
      </c>
      <c r="AC106" s="6">
        <v>0.83479351423370507</v>
      </c>
      <c r="AD106" s="6">
        <v>-24.403184553734558</v>
      </c>
      <c r="AE106" s="6">
        <v>45500</v>
      </c>
      <c r="AF106" s="6">
        <v>45887</v>
      </c>
    </row>
    <row r="107" spans="1:32" s="4" customFormat="1" ht="12.75" x14ac:dyDescent="0.2">
      <c r="A107" s="7" t="s">
        <v>419</v>
      </c>
      <c r="B107" s="7" t="s">
        <v>420</v>
      </c>
      <c r="C107" s="7" t="s">
        <v>421</v>
      </c>
      <c r="D107" s="6">
        <v>0.52278757095336903</v>
      </c>
      <c r="E107" s="6">
        <v>-0.39637812972068803</v>
      </c>
      <c r="F107" s="6">
        <v>0.63990259170532204</v>
      </c>
      <c r="G107" s="6">
        <v>-0.83638203144073509</v>
      </c>
      <c r="H107" s="6">
        <v>0.79962313175201405</v>
      </c>
      <c r="I107" s="6">
        <v>0.20365220308303802</v>
      </c>
      <c r="J107" s="6">
        <v>2.6743259429931641</v>
      </c>
      <c r="K107" s="6">
        <v>-0.68733513355255105</v>
      </c>
      <c r="L107" s="6">
        <v>2.5709118843078609</v>
      </c>
      <c r="M107" s="6">
        <v>-0.44537162780761702</v>
      </c>
      <c r="N107" s="6">
        <v>0.41927961046006201</v>
      </c>
      <c r="O107" s="6">
        <v>0.38980052864115905</v>
      </c>
      <c r="P107" s="6">
        <v>0.62959592838237199</v>
      </c>
      <c r="Q107" s="6">
        <v>0.64524240426603208</v>
      </c>
      <c r="R107" s="6">
        <v>3.0577605837699542</v>
      </c>
      <c r="S107" s="6">
        <v>6.011544063174564</v>
      </c>
      <c r="T107" s="6">
        <v>22.765071868896484</v>
      </c>
      <c r="U107" s="6">
        <f>_xll.BDP($A107,"TRAILING_12M_R&amp;D_%_SALES",$A$1,$A$2)</f>
        <v>6.1598581903150427</v>
      </c>
      <c r="V107" s="6">
        <v>25</v>
      </c>
      <c r="W107" s="6">
        <v>251020</v>
      </c>
      <c r="X107" s="6">
        <v>25102010</v>
      </c>
      <c r="Y107" s="7" t="s">
        <v>108</v>
      </c>
      <c r="Z107" s="7" t="s">
        <v>422</v>
      </c>
      <c r="AA107" s="7" t="s">
        <v>423</v>
      </c>
      <c r="AB107" s="6">
        <v>69.32904052734375</v>
      </c>
      <c r="AC107" s="6">
        <v>0.47068862184600402</v>
      </c>
      <c r="AD107" s="6">
        <v>-3.484200594259212</v>
      </c>
      <c r="AE107" s="6">
        <v>118909</v>
      </c>
      <c r="AF107" s="6">
        <v>124729</v>
      </c>
    </row>
    <row r="108" spans="1:32" s="4" customFormat="1" ht="12.75" x14ac:dyDescent="0.2">
      <c r="A108" s="7" t="s">
        <v>424</v>
      </c>
      <c r="B108" s="7" t="s">
        <v>425</v>
      </c>
      <c r="C108" s="7" t="s">
        <v>426</v>
      </c>
      <c r="D108" s="6">
        <v>7.9870298504829004E-2</v>
      </c>
      <c r="E108" s="6">
        <v>-0.66949933767318703</v>
      </c>
      <c r="F108" s="6">
        <v>1.2912894487380981</v>
      </c>
      <c r="G108" s="6">
        <v>-0.59713011980056807</v>
      </c>
      <c r="H108" s="6">
        <v>-0.119787991046906</v>
      </c>
      <c r="I108" s="6">
        <v>-0.191993683576584</v>
      </c>
      <c r="J108" s="6">
        <v>1.3611710071563721</v>
      </c>
      <c r="K108" s="6">
        <v>-1.033944249153137</v>
      </c>
      <c r="L108" s="6">
        <v>2.725084543228149</v>
      </c>
      <c r="M108" s="6">
        <v>-0.35786229372024503</v>
      </c>
      <c r="N108" s="6">
        <v>0.48060580503881106</v>
      </c>
      <c r="O108" s="6">
        <v>0.49801249566750205</v>
      </c>
      <c r="P108" s="6">
        <v>0.8949991484861971</v>
      </c>
      <c r="Q108" s="6">
        <v>0.94988642433448012</v>
      </c>
      <c r="R108" s="6">
        <v>8.2519874237341018</v>
      </c>
      <c r="S108" s="6">
        <v>9.7007026550689108</v>
      </c>
      <c r="T108" s="6">
        <v>11.765651702880859</v>
      </c>
      <c r="U108" s="6">
        <f>_xll.BDP($A108,"TRAILING_12M_R&amp;D_%_SALES",$A$1,$A$2)</f>
        <v>3.2417195207892879</v>
      </c>
      <c r="V108" s="6">
        <v>15</v>
      </c>
      <c r="W108" s="6">
        <v>151010</v>
      </c>
      <c r="X108" s="6">
        <v>15101020</v>
      </c>
      <c r="Y108" s="7" t="s">
        <v>38</v>
      </c>
      <c r="Z108" s="7" t="s">
        <v>48</v>
      </c>
      <c r="AA108" s="7" t="s">
        <v>427</v>
      </c>
      <c r="AB108" s="6">
        <v>70.88824462890625</v>
      </c>
      <c r="AC108" s="6">
        <v>1.0060822828027891</v>
      </c>
      <c r="AD108" s="6">
        <v>-24.473658469693447</v>
      </c>
      <c r="AE108" s="6">
        <v>111047</v>
      </c>
      <c r="AF108" s="6">
        <v>113830</v>
      </c>
    </row>
    <row r="109" spans="1:32" s="4" customFormat="1" ht="12.75" x14ac:dyDescent="0.2">
      <c r="A109" s="7" t="s">
        <v>428</v>
      </c>
      <c r="B109" s="7" t="s">
        <v>429</v>
      </c>
      <c r="C109" s="7" t="s">
        <v>430</v>
      </c>
      <c r="D109" s="6">
        <v>-0.8248876929283141</v>
      </c>
      <c r="E109" s="6">
        <v>-2.1431536674499512</v>
      </c>
      <c r="F109" s="6">
        <v>-1.7330113649368291</v>
      </c>
      <c r="G109" s="6">
        <v>1.6383461654186002E-2</v>
      </c>
      <c r="H109" s="6">
        <v>1.3933438062667851</v>
      </c>
      <c r="I109" s="6">
        <v>-0.86777466535568204</v>
      </c>
      <c r="J109" s="6">
        <v>-0.59525603055954002</v>
      </c>
      <c r="K109" s="6">
        <v>-0.86920928955078103</v>
      </c>
      <c r="L109" s="6">
        <v>0.30010166764259305</v>
      </c>
      <c r="M109" s="6">
        <v>-0.195971295237541</v>
      </c>
      <c r="N109" s="6">
        <v>1.739447771860112</v>
      </c>
      <c r="O109" s="6">
        <v>1.691567256895073</v>
      </c>
      <c r="P109" s="6">
        <v>4.64157287426222</v>
      </c>
      <c r="Q109" s="6">
        <v>4.5063037602026821</v>
      </c>
      <c r="R109" s="6">
        <v>18.276324671976695</v>
      </c>
      <c r="S109" s="6">
        <v>14.134272091396774</v>
      </c>
      <c r="T109" s="6">
        <v>-33.219154357910156</v>
      </c>
      <c r="U109" s="6">
        <f>_xll.BDP($A109,"TRAILING_12M_R&amp;D_%_SALES",$A$1,$A$2)</f>
        <v>5.3593652769135032</v>
      </c>
      <c r="V109" s="6">
        <v>35</v>
      </c>
      <c r="W109" s="6">
        <v>351010</v>
      </c>
      <c r="X109" s="6">
        <v>35101010</v>
      </c>
      <c r="Y109" s="7" t="s">
        <v>86</v>
      </c>
      <c r="Z109" s="7" t="s">
        <v>114</v>
      </c>
      <c r="AA109" s="7" t="s">
        <v>115</v>
      </c>
      <c r="AB109" s="6">
        <v>70.153907775878906</v>
      </c>
      <c r="AC109" s="6">
        <v>0.72614231444976407</v>
      </c>
      <c r="AD109" s="6">
        <v>-39.981157248929591</v>
      </c>
      <c r="AE109" s="6">
        <v>60000</v>
      </c>
      <c r="AF109" s="6">
        <v>48000</v>
      </c>
    </row>
    <row r="110" spans="1:32" s="4" customFormat="1" ht="12.75" x14ac:dyDescent="0.2">
      <c r="A110" s="7" t="s">
        <v>431</v>
      </c>
      <c r="B110" s="7" t="s">
        <v>432</v>
      </c>
      <c r="C110" s="7" t="s">
        <v>433</v>
      </c>
      <c r="D110" s="6">
        <v>8.6782068014145008E-2</v>
      </c>
      <c r="E110" s="6">
        <v>-0.52529472112655606</v>
      </c>
      <c r="F110" s="6">
        <v>0.79815602302551303</v>
      </c>
      <c r="G110" s="6">
        <v>-0.69072324037551902</v>
      </c>
      <c r="H110" s="6">
        <v>0.60621583461761508</v>
      </c>
      <c r="I110" s="6">
        <v>0.68783622980117809</v>
      </c>
      <c r="J110" s="6">
        <v>1.184658527374268</v>
      </c>
      <c r="K110" s="6">
        <v>-0.99405914545059204</v>
      </c>
      <c r="L110" s="6">
        <v>1.1864223480224609</v>
      </c>
      <c r="M110" s="6">
        <v>-0.51672989130020108</v>
      </c>
      <c r="N110" s="6">
        <v>0.95223231367065309</v>
      </c>
      <c r="O110" s="6">
        <v>0.91903032237629811</v>
      </c>
      <c r="P110" s="6">
        <v>1.150311179742566</v>
      </c>
      <c r="Q110" s="6">
        <v>1.1671537298050749</v>
      </c>
      <c r="R110" s="6">
        <v>10.084987559809564</v>
      </c>
      <c r="S110" s="6">
        <v>5.9338851432715423</v>
      </c>
      <c r="T110" s="6">
        <v>12.987910270690918</v>
      </c>
      <c r="U110" s="6">
        <f>_xll.BDP($A110,"TRAILING_12M_R&amp;D_%_SALES",$A$1,$A$2)</f>
        <v>11.883009906074156</v>
      </c>
      <c r="V110" s="6">
        <v>35</v>
      </c>
      <c r="W110" s="6">
        <v>352020</v>
      </c>
      <c r="X110" s="6">
        <v>35202010</v>
      </c>
      <c r="Y110" s="7" t="s">
        <v>86</v>
      </c>
      <c r="Z110" s="7" t="s">
        <v>271</v>
      </c>
      <c r="AA110" s="7" t="s">
        <v>271</v>
      </c>
      <c r="AB110" s="6">
        <v>78.352279663085938</v>
      </c>
      <c r="AC110" s="6">
        <v>0.82128436070610911</v>
      </c>
      <c r="AD110" s="6">
        <v>0.81676559299988005</v>
      </c>
      <c r="AE110" s="6">
        <v>99637</v>
      </c>
      <c r="AF110" s="6">
        <v>115170</v>
      </c>
    </row>
    <row r="111" spans="1:32" s="4" customFormat="1" ht="12.75" x14ac:dyDescent="0.2">
      <c r="A111" s="7" t="s">
        <v>434</v>
      </c>
      <c r="B111" s="7" t="s">
        <v>435</v>
      </c>
      <c r="C111" s="7" t="s">
        <v>436</v>
      </c>
      <c r="D111" s="6">
        <v>8.6782068014145008E-2</v>
      </c>
      <c r="E111" s="6">
        <v>-0.52529472112655606</v>
      </c>
      <c r="F111" s="6">
        <v>0.79815602302551303</v>
      </c>
      <c r="G111" s="6">
        <v>-0.69072324037551902</v>
      </c>
      <c r="H111" s="6">
        <v>0.60621583461761508</v>
      </c>
      <c r="I111" s="6">
        <v>0.68783622980117809</v>
      </c>
      <c r="J111" s="6">
        <v>1.184658527374268</v>
      </c>
      <c r="K111" s="6">
        <v>-0.99405914545059204</v>
      </c>
      <c r="L111" s="6">
        <v>1.1864223480224609</v>
      </c>
      <c r="M111" s="6">
        <v>-0.51672989130020108</v>
      </c>
      <c r="N111" s="6">
        <v>0.95223231367065309</v>
      </c>
      <c r="O111" s="6">
        <v>0.92465817858061405</v>
      </c>
      <c r="P111" s="6">
        <v>1.150311179742566</v>
      </c>
      <c r="Q111" s="6">
        <v>1.193283164341</v>
      </c>
      <c r="R111" s="6">
        <v>10.084987559809564</v>
      </c>
      <c r="S111" s="6">
        <v>6.066705351262919</v>
      </c>
      <c r="T111" s="6">
        <v>12.987910270690918</v>
      </c>
      <c r="U111" s="6">
        <f>_xll.BDP($A111,"TRAILING_12M_R&amp;D_%_SALES",$A$1,$A$2)</f>
        <v>11.883009906074156</v>
      </c>
      <c r="V111" s="6">
        <v>35</v>
      </c>
      <c r="W111" s="6">
        <v>352020</v>
      </c>
      <c r="X111" s="6">
        <v>35202010</v>
      </c>
      <c r="Y111" s="7" t="s">
        <v>86</v>
      </c>
      <c r="Z111" s="7" t="s">
        <v>271</v>
      </c>
      <c r="AA111" s="7" t="s">
        <v>271</v>
      </c>
      <c r="AB111" s="6">
        <v>78.352279663085938</v>
      </c>
      <c r="AC111" s="6">
        <v>0.60627961135506703</v>
      </c>
      <c r="AD111" s="6">
        <v>1.8635097474213771</v>
      </c>
      <c r="AE111" s="6">
        <v>99637</v>
      </c>
      <c r="AF111" s="6">
        <v>115170</v>
      </c>
    </row>
    <row r="112" spans="1:32" s="4" customFormat="1" ht="12.75" x14ac:dyDescent="0.2">
      <c r="A112" s="7" t="s">
        <v>437</v>
      </c>
      <c r="B112" s="7" t="s">
        <v>438</v>
      </c>
      <c r="C112" s="7" t="s">
        <v>439</v>
      </c>
      <c r="D112" s="6">
        <v>0.12601870298385601</v>
      </c>
      <c r="E112" s="6">
        <v>-0.78075677156448409</v>
      </c>
      <c r="F112" s="6">
        <v>-0.24824687838554402</v>
      </c>
      <c r="G112" s="6">
        <v>0.26950883865356401</v>
      </c>
      <c r="H112" s="6">
        <v>0.90990006923675504</v>
      </c>
      <c r="I112" s="6">
        <v>-0.74295967817306507</v>
      </c>
      <c r="J112" s="6">
        <v>1.259823203086853</v>
      </c>
      <c r="K112" s="6">
        <v>-0.83982723951339711</v>
      </c>
      <c r="L112" s="6">
        <v>-0.18820033967495001</v>
      </c>
      <c r="M112" s="6">
        <v>-0.85145497322082508</v>
      </c>
      <c r="N112" s="6">
        <v>0.74113693134371106</v>
      </c>
      <c r="O112" s="6">
        <v>1.198384494289126</v>
      </c>
      <c r="P112" s="6">
        <v>1.000723679162689</v>
      </c>
      <c r="Q112" s="6">
        <v>0.93089453367375607</v>
      </c>
      <c r="R112" s="6">
        <v>7.1082329646790141</v>
      </c>
      <c r="S112" s="6">
        <v>6.1025837486495744</v>
      </c>
      <c r="T112" s="6">
        <v>15.126930236816406</v>
      </c>
      <c r="U112" s="6" t="str">
        <f>_xll.BDP($A112,"TRAILING_12M_R&amp;D_%_SALES",$A$1,$A$2)</f>
        <v>#N/A N/A</v>
      </c>
      <c r="V112" s="6">
        <v>40</v>
      </c>
      <c r="W112" s="6">
        <v>401010</v>
      </c>
      <c r="X112" s="6">
        <v>40101010</v>
      </c>
      <c r="Y112" s="7" t="s">
        <v>53</v>
      </c>
      <c r="Z112" s="7" t="s">
        <v>76</v>
      </c>
      <c r="AA112" s="7" t="s">
        <v>77</v>
      </c>
      <c r="AB112" s="6">
        <v>61.533046722412109</v>
      </c>
      <c r="AC112" s="6">
        <v>0.69925687126149105</v>
      </c>
      <c r="AD112" s="6">
        <v>-4.9918316197601893</v>
      </c>
      <c r="AE112" s="6">
        <v>87274</v>
      </c>
      <c r="AF112" s="6">
        <v>108793</v>
      </c>
    </row>
    <row r="113" spans="1:32" s="4" customFormat="1" ht="12.75" x14ac:dyDescent="0.2">
      <c r="A113" s="7" t="s">
        <v>440</v>
      </c>
      <c r="B113" s="7" t="s">
        <v>438</v>
      </c>
      <c r="C113" s="7" t="s">
        <v>441</v>
      </c>
      <c r="D113" s="6">
        <v>0.12601870298385601</v>
      </c>
      <c r="E113" s="6">
        <v>-0.78075677156448409</v>
      </c>
      <c r="F113" s="6">
        <v>-0.24824687838554402</v>
      </c>
      <c r="G113" s="6">
        <v>0.26950883865356401</v>
      </c>
      <c r="H113" s="6">
        <v>0.90990006923675504</v>
      </c>
      <c r="I113" s="6">
        <v>-0.74295967817306507</v>
      </c>
      <c r="J113" s="6">
        <v>1.259823203086853</v>
      </c>
      <c r="K113" s="6">
        <v>-0.83982723951339711</v>
      </c>
      <c r="L113" s="6">
        <v>-0.18820033967495001</v>
      </c>
      <c r="M113" s="6">
        <v>-0.85145497322082508</v>
      </c>
      <c r="N113" s="6">
        <v>0.74113693134371106</v>
      </c>
      <c r="O113" s="6"/>
      <c r="P113" s="6">
        <v>1.000723679162689</v>
      </c>
      <c r="Q113" s="6"/>
      <c r="R113" s="6">
        <v>7.1082329646790141</v>
      </c>
      <c r="S113" s="6"/>
      <c r="T113" s="6">
        <v>15.126930236816406</v>
      </c>
      <c r="U113" s="6" t="str">
        <f>_xll.BDP($A113,"TRAILING_12M_R&amp;D_%_SALES",$A$1,$A$2)</f>
        <v>#N/A N/A</v>
      </c>
      <c r="V113" s="6">
        <v>40</v>
      </c>
      <c r="W113" s="6">
        <v>401010</v>
      </c>
      <c r="X113" s="6">
        <v>40101010</v>
      </c>
      <c r="Y113" s="7" t="s">
        <v>53</v>
      </c>
      <c r="Z113" s="7" t="s">
        <v>76</v>
      </c>
      <c r="AA113" s="7" t="s">
        <v>77</v>
      </c>
      <c r="AB113" s="6">
        <v>61.533046722412109</v>
      </c>
      <c r="AC113" s="6">
        <v>0.64547923724663903</v>
      </c>
      <c r="AD113" s="6">
        <v>0.28644919856966</v>
      </c>
      <c r="AE113" s="6">
        <v>87274</v>
      </c>
      <c r="AF113" s="6">
        <v>108793</v>
      </c>
    </row>
    <row r="114" spans="1:32" s="4" customFormat="1" ht="12.75" x14ac:dyDescent="0.2">
      <c r="A114" s="7" t="s">
        <v>442</v>
      </c>
      <c r="B114" s="7" t="s">
        <v>443</v>
      </c>
      <c r="C114" s="7" t="s">
        <v>444</v>
      </c>
      <c r="D114" s="6">
        <v>0.298412054777145</v>
      </c>
      <c r="E114" s="6">
        <v>-0.82135063409805309</v>
      </c>
      <c r="F114" s="6">
        <v>1.5709958076477051</v>
      </c>
      <c r="G114" s="6">
        <v>-0.64217209815979004</v>
      </c>
      <c r="H114" s="6">
        <v>1.409239530563354</v>
      </c>
      <c r="I114" s="6">
        <v>0.63912200927734408</v>
      </c>
      <c r="J114" s="6">
        <v>2.467970609664917</v>
      </c>
      <c r="K114" s="6">
        <v>-0.87476074695587203</v>
      </c>
      <c r="L114" s="6">
        <v>1.6146336793899541</v>
      </c>
      <c r="M114" s="6">
        <v>-0.77236831188201904</v>
      </c>
      <c r="N114" s="6">
        <v>1.477848770693992</v>
      </c>
      <c r="O114" s="6">
        <v>1.2830023423754899</v>
      </c>
      <c r="P114" s="6">
        <v>0.73467718542814708</v>
      </c>
      <c r="Q114" s="6">
        <v>0.69768217314145509</v>
      </c>
      <c r="R114" s="6">
        <v>6.013923387030264</v>
      </c>
      <c r="S114" s="6">
        <v>5.849222024054094</v>
      </c>
      <c r="T114" s="6">
        <v>12.770064353942871</v>
      </c>
      <c r="U114" s="6" t="str">
        <f>_xll.BDP($A114,"TRAILING_12M_R&amp;D_%_SALES",$A$1,$A$2)</f>
        <v>#N/A N/A</v>
      </c>
      <c r="V114" s="6">
        <v>40</v>
      </c>
      <c r="W114" s="6">
        <v>401010</v>
      </c>
      <c r="X114" s="6">
        <v>40101010</v>
      </c>
      <c r="Y114" s="7" t="s">
        <v>53</v>
      </c>
      <c r="Z114" s="7" t="s">
        <v>76</v>
      </c>
      <c r="AA114" s="7" t="s">
        <v>77</v>
      </c>
      <c r="AB114" s="6">
        <v>63.444320678710938</v>
      </c>
      <c r="AC114" s="6">
        <v>1.049110765747159</v>
      </c>
      <c r="AD114" s="6">
        <v>9.6225267842287252</v>
      </c>
      <c r="AE114" s="6">
        <v>116285</v>
      </c>
      <c r="AF114" s="6">
        <v>134792</v>
      </c>
    </row>
    <row r="115" spans="1:32" s="4" customFormat="1" ht="12.75" x14ac:dyDescent="0.2">
      <c r="A115" s="7" t="s">
        <v>445</v>
      </c>
      <c r="B115" s="7" t="s">
        <v>446</v>
      </c>
      <c r="C115" s="7" t="s">
        <v>447</v>
      </c>
      <c r="D115" s="6">
        <v>0.298412054777145</v>
      </c>
      <c r="E115" s="6">
        <v>-0.82135063409805309</v>
      </c>
      <c r="F115" s="6">
        <v>1.5709958076477051</v>
      </c>
      <c r="G115" s="6">
        <v>-0.64217209815979004</v>
      </c>
      <c r="H115" s="6">
        <v>1.409239530563354</v>
      </c>
      <c r="I115" s="6">
        <v>0.63912200927734408</v>
      </c>
      <c r="J115" s="6">
        <v>2.467970609664917</v>
      </c>
      <c r="K115" s="6">
        <v>-0.87476074695587203</v>
      </c>
      <c r="L115" s="6">
        <v>1.6146336793899541</v>
      </c>
      <c r="M115" s="6">
        <v>-0.77236831188201904</v>
      </c>
      <c r="N115" s="6">
        <v>1.477848770693992</v>
      </c>
      <c r="O115" s="6">
        <v>1.255250180959206</v>
      </c>
      <c r="P115" s="6">
        <v>0.73467718542814708</v>
      </c>
      <c r="Q115" s="6">
        <v>0.6878593597732251</v>
      </c>
      <c r="R115" s="6">
        <v>6.013923387030264</v>
      </c>
      <c r="S115" s="6">
        <v>5.7668724103889506</v>
      </c>
      <c r="T115" s="6">
        <v>12.770064353942871</v>
      </c>
      <c r="U115" s="6" t="str">
        <f>_xll.BDP($A115,"TRAILING_12M_R&amp;D_%_SALES",$A$1,$A$2)</f>
        <v>#N/A N/A</v>
      </c>
      <c r="V115" s="6">
        <v>40</v>
      </c>
      <c r="W115" s="6">
        <v>401010</v>
      </c>
      <c r="X115" s="6">
        <v>40101010</v>
      </c>
      <c r="Y115" s="7" t="s">
        <v>53</v>
      </c>
      <c r="Z115" s="7" t="s">
        <v>76</v>
      </c>
      <c r="AA115" s="7" t="s">
        <v>77</v>
      </c>
      <c r="AB115" s="6">
        <v>63.444320678710938</v>
      </c>
      <c r="AC115" s="6">
        <v>0.87256546633476906</v>
      </c>
      <c r="AD115" s="6">
        <v>6.638399842955689</v>
      </c>
      <c r="AE115" s="6">
        <v>116285</v>
      </c>
      <c r="AF115" s="6">
        <v>134792</v>
      </c>
    </row>
    <row r="116" spans="1:32" s="4" customFormat="1" ht="12.75" x14ac:dyDescent="0.2">
      <c r="A116" s="7" t="s">
        <v>448</v>
      </c>
      <c r="B116" s="7" t="s">
        <v>449</v>
      </c>
      <c r="C116" s="7" t="s">
        <v>450</v>
      </c>
      <c r="D116" s="6">
        <v>-0.82811242341995206</v>
      </c>
      <c r="E116" s="6">
        <v>-9.5141388475895011E-2</v>
      </c>
      <c r="F116" s="6">
        <v>5.6109808385372002E-2</v>
      </c>
      <c r="G116" s="6">
        <v>1.102156281471252</v>
      </c>
      <c r="H116" s="6">
        <v>-3.6872651427984002E-2</v>
      </c>
      <c r="I116" s="6">
        <v>-0.27055004239082303</v>
      </c>
      <c r="J116" s="6">
        <v>0.514967501163483</v>
      </c>
      <c r="K116" s="6">
        <v>-0.31699195504188504</v>
      </c>
      <c r="L116" s="6">
        <v>1.312617421150208</v>
      </c>
      <c r="M116" s="6">
        <v>0.52258229255676303</v>
      </c>
      <c r="N116" s="6">
        <v>0.38398931769435302</v>
      </c>
      <c r="O116" s="6">
        <v>0.38764197046218302</v>
      </c>
      <c r="P116" s="6">
        <v>6.0351790943802834</v>
      </c>
      <c r="Q116" s="6">
        <v>6.8030384379638633</v>
      </c>
      <c r="R116" s="6">
        <v>11.596336038242164</v>
      </c>
      <c r="S116" s="6">
        <v>11.831719451248158</v>
      </c>
      <c r="T116" s="6">
        <v>42.635124206542969</v>
      </c>
      <c r="U116" s="6" t="str">
        <f>_xll.BDP($A116,"TRAILING_12M_R&amp;D_%_SALES",$A$1,$A$2)</f>
        <v>#N/A N/A</v>
      </c>
      <c r="V116" s="6">
        <v>25</v>
      </c>
      <c r="W116" s="6">
        <v>255040</v>
      </c>
      <c r="X116" s="6">
        <v>25504020</v>
      </c>
      <c r="Y116" s="7" t="s">
        <v>108</v>
      </c>
      <c r="Z116" s="7" t="s">
        <v>388</v>
      </c>
      <c r="AA116" s="7" t="s">
        <v>451</v>
      </c>
      <c r="AB116" s="6">
        <v>63.544914245605469</v>
      </c>
      <c r="AC116" s="6">
        <v>1.1311915672630319</v>
      </c>
      <c r="AD116" s="6">
        <v>-17.452954445363357</v>
      </c>
      <c r="AE116" s="6">
        <v>57750</v>
      </c>
      <c r="AF116" s="6">
        <v>125000</v>
      </c>
    </row>
    <row r="117" spans="1:32" s="4" customFormat="1" ht="12.75" x14ac:dyDescent="0.2">
      <c r="A117" s="7" t="s">
        <v>452</v>
      </c>
      <c r="B117" s="7" t="s">
        <v>453</v>
      </c>
      <c r="C117" s="7" t="s">
        <v>454</v>
      </c>
      <c r="D117" s="6">
        <v>0.89402288198471103</v>
      </c>
      <c r="E117" s="6">
        <v>-0.87952679395675704</v>
      </c>
      <c r="F117" s="6">
        <v>1.6402326822280879</v>
      </c>
      <c r="G117" s="6">
        <v>-0.69148617982864402</v>
      </c>
      <c r="H117" s="6">
        <v>1.3275095224380491</v>
      </c>
      <c r="I117" s="6">
        <v>0.44126293063163802</v>
      </c>
      <c r="J117" s="6">
        <v>2.7681210041046143</v>
      </c>
      <c r="K117" s="6">
        <v>-0.73701322078704801</v>
      </c>
      <c r="L117" s="6">
        <v>0.7246623635292051</v>
      </c>
      <c r="M117" s="6">
        <v>-0.84810894727706909</v>
      </c>
      <c r="N117" s="6">
        <v>0.64131858986300805</v>
      </c>
      <c r="O117" s="6">
        <v>0.82021022279693612</v>
      </c>
      <c r="P117" s="6">
        <v>0.51641690522508799</v>
      </c>
      <c r="Q117" s="6">
        <v>0.46055972560524805</v>
      </c>
      <c r="R117" s="6">
        <v>5.1857335864501879</v>
      </c>
      <c r="S117" s="6">
        <v>5.2728654891272342</v>
      </c>
      <c r="T117" s="6">
        <v>9.7090902328491211</v>
      </c>
      <c r="U117" s="6" t="str">
        <f>_xll.BDP($A117,"TRAILING_12M_R&amp;D_%_SALES",$A$1,$A$2)</f>
        <v>#N/A N/A</v>
      </c>
      <c r="V117" s="6">
        <v>40</v>
      </c>
      <c r="W117" s="6">
        <v>401010</v>
      </c>
      <c r="X117" s="6">
        <v>40101010</v>
      </c>
      <c r="Y117" s="7" t="s">
        <v>53</v>
      </c>
      <c r="Z117" s="7" t="s">
        <v>76</v>
      </c>
      <c r="AA117" s="7" t="s">
        <v>77</v>
      </c>
      <c r="AB117" s="6">
        <v>61.341915130615234</v>
      </c>
      <c r="AC117" s="6">
        <v>0.56873925335131703</v>
      </c>
      <c r="AD117" s="6">
        <v>-8.1070138393577906</v>
      </c>
      <c r="AE117" s="6">
        <v>197070</v>
      </c>
      <c r="AF117" s="6">
        <v>188492</v>
      </c>
    </row>
    <row r="118" spans="1:32" s="4" customFormat="1" ht="12.75" x14ac:dyDescent="0.2">
      <c r="A118" s="7" t="s">
        <v>455</v>
      </c>
      <c r="B118" s="7" t="s">
        <v>456</v>
      </c>
      <c r="C118" s="7" t="s">
        <v>457</v>
      </c>
      <c r="D118" s="6">
        <v>-0.47345364093780501</v>
      </c>
      <c r="E118" s="6">
        <v>-0.47049504518508906</v>
      </c>
      <c r="F118" s="6">
        <v>-0.81778794527053811</v>
      </c>
      <c r="G118" s="6">
        <v>-0.39726486802101102</v>
      </c>
      <c r="H118" s="6">
        <v>0.89847445487976108</v>
      </c>
      <c r="I118" s="6">
        <v>0.17367430031299602</v>
      </c>
      <c r="J118" s="6">
        <v>0.38781768083572404</v>
      </c>
      <c r="K118" s="6">
        <v>-0.81753754615783703</v>
      </c>
      <c r="L118" s="6">
        <v>2.204816341400146</v>
      </c>
      <c r="M118" s="6">
        <v>-0.9830795526504521</v>
      </c>
      <c r="N118" s="6">
        <v>2.2595214493749278</v>
      </c>
      <c r="O118" s="6">
        <v>2.1895290524266389</v>
      </c>
      <c r="P118" s="6">
        <v>2.888461242784051</v>
      </c>
      <c r="Q118" s="6">
        <v>2.6243644020862651</v>
      </c>
      <c r="R118" s="6">
        <v>17.458366420965909</v>
      </c>
      <c r="S118" s="6">
        <v>16.836077018428149</v>
      </c>
      <c r="T118" s="6">
        <v>14.840020179748535</v>
      </c>
      <c r="U118" s="6" t="str">
        <f>_xll.BDP($A118,"TRAILING_12M_R&amp;D_%_SALES",$A$1,$A$2)</f>
        <v>#N/A N/A</v>
      </c>
      <c r="V118" s="6">
        <v>50</v>
      </c>
      <c r="W118" s="6">
        <v>501010</v>
      </c>
      <c r="X118" s="6">
        <v>50101020</v>
      </c>
      <c r="Y118" s="7" t="s">
        <v>367</v>
      </c>
      <c r="Z118" s="7" t="s">
        <v>458</v>
      </c>
      <c r="AA118" s="7" t="s">
        <v>459</v>
      </c>
      <c r="AB118" s="6">
        <v>64.088119506835938</v>
      </c>
      <c r="AC118" s="6">
        <v>0.68846721023070301</v>
      </c>
      <c r="AD118" s="6">
        <v>-9.9490523891321061</v>
      </c>
      <c r="AE118" s="6">
        <v>49781</v>
      </c>
      <c r="AF118" s="6">
        <v>48090</v>
      </c>
    </row>
    <row r="119" spans="1:32" s="4" customFormat="1" ht="12.75" x14ac:dyDescent="0.2">
      <c r="A119" s="7" t="s">
        <v>460</v>
      </c>
      <c r="B119" s="7" t="s">
        <v>461</v>
      </c>
      <c r="C119" s="7" t="s">
        <v>462</v>
      </c>
      <c r="D119" s="6">
        <v>0.55066978931427002</v>
      </c>
      <c r="E119" s="6">
        <v>-0.87601900100708008</v>
      </c>
      <c r="F119" s="6">
        <v>2.0093657970428471</v>
      </c>
      <c r="G119" s="6">
        <v>-0.83072787523269709</v>
      </c>
      <c r="H119" s="6">
        <v>1.12533962726593</v>
      </c>
      <c r="I119" s="6">
        <v>-3.7119168788195003E-2</v>
      </c>
      <c r="J119" s="6">
        <v>2.9594733715057373</v>
      </c>
      <c r="K119" s="6">
        <v>-0.7185116410255431</v>
      </c>
      <c r="L119" s="6">
        <v>1.090985774993896</v>
      </c>
      <c r="M119" s="6">
        <v>-0.90949672460556008</v>
      </c>
      <c r="N119" s="6">
        <v>1.082942192994383</v>
      </c>
      <c r="O119" s="6">
        <v>0.95679492729508309</v>
      </c>
      <c r="P119" s="6">
        <v>0.46844827458657301</v>
      </c>
      <c r="Q119" s="6">
        <v>0.42390287391330306</v>
      </c>
      <c r="R119" s="6">
        <v>5.1467531192049361</v>
      </c>
      <c r="S119" s="6">
        <v>4.8812851087665381</v>
      </c>
      <c r="T119" s="6">
        <v>9.1038150787353516</v>
      </c>
      <c r="U119" s="6" t="str">
        <f>_xll.BDP($A119,"TRAILING_12M_R&amp;D_%_SALES",$A$1,$A$2)</f>
        <v>#N/A N/A</v>
      </c>
      <c r="V119" s="6">
        <v>40</v>
      </c>
      <c r="W119" s="6">
        <v>401010</v>
      </c>
      <c r="X119" s="6">
        <v>40101010</v>
      </c>
      <c r="Y119" s="7" t="s">
        <v>53</v>
      </c>
      <c r="Z119" s="7" t="s">
        <v>76</v>
      </c>
      <c r="AA119" s="7" t="s">
        <v>77</v>
      </c>
      <c r="AB119" s="6">
        <v>56.945980072021484</v>
      </c>
      <c r="AC119" s="6">
        <v>0.61912925493627702</v>
      </c>
      <c r="AD119" s="6">
        <v>-22.193890766544342</v>
      </c>
      <c r="AE119" s="6">
        <v>81600</v>
      </c>
      <c r="AF119" s="6">
        <v>119300</v>
      </c>
    </row>
    <row r="120" spans="1:32" s="4" customFormat="1" ht="12.75" x14ac:dyDescent="0.2">
      <c r="A120" s="7" t="s">
        <v>463</v>
      </c>
      <c r="B120" s="7" t="s">
        <v>464</v>
      </c>
      <c r="C120" s="7" t="s">
        <v>465</v>
      </c>
      <c r="D120" s="6">
        <v>0.55066978931427002</v>
      </c>
      <c r="E120" s="6">
        <v>-0.87601900100708008</v>
      </c>
      <c r="F120" s="6">
        <v>2.0093657970428471</v>
      </c>
      <c r="G120" s="6">
        <v>-0.83072787523269709</v>
      </c>
      <c r="H120" s="6">
        <v>1.12533962726593</v>
      </c>
      <c r="I120" s="6">
        <v>-3.7119168788195003E-2</v>
      </c>
      <c r="J120" s="6">
        <v>2.9594733715057373</v>
      </c>
      <c r="K120" s="6">
        <v>-0.7185116410255431</v>
      </c>
      <c r="L120" s="6">
        <v>1.090985774993896</v>
      </c>
      <c r="M120" s="6">
        <v>-0.90949672460556008</v>
      </c>
      <c r="N120" s="6">
        <v>1.082942192994383</v>
      </c>
      <c r="O120" s="6">
        <v>0.97939634830726607</v>
      </c>
      <c r="P120" s="6">
        <v>0.46844827458657301</v>
      </c>
      <c r="Q120" s="6">
        <v>0.43502577186711305</v>
      </c>
      <c r="R120" s="6">
        <v>5.1467531192049361</v>
      </c>
      <c r="S120" s="6">
        <v>5.0093730075801473</v>
      </c>
      <c r="T120" s="6">
        <v>9.1038150787353516</v>
      </c>
      <c r="U120" s="6" t="str">
        <f>_xll.BDP($A120,"TRAILING_12M_R&amp;D_%_SALES",$A$1,$A$2)</f>
        <v>#N/A N/A</v>
      </c>
      <c r="V120" s="6">
        <v>40</v>
      </c>
      <c r="W120" s="6">
        <v>401010</v>
      </c>
      <c r="X120" s="6">
        <v>40101010</v>
      </c>
      <c r="Y120" s="7" t="s">
        <v>53</v>
      </c>
      <c r="Z120" s="7" t="s">
        <v>76</v>
      </c>
      <c r="AA120" s="7" t="s">
        <v>77</v>
      </c>
      <c r="AB120" s="6">
        <v>56.945980072021484</v>
      </c>
      <c r="AC120" s="6">
        <v>0.97598546706708211</v>
      </c>
      <c r="AD120" s="6">
        <v>-22.03612579963108</v>
      </c>
      <c r="AE120" s="6">
        <v>81600</v>
      </c>
      <c r="AF120" s="6">
        <v>119300</v>
      </c>
    </row>
    <row r="121" spans="1:32" s="4" customFormat="1" ht="12.75" x14ac:dyDescent="0.2">
      <c r="A121" s="7" t="s">
        <v>466</v>
      </c>
      <c r="B121" s="7" t="s">
        <v>467</v>
      </c>
      <c r="C121" s="7" t="s">
        <v>468</v>
      </c>
      <c r="D121" s="6">
        <v>7.4706368148327013E-2</v>
      </c>
      <c r="E121" s="6">
        <v>-0.67659288644790605</v>
      </c>
      <c r="F121" s="6">
        <v>0.72740751504898105</v>
      </c>
      <c r="G121" s="6">
        <v>-0.19459143280983002</v>
      </c>
      <c r="H121" s="6">
        <v>0.274759531021118</v>
      </c>
      <c r="I121" s="6">
        <v>8.634264022111901E-2</v>
      </c>
      <c r="J121" s="6">
        <v>3.000007152557373</v>
      </c>
      <c r="K121" s="6">
        <v>-0.58757489919662509</v>
      </c>
      <c r="L121" s="6">
        <v>0.13532099127769501</v>
      </c>
      <c r="M121" s="6">
        <v>-0.80796730518341109</v>
      </c>
      <c r="N121" s="6">
        <v>0.385711583365479</v>
      </c>
      <c r="O121" s="6">
        <v>0.81005816103413408</v>
      </c>
      <c r="P121" s="6">
        <v>0.64722854218793902</v>
      </c>
      <c r="Q121" s="6">
        <v>0.56713455366716803</v>
      </c>
      <c r="R121" s="6">
        <v>3.8669837560491231</v>
      </c>
      <c r="S121" s="6">
        <v>3.1265780703661399</v>
      </c>
      <c r="T121" s="6">
        <v>18.640050888061523</v>
      </c>
      <c r="U121" s="6" t="str">
        <f>_xll.BDP($A121,"TRAILING_12M_R&amp;D_%_SALES",$A$1,$A$2)</f>
        <v>#N/A N/A</v>
      </c>
      <c r="V121" s="6">
        <v>40</v>
      </c>
      <c r="W121" s="6">
        <v>401010</v>
      </c>
      <c r="X121" s="6">
        <v>40101010</v>
      </c>
      <c r="Y121" s="7" t="s">
        <v>53</v>
      </c>
      <c r="Z121" s="7" t="s">
        <v>76</v>
      </c>
      <c r="AA121" s="7" t="s">
        <v>77</v>
      </c>
      <c r="AB121" s="6">
        <v>53.706871032714844</v>
      </c>
      <c r="AC121" s="6">
        <v>0.60273551385048607</v>
      </c>
      <c r="AD121" s="6">
        <v>42.866061372132314</v>
      </c>
      <c r="AE121" s="6">
        <v>84597</v>
      </c>
      <c r="AF121" s="6">
        <v>100622</v>
      </c>
    </row>
    <row r="122" spans="1:32" s="4" customFormat="1" ht="12.75" x14ac:dyDescent="0.2">
      <c r="A122" s="7" t="s">
        <v>469</v>
      </c>
      <c r="B122" s="7" t="s">
        <v>470</v>
      </c>
      <c r="C122" s="7" t="s">
        <v>471</v>
      </c>
      <c r="D122" s="6">
        <v>-0.26485353708267201</v>
      </c>
      <c r="E122" s="6">
        <v>-0.65854567289352406</v>
      </c>
      <c r="F122" s="6">
        <v>-0.71079379320144709</v>
      </c>
      <c r="G122" s="6">
        <v>-0.42940169572830206</v>
      </c>
      <c r="H122" s="6">
        <v>-9.2630209401250007E-3</v>
      </c>
      <c r="I122" s="6">
        <v>0.38306495547294606</v>
      </c>
      <c r="J122" s="6">
        <v>-0.24125219881534601</v>
      </c>
      <c r="K122" s="6">
        <v>-0.66354352235794101</v>
      </c>
      <c r="L122" s="6">
        <v>-0.11968078464269601</v>
      </c>
      <c r="M122" s="6">
        <v>-0.81316745281219505</v>
      </c>
      <c r="N122" s="6">
        <v>3.7884920989659099</v>
      </c>
      <c r="O122" s="6">
        <v>3.797228607387098</v>
      </c>
      <c r="P122" s="6">
        <v>3.1594515123449161</v>
      </c>
      <c r="Q122" s="6">
        <v>2.894189310466929</v>
      </c>
      <c r="R122" s="6">
        <v>21.479856729734987</v>
      </c>
      <c r="S122" s="6">
        <v>20.685472309808826</v>
      </c>
      <c r="T122" s="6">
        <v>7.6620688438415527</v>
      </c>
      <c r="U122" s="6">
        <f>_xll.BDP($A122,"TRAILING_12M_R&amp;D_%_SALES",$A$1,$A$2)</f>
        <v>6.0222868217054266</v>
      </c>
      <c r="V122" s="6">
        <v>35</v>
      </c>
      <c r="W122" s="6">
        <v>351010</v>
      </c>
      <c r="X122" s="6">
        <v>35101010</v>
      </c>
      <c r="Y122" s="7" t="s">
        <v>86</v>
      </c>
      <c r="Z122" s="7" t="s">
        <v>114</v>
      </c>
      <c r="AA122" s="7" t="s">
        <v>115</v>
      </c>
      <c r="AB122" s="6">
        <v>66.019515991210938</v>
      </c>
      <c r="AC122" s="6">
        <v>0.68819300911202208</v>
      </c>
      <c r="AD122" s="6">
        <v>4.4107511628878724</v>
      </c>
      <c r="AE122" s="6">
        <v>77000</v>
      </c>
      <c r="AF122" s="6">
        <v>41933</v>
      </c>
    </row>
    <row r="123" spans="1:32" s="4" customFormat="1" ht="12.75" x14ac:dyDescent="0.2">
      <c r="A123" s="7" t="s">
        <v>472</v>
      </c>
      <c r="B123" s="7" t="s">
        <v>473</v>
      </c>
      <c r="C123" s="7" t="s">
        <v>474</v>
      </c>
      <c r="D123" s="6">
        <v>7.9870298504829004E-2</v>
      </c>
      <c r="E123" s="6">
        <v>-0.66949933767318703</v>
      </c>
      <c r="F123" s="6">
        <v>1.2912894487380981</v>
      </c>
      <c r="G123" s="6">
        <v>-0.59713011980056807</v>
      </c>
      <c r="H123" s="6">
        <v>-0.119787991046906</v>
      </c>
      <c r="I123" s="6">
        <v>-0.191993683576584</v>
      </c>
      <c r="J123" s="6">
        <v>1.3611710071563721</v>
      </c>
      <c r="K123" s="6">
        <v>-1.033944249153137</v>
      </c>
      <c r="L123" s="6">
        <v>2.725084543228149</v>
      </c>
      <c r="M123" s="6">
        <v>-0.35786229372024503</v>
      </c>
      <c r="N123" s="6">
        <v>0.48060580503881106</v>
      </c>
      <c r="O123" s="6">
        <v>0.50404956275077906</v>
      </c>
      <c r="P123" s="6">
        <v>0.8949991484861971</v>
      </c>
      <c r="Q123" s="6">
        <v>0.96401537516511204</v>
      </c>
      <c r="R123" s="6">
        <v>8.2519874237341018</v>
      </c>
      <c r="S123" s="6">
        <v>9.8449326312654559</v>
      </c>
      <c r="T123" s="6">
        <v>11.765651702880859</v>
      </c>
      <c r="U123" s="6">
        <f>_xll.BDP($A123,"TRAILING_12M_R&amp;D_%_SALES",$A$1,$A$2)</f>
        <v>3.2417195207892879</v>
      </c>
      <c r="V123" s="6">
        <v>15</v>
      </c>
      <c r="W123" s="6">
        <v>151010</v>
      </c>
      <c r="X123" s="6">
        <v>15101020</v>
      </c>
      <c r="Y123" s="7" t="s">
        <v>38</v>
      </c>
      <c r="Z123" s="7" t="s">
        <v>48</v>
      </c>
      <c r="AA123" s="7" t="s">
        <v>427</v>
      </c>
      <c r="AB123" s="6">
        <v>70.88824462890625</v>
      </c>
      <c r="AC123" s="6">
        <v>0.699970341150009</v>
      </c>
      <c r="AD123" s="6">
        <v>-23.139010815128714</v>
      </c>
      <c r="AE123" s="6">
        <v>111047</v>
      </c>
      <c r="AF123" s="6">
        <v>113830</v>
      </c>
    </row>
    <row r="124" spans="1:32" s="4" customFormat="1" ht="12.75" x14ac:dyDescent="0.2">
      <c r="A124" s="7" t="s">
        <v>475</v>
      </c>
      <c r="B124" s="7" t="s">
        <v>476</v>
      </c>
      <c r="C124" s="7" t="s">
        <v>477</v>
      </c>
      <c r="D124" s="6">
        <v>-0.9764602184295651</v>
      </c>
      <c r="E124" s="6">
        <v>-0.6492090225219731</v>
      </c>
      <c r="F124" s="6">
        <v>0.31491219997406</v>
      </c>
      <c r="G124" s="6">
        <v>0.21819624304771401</v>
      </c>
      <c r="H124" s="6">
        <v>0.50833004713058505</v>
      </c>
      <c r="I124" s="6">
        <v>0.43967017531395003</v>
      </c>
      <c r="J124" s="6">
        <v>1.6142822504043579</v>
      </c>
      <c r="K124" s="6">
        <v>-0.86443126201629605</v>
      </c>
      <c r="L124" s="6">
        <v>-0.81727248430252109</v>
      </c>
      <c r="M124" s="6">
        <v>-0.98525971174240112</v>
      </c>
      <c r="N124" s="6">
        <v>0.38718916290497901</v>
      </c>
      <c r="O124" s="6">
        <v>0.42756869182154605</v>
      </c>
      <c r="P124" s="6">
        <v>0.88451242784527606</v>
      </c>
      <c r="Q124" s="6">
        <v>0.28907449892959303</v>
      </c>
      <c r="R124" s="6">
        <v>15.634205400272963</v>
      </c>
      <c r="S124" s="6">
        <v>3.579049508618978</v>
      </c>
      <c r="T124" s="6">
        <v>28.005779266357422</v>
      </c>
      <c r="U124" s="6" t="str">
        <f>_xll.BDP($A124,"TRAILING_12M_R&amp;D_%_SALES",$A$1,$A$2)</f>
        <v>#N/A N/A</v>
      </c>
      <c r="V124" s="6">
        <v>40</v>
      </c>
      <c r="W124" s="6">
        <v>403010</v>
      </c>
      <c r="X124" s="6">
        <v>40301020</v>
      </c>
      <c r="Y124" s="7" t="s">
        <v>53</v>
      </c>
      <c r="Z124" s="7" t="s">
        <v>54</v>
      </c>
      <c r="AA124" s="7" t="s">
        <v>55</v>
      </c>
      <c r="AB124" s="6">
        <v>35.861583709716797</v>
      </c>
      <c r="AC124" s="6">
        <v>1.234967116839941</v>
      </c>
      <c r="AD124" s="6">
        <v>-1.5363918604748279</v>
      </c>
      <c r="AE124" s="6">
        <v>1500</v>
      </c>
      <c r="AF124" s="6"/>
    </row>
    <row r="125" spans="1:32" s="4" customFormat="1" ht="12.75" x14ac:dyDescent="0.2">
      <c r="A125" s="7" t="s">
        <v>478</v>
      </c>
      <c r="B125" s="7" t="s">
        <v>479</v>
      </c>
      <c r="C125" s="7" t="s">
        <v>480</v>
      </c>
      <c r="D125" s="6">
        <v>0.41036361455917403</v>
      </c>
      <c r="E125" s="6">
        <v>0.72653013467788707</v>
      </c>
      <c r="F125" s="6">
        <v>1.560538649559021</v>
      </c>
      <c r="G125" s="6">
        <v>-0.78153133392334007</v>
      </c>
      <c r="H125" s="6">
        <v>-0.68519854545593306</v>
      </c>
      <c r="I125" s="6">
        <v>1.205666780471802</v>
      </c>
      <c r="J125" s="6">
        <v>1.065115809440613</v>
      </c>
      <c r="K125" s="6">
        <v>-0.285877615213394</v>
      </c>
      <c r="L125" s="6">
        <v>3.00003981590271</v>
      </c>
      <c r="M125" s="6">
        <v>0.50671762228012107</v>
      </c>
      <c r="N125" s="6">
        <v>2.419022364609285</v>
      </c>
      <c r="O125" s="6">
        <v>2.946172729745149</v>
      </c>
      <c r="P125" s="6">
        <v>3.5006291177384159</v>
      </c>
      <c r="Q125" s="6">
        <v>3.293344883722034</v>
      </c>
      <c r="R125" s="6">
        <v>7.7794048912076441</v>
      </c>
      <c r="S125" s="6">
        <v>10.924367213840814</v>
      </c>
      <c r="T125" s="6">
        <v>64.227142333984375</v>
      </c>
      <c r="U125" s="6">
        <f>_xll.BDP($A125,"TRAILING_12M_R&amp;D_%_SALES",$A$1,$A$2)</f>
        <v>0</v>
      </c>
      <c r="V125" s="6">
        <v>15</v>
      </c>
      <c r="W125" s="6">
        <v>151040</v>
      </c>
      <c r="X125" s="6">
        <v>15104020</v>
      </c>
      <c r="Y125" s="7" t="s">
        <v>38</v>
      </c>
      <c r="Z125" s="7" t="s">
        <v>71</v>
      </c>
      <c r="AA125" s="7" t="s">
        <v>72</v>
      </c>
      <c r="AB125" s="6">
        <v>72.045066833496094</v>
      </c>
      <c r="AC125" s="6">
        <v>0.85046394883923904</v>
      </c>
      <c r="AD125" s="6">
        <v>29.405894884866314</v>
      </c>
      <c r="AE125" s="6">
        <v>49420</v>
      </c>
      <c r="AF125" s="6">
        <v>26146</v>
      </c>
    </row>
    <row r="126" spans="1:32" s="4" customFormat="1" ht="12.75" x14ac:dyDescent="0.2">
      <c r="A126" s="7" t="s">
        <v>481</v>
      </c>
      <c r="B126" s="7" t="s">
        <v>482</v>
      </c>
      <c r="C126" s="7" t="s">
        <v>483</v>
      </c>
      <c r="D126" s="6">
        <v>0.41036361455917403</v>
      </c>
      <c r="E126" s="6">
        <v>0.72653013467788707</v>
      </c>
      <c r="F126" s="6">
        <v>1.560538649559021</v>
      </c>
      <c r="G126" s="6">
        <v>-0.78153133392334007</v>
      </c>
      <c r="H126" s="6">
        <v>-0.68519854545593306</v>
      </c>
      <c r="I126" s="6">
        <v>1.205666780471802</v>
      </c>
      <c r="J126" s="6">
        <v>1.065115809440613</v>
      </c>
      <c r="K126" s="6">
        <v>-0.285877615213394</v>
      </c>
      <c r="L126" s="6">
        <v>3.00003981590271</v>
      </c>
      <c r="M126" s="6">
        <v>0.50671762228012107</v>
      </c>
      <c r="N126" s="6">
        <v>2.419022364609285</v>
      </c>
      <c r="O126" s="6">
        <v>2.859283408070703</v>
      </c>
      <c r="P126" s="6">
        <v>3.5006291177384159</v>
      </c>
      <c r="Q126" s="6">
        <v>3.1962182768843812</v>
      </c>
      <c r="R126" s="6">
        <v>7.7794048912076441</v>
      </c>
      <c r="S126" s="6">
        <v>10.60220104493183</v>
      </c>
      <c r="T126" s="6">
        <v>64.227142333984375</v>
      </c>
      <c r="U126" s="6">
        <f>_xll.BDP($A126,"TRAILING_12M_R&amp;D_%_SALES",$A$1,$A$2)</f>
        <v>0</v>
      </c>
      <c r="V126" s="6">
        <v>15</v>
      </c>
      <c r="W126" s="6">
        <v>151040</v>
      </c>
      <c r="X126" s="6">
        <v>15104020</v>
      </c>
      <c r="Y126" s="7" t="s">
        <v>38</v>
      </c>
      <c r="Z126" s="7" t="s">
        <v>71</v>
      </c>
      <c r="AA126" s="7" t="s">
        <v>72</v>
      </c>
      <c r="AB126" s="6">
        <v>72.045066833496094</v>
      </c>
      <c r="AC126" s="6">
        <v>0.67087299826144209</v>
      </c>
      <c r="AD126" s="6">
        <v>23.127834444459605</v>
      </c>
      <c r="AE126" s="6">
        <v>49420</v>
      </c>
      <c r="AF126" s="6">
        <v>26146</v>
      </c>
    </row>
    <row r="127" spans="1:32" s="4" customFormat="1" ht="12.75" x14ac:dyDescent="0.2">
      <c r="A127" s="7" t="s">
        <v>484</v>
      </c>
      <c r="B127" s="7" t="s">
        <v>485</v>
      </c>
      <c r="C127" s="7" t="s">
        <v>486</v>
      </c>
      <c r="D127" s="6">
        <v>-0.43931123614311202</v>
      </c>
      <c r="E127" s="6">
        <v>-1.3654718399047852</v>
      </c>
      <c r="F127" s="6">
        <v>0.203890591859818</v>
      </c>
      <c r="G127" s="6">
        <v>1.4612584114074711</v>
      </c>
      <c r="H127" s="6">
        <v>-0.36134591698646501</v>
      </c>
      <c r="I127" s="6">
        <v>-6.1072170734406003E-2</v>
      </c>
      <c r="J127" s="6">
        <v>7.2480574250221003E-2</v>
      </c>
      <c r="K127" s="6">
        <v>-0.53395968675613403</v>
      </c>
      <c r="L127" s="6">
        <v>-0.81727248430252109</v>
      </c>
      <c r="M127" s="6">
        <v>-0.37802124023437506</v>
      </c>
      <c r="N127" s="6">
        <v>2.216593927829686</v>
      </c>
      <c r="O127" s="6">
        <v>2.0001903685888132</v>
      </c>
      <c r="P127" s="6">
        <v>1.2667574079111259</v>
      </c>
      <c r="Q127" s="6">
        <v>1.30829269351152</v>
      </c>
      <c r="R127" s="6">
        <v>22.125929660170197</v>
      </c>
      <c r="S127" s="6">
        <v>12.709912059023283</v>
      </c>
      <c r="T127" s="6">
        <v>2.0162661075592041</v>
      </c>
      <c r="U127" s="6">
        <f>_xll.BDP($A127,"TRAILING_12M_R&amp;D_%_SALES",$A$1,$A$2)</f>
        <v>16.625727699530515</v>
      </c>
      <c r="V127" s="6">
        <v>50</v>
      </c>
      <c r="W127" s="6">
        <v>502030</v>
      </c>
      <c r="X127" s="6">
        <v>50203010</v>
      </c>
      <c r="Y127" s="7" t="s">
        <v>367</v>
      </c>
      <c r="Z127" s="7" t="s">
        <v>418</v>
      </c>
      <c r="AA127" s="7" t="s">
        <v>418</v>
      </c>
      <c r="AB127" s="6">
        <v>51.192031860351563</v>
      </c>
      <c r="AC127" s="6">
        <v>1.249884223058481</v>
      </c>
      <c r="AD127" s="6">
        <v>-24.055509733822731</v>
      </c>
      <c r="AE127" s="6">
        <v>45500</v>
      </c>
      <c r="AF127" s="6">
        <v>45887</v>
      </c>
    </row>
    <row r="128" spans="1:32" s="4" customFormat="1" ht="12.75" x14ac:dyDescent="0.2">
      <c r="A128" s="7" t="s">
        <v>487</v>
      </c>
      <c r="B128" s="7" t="s">
        <v>488</v>
      </c>
      <c r="C128" s="7" t="s">
        <v>489</v>
      </c>
      <c r="D128" s="6">
        <v>-0.79030907154083307</v>
      </c>
      <c r="E128" s="6">
        <v>-0.193274721503258</v>
      </c>
      <c r="F128" s="6">
        <v>0.67959022521972701</v>
      </c>
      <c r="G128" s="6">
        <v>0.32167235016822804</v>
      </c>
      <c r="H128" s="6">
        <v>-0.20783244073391002</v>
      </c>
      <c r="I128" s="6">
        <v>0.9259840846061711</v>
      </c>
      <c r="J128" s="6">
        <v>6.7430682480335E-2</v>
      </c>
      <c r="K128" s="6">
        <v>-1.6837201118469241</v>
      </c>
      <c r="L128" s="6">
        <v>-0.81727248430252109</v>
      </c>
      <c r="M128" s="6">
        <v>0.38202878832817105</v>
      </c>
      <c r="N128" s="6">
        <v>3.903637956579622</v>
      </c>
      <c r="O128" s="6">
        <v>4.2342076742237049</v>
      </c>
      <c r="P128" s="6">
        <v>3.1213245613552312</v>
      </c>
      <c r="Q128" s="6">
        <v>2.8511606486751311</v>
      </c>
      <c r="R128" s="6">
        <v>11.932497393518272</v>
      </c>
      <c r="S128" s="6">
        <v>17.611599186766195</v>
      </c>
      <c r="T128" s="6">
        <v>24.689943313598633</v>
      </c>
      <c r="U128" s="6">
        <f>_xll.BDP($A128,"TRAILING_12M_R&amp;D_%_SALES",$A$1,$A$2)</f>
        <v>21.101913000341057</v>
      </c>
      <c r="V128" s="6">
        <v>35</v>
      </c>
      <c r="W128" s="6">
        <v>352010</v>
      </c>
      <c r="X128" s="6">
        <v>35201010</v>
      </c>
      <c r="Y128" s="7" t="s">
        <v>86</v>
      </c>
      <c r="Z128" s="7" t="s">
        <v>87</v>
      </c>
      <c r="AA128" s="7" t="s">
        <v>87</v>
      </c>
      <c r="AB128" s="6">
        <v>67.136100769042969</v>
      </c>
      <c r="AC128" s="6">
        <v>0.94688492505012511</v>
      </c>
      <c r="AD128" s="6">
        <v>15.383338928222656</v>
      </c>
      <c r="AE128" s="6">
        <v>9610</v>
      </c>
      <c r="AF128" s="6">
        <v>7400</v>
      </c>
    </row>
    <row r="129" spans="1:32" s="4" customFormat="1" ht="12.75" x14ac:dyDescent="0.2">
      <c r="A129" s="7" t="s">
        <v>490</v>
      </c>
      <c r="B129" s="7" t="s">
        <v>491</v>
      </c>
      <c r="C129" s="7" t="s">
        <v>492</v>
      </c>
      <c r="D129" s="6">
        <v>7.8444600105286005E-2</v>
      </c>
      <c r="E129" s="6">
        <v>-0.94272828102111805</v>
      </c>
      <c r="F129" s="6">
        <v>1.9432717235760002E-3</v>
      </c>
      <c r="G129" s="6">
        <v>-0.18726846575737002</v>
      </c>
      <c r="H129" s="6">
        <v>0.147541329264641</v>
      </c>
      <c r="I129" s="6">
        <v>-0.26633119583129899</v>
      </c>
      <c r="J129" s="6">
        <v>1.666741728782654</v>
      </c>
      <c r="K129" s="6">
        <v>-0.74785268306732211</v>
      </c>
      <c r="L129" s="6">
        <v>0.79137623310089111</v>
      </c>
      <c r="M129" s="6">
        <v>-0.96383929252624512</v>
      </c>
      <c r="N129" s="6">
        <v>2.0506093162123791</v>
      </c>
      <c r="O129" s="6">
        <v>2.1366612124798658</v>
      </c>
      <c r="P129" s="6">
        <v>1.0542681320359011</v>
      </c>
      <c r="Q129" s="6">
        <v>0.94788260358897103</v>
      </c>
      <c r="R129" s="6">
        <v>10.843703258025737</v>
      </c>
      <c r="S129" s="6">
        <v>9.8165580720759174</v>
      </c>
      <c r="T129" s="6">
        <v>7.2337379455566406</v>
      </c>
      <c r="U129" s="6" t="str">
        <f>_xll.BDP($A129,"TRAILING_12M_R&amp;D_%_SALES",$A$1,$A$2)</f>
        <v>#N/A N/A</v>
      </c>
      <c r="V129" s="6">
        <v>40</v>
      </c>
      <c r="W129" s="6">
        <v>402030</v>
      </c>
      <c r="X129" s="6">
        <v>40203010</v>
      </c>
      <c r="Y129" s="7" t="s">
        <v>53</v>
      </c>
      <c r="Z129" s="7" t="s">
        <v>298</v>
      </c>
      <c r="AA129" s="7" t="s">
        <v>299</v>
      </c>
      <c r="AB129" s="6">
        <v>66.321296691894531</v>
      </c>
      <c r="AC129" s="6">
        <v>0.96646797125917205</v>
      </c>
      <c r="AD129" s="6">
        <v>-18.976352204230086</v>
      </c>
      <c r="AE129" s="6">
        <v>49100</v>
      </c>
      <c r="AF129" s="6">
        <v>52000</v>
      </c>
    </row>
    <row r="130" spans="1:32" s="4" customFormat="1" ht="12.75" x14ac:dyDescent="0.2">
      <c r="A130" s="7" t="s">
        <v>493</v>
      </c>
      <c r="B130" s="7" t="s">
        <v>494</v>
      </c>
      <c r="C130" s="7" t="s">
        <v>495</v>
      </c>
      <c r="D130" s="6">
        <v>-0.79211837053299006</v>
      </c>
      <c r="E130" s="6">
        <v>-0.93055719137191806</v>
      </c>
      <c r="F130" s="6">
        <v>0.43348923325538602</v>
      </c>
      <c r="G130" s="6">
        <v>-0.90972530841827404</v>
      </c>
      <c r="H130" s="6">
        <v>1.8843388184905E-2</v>
      </c>
      <c r="I130" s="6">
        <v>0.30397954583168002</v>
      </c>
      <c r="J130" s="6">
        <v>2.0101945400238042</v>
      </c>
      <c r="K130" s="6">
        <v>-0.68317925930023204</v>
      </c>
      <c r="L130" s="6">
        <v>0.45363381505012501</v>
      </c>
      <c r="M130" s="6">
        <v>-1.004562139511108</v>
      </c>
      <c r="N130" s="6">
        <v>2.1003898860710262</v>
      </c>
      <c r="O130" s="6"/>
      <c r="P130" s="6">
        <v>0.93140763566014706</v>
      </c>
      <c r="Q130" s="6"/>
      <c r="R130" s="6">
        <v>7.3364484558741454</v>
      </c>
      <c r="S130" s="6"/>
      <c r="T130" s="6">
        <v>13.022726058959961</v>
      </c>
      <c r="U130" s="6" t="str">
        <f>_xll.BDP($A130,"TRAILING_12M_R&amp;D_%_SALES",$A$1,$A$2)</f>
        <v>#N/A N/A</v>
      </c>
      <c r="V130" s="6">
        <v>40</v>
      </c>
      <c r="W130" s="6">
        <v>401010</v>
      </c>
      <c r="X130" s="6">
        <v>40101010</v>
      </c>
      <c r="Y130" s="7" t="s">
        <v>53</v>
      </c>
      <c r="Z130" s="7" t="s">
        <v>76</v>
      </c>
      <c r="AA130" s="7" t="s">
        <v>77</v>
      </c>
      <c r="AB130" s="6">
        <v>76.249870300292969</v>
      </c>
      <c r="AC130" s="6">
        <v>-4.1901215184557428</v>
      </c>
      <c r="AD130" s="6"/>
      <c r="AE130" s="6">
        <v>8535</v>
      </c>
      <c r="AF130" s="6">
        <v>11628</v>
      </c>
    </row>
    <row r="131" spans="1:32" s="4" customFormat="1" ht="12.75" x14ac:dyDescent="0.2">
      <c r="A131" s="7" t="s">
        <v>496</v>
      </c>
      <c r="B131" s="7" t="s">
        <v>497</v>
      </c>
      <c r="C131" s="7" t="s">
        <v>498</v>
      </c>
      <c r="D131" s="6">
        <v>-0.74048322439193703</v>
      </c>
      <c r="E131" s="6">
        <v>-0.82586914300918601</v>
      </c>
      <c r="F131" s="6">
        <v>7.8308463096618999E-2</v>
      </c>
      <c r="G131" s="6">
        <v>-0.90477234125137307</v>
      </c>
      <c r="H131" s="6">
        <v>-9.4735831022263003E-2</v>
      </c>
      <c r="I131" s="6">
        <v>0.35861086845397905</v>
      </c>
      <c r="J131" s="6">
        <v>1.9367985725402832</v>
      </c>
      <c r="K131" s="6">
        <v>-0.10114894062280701</v>
      </c>
      <c r="L131" s="6">
        <v>0.43835628032684304</v>
      </c>
      <c r="M131" s="6">
        <v>-0.94272291660308805</v>
      </c>
      <c r="N131" s="6">
        <v>2.1003898860710262</v>
      </c>
      <c r="O131" s="6"/>
      <c r="P131" s="6">
        <v>0.93140763566014706</v>
      </c>
      <c r="Q131" s="6"/>
      <c r="R131" s="6">
        <v>7.3364484558741454</v>
      </c>
      <c r="S131" s="6"/>
      <c r="T131" s="6">
        <v>13.022726058959961</v>
      </c>
      <c r="U131" s="6" t="str">
        <f>_xll.BDP($A131,"TRAILING_12M_R&amp;D_%_SALES",$A$1,$A$2)</f>
        <v>#N/A N/A</v>
      </c>
      <c r="V131" s="6">
        <v>40</v>
      </c>
      <c r="W131" s="6">
        <v>401010</v>
      </c>
      <c r="X131" s="6">
        <v>40101010</v>
      </c>
      <c r="Y131" s="7" t="s">
        <v>53</v>
      </c>
      <c r="Z131" s="7" t="s">
        <v>76</v>
      </c>
      <c r="AA131" s="7" t="s">
        <v>77</v>
      </c>
      <c r="AB131" s="6">
        <v>76.249870300292969</v>
      </c>
      <c r="AC131" s="6">
        <v>0.536797131067839</v>
      </c>
      <c r="AD131" s="6">
        <v>-14.646525130900779</v>
      </c>
      <c r="AE131" s="6">
        <v>8535</v>
      </c>
      <c r="AF131" s="6">
        <v>11628</v>
      </c>
    </row>
    <row r="132" spans="1:32" s="4" customFormat="1" ht="12.75" x14ac:dyDescent="0.2">
      <c r="A132" s="7" t="s">
        <v>499</v>
      </c>
      <c r="B132" s="7" t="s">
        <v>500</v>
      </c>
      <c r="C132" s="7" t="s">
        <v>501</v>
      </c>
      <c r="D132" s="6">
        <v>-0.52211928367614702</v>
      </c>
      <c r="E132" s="6">
        <v>0.43063092231750505</v>
      </c>
      <c r="F132" s="6">
        <v>-0.61300069093704201</v>
      </c>
      <c r="G132" s="6">
        <v>0.55145645141601607</v>
      </c>
      <c r="H132" s="6">
        <v>0.37085992097854603</v>
      </c>
      <c r="I132" s="6">
        <v>-3.4706443548203E-2</v>
      </c>
      <c r="J132" s="6">
        <v>-0.23271746933460202</v>
      </c>
      <c r="K132" s="6">
        <v>-0.87606650590896606</v>
      </c>
      <c r="L132" s="6">
        <v>-0.81727248430252109</v>
      </c>
      <c r="M132" s="6">
        <v>0.49003130197525002</v>
      </c>
      <c r="N132" s="6">
        <v>5.0711741964457229</v>
      </c>
      <c r="O132" s="6">
        <v>4.0867380760835319</v>
      </c>
      <c r="P132" s="6">
        <v>21.464811338954096</v>
      </c>
      <c r="Q132" s="6">
        <v>17.568944721995301</v>
      </c>
      <c r="R132" s="6">
        <v>22.673475086695554</v>
      </c>
      <c r="S132" s="6">
        <v>16.568897177163048</v>
      </c>
      <c r="T132" s="6">
        <v>52.978839874267578</v>
      </c>
      <c r="U132" s="6">
        <f>_xll.BDP($A132,"TRAILING_12M_R&amp;D_%_SALES",$A$1,$A$2)</f>
        <v>3.2478200429672692</v>
      </c>
      <c r="V132" s="6">
        <v>25</v>
      </c>
      <c r="W132" s="6">
        <v>253010</v>
      </c>
      <c r="X132" s="6">
        <v>25301020</v>
      </c>
      <c r="Y132" s="7" t="s">
        <v>108</v>
      </c>
      <c r="Z132" s="7" t="s">
        <v>109</v>
      </c>
      <c r="AA132" s="7" t="s">
        <v>110</v>
      </c>
      <c r="AB132" s="6">
        <v>43.184791564941406</v>
      </c>
      <c r="AC132" s="6">
        <v>1.1266381672438719</v>
      </c>
      <c r="AD132" s="6">
        <v>-15.887003947955147</v>
      </c>
      <c r="AE132" s="6">
        <v>20097</v>
      </c>
      <c r="AF132" s="6">
        <v>18500</v>
      </c>
    </row>
    <row r="133" spans="1:32" s="4" customFormat="1" ht="12.75" x14ac:dyDescent="0.2">
      <c r="A133" s="7" t="s">
        <v>502</v>
      </c>
      <c r="B133" s="7" t="s">
        <v>503</v>
      </c>
      <c r="C133" s="7" t="s">
        <v>504</v>
      </c>
      <c r="D133" s="6">
        <v>-0.66615116596221902</v>
      </c>
      <c r="E133" s="6">
        <v>-1.243157267570496</v>
      </c>
      <c r="F133" s="6">
        <v>-1.064340233802795</v>
      </c>
      <c r="G133" s="6">
        <v>0.61779731512069702</v>
      </c>
      <c r="H133" s="6">
        <v>-0.27285680174827603</v>
      </c>
      <c r="I133" s="6">
        <v>0.82186001539230302</v>
      </c>
      <c r="J133" s="6">
        <v>-7.4095755815506009E-2</v>
      </c>
      <c r="K133" s="6">
        <v>-0.91172534227371205</v>
      </c>
      <c r="L133" s="6">
        <v>0.47404745221138006</v>
      </c>
      <c r="M133" s="6">
        <v>8.5463508963585011E-2</v>
      </c>
      <c r="N133" s="6">
        <v>1.3619260637605599</v>
      </c>
      <c r="O133" s="6">
        <v>1.2244658052058131</v>
      </c>
      <c r="P133" s="6">
        <v>2.1066014367188548</v>
      </c>
      <c r="Q133" s="6">
        <v>2.0541242281617742</v>
      </c>
      <c r="R133" s="6">
        <v>39.225688619010874</v>
      </c>
      <c r="S133" s="6">
        <v>17.455587815230331</v>
      </c>
      <c r="T133" s="6">
        <v>-3.4646110534667969</v>
      </c>
      <c r="U133" s="6">
        <f>_xll.BDP($A133,"TRAILING_12M_R&amp;D_%_SALES",$A$1,$A$2)</f>
        <v>0</v>
      </c>
      <c r="V133" s="6">
        <v>10</v>
      </c>
      <c r="W133" s="6">
        <v>101010</v>
      </c>
      <c r="X133" s="6">
        <v>10101020</v>
      </c>
      <c r="Y133" s="7" t="s">
        <v>505</v>
      </c>
      <c r="Z133" s="7" t="s">
        <v>506</v>
      </c>
      <c r="AA133" s="7" t="s">
        <v>507</v>
      </c>
      <c r="AB133" s="6">
        <v>71.26043701171875</v>
      </c>
      <c r="AC133" s="6">
        <v>0.77891633702103402</v>
      </c>
      <c r="AD133" s="6">
        <v>26.479445714049497</v>
      </c>
      <c r="AE133" s="6">
        <v>54000</v>
      </c>
      <c r="AF133" s="6"/>
    </row>
    <row r="134" spans="1:32" s="4" customFormat="1" ht="12.75" x14ac:dyDescent="0.2">
      <c r="A134" s="7" t="s">
        <v>508</v>
      </c>
      <c r="B134" s="7" t="s">
        <v>509</v>
      </c>
      <c r="C134" s="7" t="s">
        <v>510</v>
      </c>
      <c r="D134" s="6">
        <v>-0.90274190902710005</v>
      </c>
      <c r="E134" s="6">
        <v>-0.92785692214965809</v>
      </c>
      <c r="F134" s="6">
        <v>1.7492940425872801</v>
      </c>
      <c r="G134" s="6">
        <v>-0.71467632055282604</v>
      </c>
      <c r="H134" s="6">
        <v>0.45293393731117204</v>
      </c>
      <c r="I134" s="6">
        <v>1.560535669326782</v>
      </c>
      <c r="J134" s="6">
        <v>1.9454493522644041</v>
      </c>
      <c r="K134" s="6">
        <v>-0.29306620359420804</v>
      </c>
      <c r="L134" s="6">
        <v>-0.54620939493179299</v>
      </c>
      <c r="M134" s="6">
        <v>-0.51772594451904308</v>
      </c>
      <c r="N134" s="6">
        <v>2.6528756254636892</v>
      </c>
      <c r="O134" s="6">
        <v>2.554181923494617</v>
      </c>
      <c r="P134" s="6">
        <v>0.7928928626926951</v>
      </c>
      <c r="Q134" s="6">
        <v>0.76461557623376109</v>
      </c>
      <c r="R134" s="6">
        <v>9.6841965924022091</v>
      </c>
      <c r="S134" s="6">
        <v>7.7251816489290972</v>
      </c>
      <c r="T134" s="6">
        <v>8.8886890411376953</v>
      </c>
      <c r="U134" s="6" t="str">
        <f>_xll.BDP($A134,"TRAILING_12M_R&amp;D_%_SALES",$A$1,$A$2)</f>
        <v>#N/A N/A</v>
      </c>
      <c r="V134" s="6">
        <v>40</v>
      </c>
      <c r="W134" s="6">
        <v>401010</v>
      </c>
      <c r="X134" s="6">
        <v>40101010</v>
      </c>
      <c r="Y134" s="7" t="s">
        <v>53</v>
      </c>
      <c r="Z134" s="7" t="s">
        <v>76</v>
      </c>
      <c r="AA134" s="7" t="s">
        <v>77</v>
      </c>
      <c r="AB134" s="6">
        <v>53.203903198242188</v>
      </c>
      <c r="AC134" s="6">
        <v>0.78475162636654305</v>
      </c>
      <c r="AD134" s="6">
        <v>58.944760405029363</v>
      </c>
      <c r="AE134" s="6"/>
      <c r="AF134" s="6">
        <v>11208</v>
      </c>
    </row>
    <row r="135" spans="1:32" s="4" customFormat="1" ht="12.75" x14ac:dyDescent="0.2">
      <c r="A135" s="7" t="s">
        <v>511</v>
      </c>
      <c r="B135" s="7" t="s">
        <v>512</v>
      </c>
      <c r="C135" s="7" t="s">
        <v>513</v>
      </c>
      <c r="D135" s="6">
        <v>-0.90274190902710005</v>
      </c>
      <c r="E135" s="6">
        <v>-0.92785692214965809</v>
      </c>
      <c r="F135" s="6">
        <v>1.7492940425872801</v>
      </c>
      <c r="G135" s="6">
        <v>-0.71467632055282604</v>
      </c>
      <c r="H135" s="6">
        <v>0.45293393731117204</v>
      </c>
      <c r="I135" s="6">
        <v>1.560535669326782</v>
      </c>
      <c r="J135" s="6">
        <v>1.9454493522644041</v>
      </c>
      <c r="K135" s="6">
        <v>-0.29306620359420804</v>
      </c>
      <c r="L135" s="6">
        <v>-0.54620939493179299</v>
      </c>
      <c r="M135" s="6">
        <v>-0.51772594451904308</v>
      </c>
      <c r="N135" s="6">
        <v>2.6528756254636892</v>
      </c>
      <c r="O135" s="6"/>
      <c r="P135" s="6">
        <v>0.7928928626926951</v>
      </c>
      <c r="Q135" s="6"/>
      <c r="R135" s="6">
        <v>9.6841965924022091</v>
      </c>
      <c r="S135" s="6"/>
      <c r="T135" s="6">
        <v>8.8886890411376953</v>
      </c>
      <c r="U135" s="6" t="str">
        <f>_xll.BDP($A135,"TRAILING_12M_R&amp;D_%_SALES",$A$1,$A$2)</f>
        <v>#N/A N/A</v>
      </c>
      <c r="V135" s="6">
        <v>40</v>
      </c>
      <c r="W135" s="6">
        <v>401010</v>
      </c>
      <c r="X135" s="6">
        <v>40101010</v>
      </c>
      <c r="Y135" s="7" t="s">
        <v>53</v>
      </c>
      <c r="Z135" s="7" t="s">
        <v>76</v>
      </c>
      <c r="AA135" s="7" t="s">
        <v>77</v>
      </c>
      <c r="AB135" s="6">
        <v>53.203903198242188</v>
      </c>
      <c r="AC135" s="6">
        <v>0.70162101576052305</v>
      </c>
      <c r="AD135" s="6">
        <v>62.482781092291347</v>
      </c>
      <c r="AE135" s="6"/>
      <c r="AF135" s="6">
        <v>11208</v>
      </c>
    </row>
    <row r="136" spans="1:32" s="4" customFormat="1" ht="12.75" x14ac:dyDescent="0.2">
      <c r="A136" s="7" t="s">
        <v>514</v>
      </c>
      <c r="B136" s="7" t="s">
        <v>515</v>
      </c>
      <c r="C136" s="7" t="s">
        <v>516</v>
      </c>
      <c r="D136" s="6">
        <v>0.57775133848190308</v>
      </c>
      <c r="E136" s="6">
        <v>-0.6538587212562561</v>
      </c>
      <c r="F136" s="6">
        <v>0.275611221790314</v>
      </c>
      <c r="G136" s="6">
        <v>-0.39471790194511402</v>
      </c>
      <c r="H136" s="6">
        <v>-1.076539039611816</v>
      </c>
      <c r="I136" s="6">
        <v>-2.8865193948150004E-2</v>
      </c>
      <c r="J136" s="6">
        <v>1.89200758934021</v>
      </c>
      <c r="K136" s="6">
        <v>-0.50936275720596302</v>
      </c>
      <c r="L136" s="6">
        <v>1.456918597221375</v>
      </c>
      <c r="M136" s="6">
        <v>-0.87642383575439509</v>
      </c>
      <c r="N136" s="6">
        <v>1.8362623300428851</v>
      </c>
      <c r="O136" s="6">
        <v>2.6629655859026178</v>
      </c>
      <c r="P136" s="6">
        <v>1.2830695042814499</v>
      </c>
      <c r="Q136" s="6">
        <v>1.191550948629208</v>
      </c>
      <c r="R136" s="6">
        <v>9.2723919321072188</v>
      </c>
      <c r="S136" s="6">
        <v>8.840628233053156</v>
      </c>
      <c r="T136" s="6">
        <v>22.804746627807617</v>
      </c>
      <c r="U136" s="6" t="str">
        <f>_xll.BDP($A136,"TRAILING_12M_R&amp;D_%_SALES",$A$1,$A$2)</f>
        <v>#N/A N/A</v>
      </c>
      <c r="V136" s="6">
        <v>40</v>
      </c>
      <c r="W136" s="6">
        <v>401010</v>
      </c>
      <c r="X136" s="6">
        <v>40101010</v>
      </c>
      <c r="Y136" s="7" t="s">
        <v>53</v>
      </c>
      <c r="Z136" s="7" t="s">
        <v>76</v>
      </c>
      <c r="AA136" s="7" t="s">
        <v>77</v>
      </c>
      <c r="AB136" s="6">
        <v>65.043754577636719</v>
      </c>
      <c r="AC136" s="6">
        <v>0.85297971768413505</v>
      </c>
      <c r="AD136" s="6">
        <v>-11.902269581752655</v>
      </c>
      <c r="AE136" s="6">
        <v>46722</v>
      </c>
      <c r="AF136" s="6">
        <v>45200</v>
      </c>
    </row>
    <row r="137" spans="1:32" s="4" customFormat="1" ht="12.75" x14ac:dyDescent="0.2">
      <c r="A137" s="7" t="s">
        <v>517</v>
      </c>
      <c r="B137" s="7" t="s">
        <v>518</v>
      </c>
      <c r="C137" s="7" t="s">
        <v>519</v>
      </c>
      <c r="D137" s="6">
        <v>0.52278757095336903</v>
      </c>
      <c r="E137" s="6">
        <v>-0.39637812972068803</v>
      </c>
      <c r="F137" s="6">
        <v>0.63990259170532204</v>
      </c>
      <c r="G137" s="6">
        <v>-0.83638203144073509</v>
      </c>
      <c r="H137" s="6">
        <v>0.79962313175201405</v>
      </c>
      <c r="I137" s="6">
        <v>0.20365220308303802</v>
      </c>
      <c r="J137" s="6">
        <v>2.6743259429931641</v>
      </c>
      <c r="K137" s="6">
        <v>-0.68733513355255105</v>
      </c>
      <c r="L137" s="6">
        <v>2.5709118843078609</v>
      </c>
      <c r="M137" s="6">
        <v>-0.44537162780761702</v>
      </c>
      <c r="N137" s="6">
        <v>0.41927961046006201</v>
      </c>
      <c r="O137" s="6">
        <v>0.35197278334836102</v>
      </c>
      <c r="P137" s="6">
        <v>0.62959592838237199</v>
      </c>
      <c r="Q137" s="6"/>
      <c r="R137" s="6">
        <v>3.0577605837699542</v>
      </c>
      <c r="S137" s="6">
        <v>2.9085718214175849</v>
      </c>
      <c r="T137" s="6">
        <v>22.765071868896484</v>
      </c>
      <c r="U137" s="6">
        <f>_xll.BDP($A137,"TRAILING_12M_R&amp;D_%_SALES",$A$1,$A$2)</f>
        <v>6.1598581903150427</v>
      </c>
      <c r="V137" s="6">
        <v>25</v>
      </c>
      <c r="W137" s="6">
        <v>251020</v>
      </c>
      <c r="X137" s="6">
        <v>25102010</v>
      </c>
      <c r="Y137" s="7" t="s">
        <v>108</v>
      </c>
      <c r="Z137" s="7" t="s">
        <v>422</v>
      </c>
      <c r="AA137" s="7" t="s">
        <v>423</v>
      </c>
      <c r="AB137" s="6">
        <v>69.32904052734375</v>
      </c>
      <c r="AC137" s="6">
        <v>0.95075444303245504</v>
      </c>
      <c r="AD137" s="6">
        <v>-4.5404950144352094</v>
      </c>
      <c r="AE137" s="6">
        <v>118909</v>
      </c>
      <c r="AF137" s="6">
        <v>124729</v>
      </c>
    </row>
    <row r="138" spans="1:32" s="4" customFormat="1" ht="12.75" x14ac:dyDescent="0.2">
      <c r="A138" s="7" t="s">
        <v>520</v>
      </c>
      <c r="B138" s="7" t="s">
        <v>521</v>
      </c>
      <c r="C138" s="7" t="s">
        <v>522</v>
      </c>
      <c r="D138" s="6">
        <v>0.33656877279281605</v>
      </c>
      <c r="E138" s="6">
        <v>-0.10777190327644301</v>
      </c>
      <c r="F138" s="6">
        <v>-0.87918460369110107</v>
      </c>
      <c r="G138" s="6">
        <v>-0.278497934341431</v>
      </c>
      <c r="H138" s="6">
        <v>0.36626866459846502</v>
      </c>
      <c r="I138" s="6">
        <v>1.022241353988647</v>
      </c>
      <c r="J138" s="6">
        <v>0.260238766670227</v>
      </c>
      <c r="K138" s="6">
        <v>3.0420821160078004E-2</v>
      </c>
      <c r="L138" s="6">
        <v>0.71907353401184104</v>
      </c>
      <c r="M138" s="6">
        <v>-3.1876701861620005E-2</v>
      </c>
      <c r="N138" s="6">
        <v>3.315253504265478</v>
      </c>
      <c r="O138" s="6">
        <v>3.2509793993673131</v>
      </c>
      <c r="P138" s="6">
        <v>4.6775974850293087</v>
      </c>
      <c r="Q138" s="6">
        <v>3.3773984428263271</v>
      </c>
      <c r="R138" s="6">
        <v>16.799873987094589</v>
      </c>
      <c r="S138" s="6">
        <v>9.0475869913630813</v>
      </c>
      <c r="T138" s="6">
        <v>19.108808517456055</v>
      </c>
      <c r="U138" s="6">
        <f>_xll.BDP($A138,"TRAILING_12M_R&amp;D_%_SALES",$A$1,$A$2)</f>
        <v>23.103519668737061</v>
      </c>
      <c r="V138" s="6">
        <v>35</v>
      </c>
      <c r="W138" s="6">
        <v>352020</v>
      </c>
      <c r="X138" s="6">
        <v>35202010</v>
      </c>
      <c r="Y138" s="7" t="s">
        <v>86</v>
      </c>
      <c r="Z138" s="7" t="s">
        <v>271</v>
      </c>
      <c r="AA138" s="7" t="s">
        <v>271</v>
      </c>
      <c r="AB138" s="6">
        <v>56.292125701904297</v>
      </c>
      <c r="AC138" s="6">
        <v>0.52368263658385106</v>
      </c>
      <c r="AD138" s="6">
        <v>18.678017718715402</v>
      </c>
      <c r="AE138" s="6">
        <v>32200</v>
      </c>
      <c r="AF138" s="6">
        <v>25000</v>
      </c>
    </row>
    <row r="139" spans="1:32" s="4" customFormat="1" ht="12.75" x14ac:dyDescent="0.2">
      <c r="A139" s="7" t="s">
        <v>523</v>
      </c>
      <c r="B139" s="7" t="s">
        <v>524</v>
      </c>
      <c r="C139" s="7" t="s">
        <v>525</v>
      </c>
      <c r="D139" s="6">
        <v>0.52234315872192405</v>
      </c>
      <c r="E139" s="6">
        <v>-0.70803457498550404</v>
      </c>
      <c r="F139" s="6">
        <v>0.12450512498617201</v>
      </c>
      <c r="G139" s="6">
        <v>-0.93466943502426103</v>
      </c>
      <c r="H139" s="6">
        <v>2.0166842937469478</v>
      </c>
      <c r="I139" s="6">
        <v>-0.43583881855011003</v>
      </c>
      <c r="J139" s="6">
        <v>0.91894322633743308</v>
      </c>
      <c r="K139" s="6">
        <v>-1.388266801834106</v>
      </c>
      <c r="L139" s="6">
        <v>5.6554105132818007E-2</v>
      </c>
      <c r="M139" s="6">
        <v>-0.92417865991592407</v>
      </c>
      <c r="N139" s="6">
        <v>0.54540568362431907</v>
      </c>
      <c r="O139" s="6">
        <v>0.57359300911083999</v>
      </c>
      <c r="P139" s="6">
        <v>1.227246234606395</v>
      </c>
      <c r="Q139" s="6">
        <v>1.114792661227735</v>
      </c>
      <c r="R139" s="6">
        <v>48.766013831837817</v>
      </c>
      <c r="S139" s="6">
        <v>10.214394392116665</v>
      </c>
      <c r="T139" s="6">
        <v>8.4283351898193359</v>
      </c>
      <c r="U139" s="6" t="str">
        <f>_xll.BDP($A139,"TRAILING_12M_R&amp;D_%_SALES",$A$1,$A$2)</f>
        <v>#N/A N/A</v>
      </c>
      <c r="V139" s="6">
        <v>40</v>
      </c>
      <c r="W139" s="6">
        <v>402030</v>
      </c>
      <c r="X139" s="6">
        <v>40203010</v>
      </c>
      <c r="Y139" s="7" t="s">
        <v>53</v>
      </c>
      <c r="Z139" s="7" t="s">
        <v>298</v>
      </c>
      <c r="AA139" s="7" t="s">
        <v>299</v>
      </c>
      <c r="AB139" s="6">
        <v>43.577106475830078</v>
      </c>
      <c r="AC139" s="6">
        <v>1.1516331136094</v>
      </c>
      <c r="AD139" s="6">
        <v>-35.470758579786278</v>
      </c>
      <c r="AE139" s="6">
        <v>177300</v>
      </c>
      <c r="AF139" s="6">
        <v>70000</v>
      </c>
    </row>
    <row r="140" spans="1:32" s="4" customFormat="1" ht="12.75" x14ac:dyDescent="0.2">
      <c r="A140" s="7" t="s">
        <v>526</v>
      </c>
      <c r="B140" s="7" t="s">
        <v>527</v>
      </c>
      <c r="C140" s="7" t="s">
        <v>528</v>
      </c>
      <c r="D140" s="6">
        <v>-0.89740592241287209</v>
      </c>
      <c r="E140" s="6">
        <v>-0.97894299030304011</v>
      </c>
      <c r="F140" s="6">
        <v>3.0001339912414551</v>
      </c>
      <c r="G140" s="6">
        <v>-4.5860264450312001E-2</v>
      </c>
      <c r="H140" s="6">
        <v>1.124957680702209</v>
      </c>
      <c r="I140" s="6">
        <v>1.575340747833252</v>
      </c>
      <c r="J140" s="6">
        <v>2.436963796615601</v>
      </c>
      <c r="K140" s="6">
        <v>-0.84524035453796409</v>
      </c>
      <c r="L140" s="6">
        <v>0.95306581258773804</v>
      </c>
      <c r="M140" s="6">
        <v>-0.91194975376129206</v>
      </c>
      <c r="N140" s="6">
        <v>0.85729887831238305</v>
      </c>
      <c r="O140" s="6">
        <v>0.90591347810788603</v>
      </c>
      <c r="P140" s="6">
        <v>0.37195208083034903</v>
      </c>
      <c r="Q140" s="6">
        <v>0.35296443105588304</v>
      </c>
      <c r="R140" s="6">
        <v>5.6944472673274369</v>
      </c>
      <c r="S140" s="6">
        <v>6.8242145259985456</v>
      </c>
      <c r="T140" s="6">
        <v>6.654454231262207</v>
      </c>
      <c r="U140" s="6" t="str">
        <f>_xll.BDP($A140,"TRAILING_12M_R&amp;D_%_SALES",$A$1,$A$2)</f>
        <v>#N/A N/A</v>
      </c>
      <c r="V140" s="6">
        <v>40</v>
      </c>
      <c r="W140" s="6">
        <v>401010</v>
      </c>
      <c r="X140" s="6">
        <v>40101010</v>
      </c>
      <c r="Y140" s="7" t="s">
        <v>53</v>
      </c>
      <c r="Z140" s="7" t="s">
        <v>76</v>
      </c>
      <c r="AA140" s="7" t="s">
        <v>77</v>
      </c>
      <c r="AB140" s="6">
        <v>60.999900817871094</v>
      </c>
      <c r="AC140" s="6">
        <v>0.29713355358737303</v>
      </c>
      <c r="AD140" s="6">
        <v>49.875745169862817</v>
      </c>
      <c r="AE140" s="6">
        <v>20070</v>
      </c>
      <c r="AF140" s="6">
        <v>25945</v>
      </c>
    </row>
    <row r="141" spans="1:32" s="4" customFormat="1" ht="12.75" x14ac:dyDescent="0.2">
      <c r="A141" s="7" t="s">
        <v>529</v>
      </c>
      <c r="B141" s="7" t="s">
        <v>530</v>
      </c>
      <c r="C141" s="7" t="s">
        <v>531</v>
      </c>
      <c r="D141" s="6">
        <v>-0.89740592241287209</v>
      </c>
      <c r="E141" s="6">
        <v>-0.97894299030304011</v>
      </c>
      <c r="F141" s="6">
        <v>3.0001339912414551</v>
      </c>
      <c r="G141" s="6">
        <v>-4.5860264450312001E-2</v>
      </c>
      <c r="H141" s="6">
        <v>1.124957680702209</v>
      </c>
      <c r="I141" s="6">
        <v>1.575340747833252</v>
      </c>
      <c r="J141" s="6">
        <v>2.436963796615601</v>
      </c>
      <c r="K141" s="6">
        <v>-0.84524035453796409</v>
      </c>
      <c r="L141" s="6">
        <v>0.95306581258773804</v>
      </c>
      <c r="M141" s="6">
        <v>-0.91194975376129206</v>
      </c>
      <c r="N141" s="6">
        <v>0.85729887831238305</v>
      </c>
      <c r="O141" s="6"/>
      <c r="P141" s="6">
        <v>0.37195208083034903</v>
      </c>
      <c r="Q141" s="6"/>
      <c r="R141" s="6">
        <v>5.6944472673274369</v>
      </c>
      <c r="S141" s="6"/>
      <c r="T141" s="6">
        <v>6.654454231262207</v>
      </c>
      <c r="U141" s="6" t="str">
        <f>_xll.BDP($A141,"TRAILING_12M_R&amp;D_%_SALES",$A$1,$A$2)</f>
        <v>#N/A N/A</v>
      </c>
      <c r="V141" s="6">
        <v>40</v>
      </c>
      <c r="W141" s="6">
        <v>401010</v>
      </c>
      <c r="X141" s="6">
        <v>40101010</v>
      </c>
      <c r="Y141" s="7" t="s">
        <v>53</v>
      </c>
      <c r="Z141" s="7" t="s">
        <v>76</v>
      </c>
      <c r="AA141" s="7" t="s">
        <v>77</v>
      </c>
      <c r="AB141" s="6">
        <v>60.999900817871094</v>
      </c>
      <c r="AC141" s="6">
        <v>0.25077437746402903</v>
      </c>
      <c r="AD141" s="6">
        <v>53.256849061721702</v>
      </c>
      <c r="AE141" s="6">
        <v>20070</v>
      </c>
      <c r="AF141" s="6">
        <v>25945</v>
      </c>
    </row>
    <row r="142" spans="1:32" s="4" customFormat="1" ht="12.75" x14ac:dyDescent="0.2">
      <c r="A142" s="7" t="s">
        <v>532</v>
      </c>
      <c r="B142" s="7" t="s">
        <v>533</v>
      </c>
      <c r="C142" s="7" t="s">
        <v>534</v>
      </c>
      <c r="D142" s="6">
        <v>1.0507771968841551</v>
      </c>
      <c r="E142" s="6">
        <v>-0.91307699680328402</v>
      </c>
      <c r="F142" s="6">
        <v>1.7995976209640501</v>
      </c>
      <c r="G142" s="6">
        <v>-0.76443630456924405</v>
      </c>
      <c r="H142" s="6">
        <v>1.1210424900054929</v>
      </c>
      <c r="I142" s="6">
        <v>0.29869416356086703</v>
      </c>
      <c r="J142" s="6">
        <v>0.42246511578559903</v>
      </c>
      <c r="K142" s="6">
        <v>-1.033441543579102</v>
      </c>
      <c r="L142" s="6">
        <v>2.506657600402832</v>
      </c>
      <c r="M142" s="6">
        <v>-0.86616939306259211</v>
      </c>
      <c r="N142" s="6">
        <v>1.329389781578288</v>
      </c>
      <c r="O142" s="6">
        <v>1.3654375239071479</v>
      </c>
      <c r="P142" s="6">
        <v>0.59718810313283199</v>
      </c>
      <c r="Q142" s="6">
        <v>0.54783685870364607</v>
      </c>
      <c r="R142" s="6">
        <v>6.6975959547180022</v>
      </c>
      <c r="S142" s="6">
        <v>7.2076152454202216</v>
      </c>
      <c r="T142" s="6">
        <v>8.8564119338989258</v>
      </c>
      <c r="U142" s="6" t="str">
        <f>_xll.BDP($A142,"TRAILING_12M_R&amp;D_%_SALES",$A$1,$A$2)</f>
        <v>#N/A N/A</v>
      </c>
      <c r="V142" s="6">
        <v>40</v>
      </c>
      <c r="W142" s="6">
        <v>401010</v>
      </c>
      <c r="X142" s="6">
        <v>40101010</v>
      </c>
      <c r="Y142" s="7" t="s">
        <v>53</v>
      </c>
      <c r="Z142" s="7" t="s">
        <v>76</v>
      </c>
      <c r="AA142" s="7" t="s">
        <v>77</v>
      </c>
      <c r="AB142" s="6">
        <v>59.802837371826172</v>
      </c>
      <c r="AC142" s="6">
        <v>0.70321379115636806</v>
      </c>
      <c r="AD142" s="6">
        <v>-10.895550681521815</v>
      </c>
      <c r="AE142" s="6">
        <v>189765</v>
      </c>
      <c r="AF142" s="6">
        <v>192418</v>
      </c>
    </row>
    <row r="143" spans="1:32" s="4" customFormat="1" ht="12.75" x14ac:dyDescent="0.2">
      <c r="A143" s="7" t="s">
        <v>535</v>
      </c>
      <c r="B143" s="7" t="s">
        <v>536</v>
      </c>
      <c r="C143" s="7" t="s">
        <v>537</v>
      </c>
      <c r="D143" s="6">
        <v>1.0507771968841551</v>
      </c>
      <c r="E143" s="6">
        <v>-0.91307699680328402</v>
      </c>
      <c r="F143" s="6">
        <v>1.7995976209640501</v>
      </c>
      <c r="G143" s="6">
        <v>-0.76443630456924405</v>
      </c>
      <c r="H143" s="6">
        <v>1.1210424900054929</v>
      </c>
      <c r="I143" s="6">
        <v>0.29869416356086703</v>
      </c>
      <c r="J143" s="6">
        <v>0.42246511578559903</v>
      </c>
      <c r="K143" s="6">
        <v>-1.033441543579102</v>
      </c>
      <c r="L143" s="6">
        <v>2.506657600402832</v>
      </c>
      <c r="M143" s="6">
        <v>-0.86616939306259211</v>
      </c>
      <c r="N143" s="6">
        <v>1.329389781578288</v>
      </c>
      <c r="O143" s="6">
        <v>1.352468757360946</v>
      </c>
      <c r="P143" s="6">
        <v>0.59718810313283199</v>
      </c>
      <c r="Q143" s="6">
        <v>0.54263405751806004</v>
      </c>
      <c r="R143" s="6">
        <v>6.6975959547180022</v>
      </c>
      <c r="S143" s="6">
        <v>7.1391765474063451</v>
      </c>
      <c r="T143" s="6">
        <v>8.8564119338989258</v>
      </c>
      <c r="U143" s="6" t="str">
        <f>_xll.BDP($A143,"TRAILING_12M_R&amp;D_%_SALES",$A$1,$A$2)</f>
        <v>#N/A N/A</v>
      </c>
      <c r="V143" s="6">
        <v>40</v>
      </c>
      <c r="W143" s="6">
        <v>401010</v>
      </c>
      <c r="X143" s="6">
        <v>40101010</v>
      </c>
      <c r="Y143" s="7" t="s">
        <v>53</v>
      </c>
      <c r="Z143" s="7" t="s">
        <v>76</v>
      </c>
      <c r="AA143" s="7" t="s">
        <v>77</v>
      </c>
      <c r="AB143" s="6">
        <v>59.802837371826172</v>
      </c>
      <c r="AC143" s="6">
        <v>0.98933223818026406</v>
      </c>
      <c r="AD143" s="6">
        <v>-11.173599160490699</v>
      </c>
      <c r="AE143" s="6">
        <v>189765</v>
      </c>
      <c r="AF143" s="6">
        <v>192418</v>
      </c>
    </row>
    <row r="144" spans="1:32" s="4" customFormat="1" ht="12.75" x14ac:dyDescent="0.2">
      <c r="A144" s="7" t="s">
        <v>538</v>
      </c>
      <c r="B144" s="7" t="s">
        <v>539</v>
      </c>
      <c r="C144" s="7" t="s">
        <v>540</v>
      </c>
      <c r="D144" s="6">
        <v>1.7036865949630742</v>
      </c>
      <c r="E144" s="6">
        <v>-0.8384153246879581</v>
      </c>
      <c r="F144" s="6">
        <v>1.0172779560089109</v>
      </c>
      <c r="G144" s="6">
        <v>-0.67213803529739402</v>
      </c>
      <c r="H144" s="6">
        <v>1.706293940544128</v>
      </c>
      <c r="I144" s="6">
        <v>0.22315177321434002</v>
      </c>
      <c r="J144" s="6">
        <v>2.4925036430358891</v>
      </c>
      <c r="K144" s="6">
        <v>-0.78514212369918801</v>
      </c>
      <c r="L144" s="6">
        <v>0.36602243781089805</v>
      </c>
      <c r="M144" s="6">
        <v>-0.726665079593658</v>
      </c>
      <c r="N144" s="6">
        <v>1.329389781578288</v>
      </c>
      <c r="O144" s="6"/>
      <c r="P144" s="6">
        <v>0.59718810313283199</v>
      </c>
      <c r="Q144" s="6"/>
      <c r="R144" s="6">
        <v>6.6975959547180022</v>
      </c>
      <c r="S144" s="6"/>
      <c r="T144" s="6">
        <v>8.8564119338989258</v>
      </c>
      <c r="U144" s="6" t="str">
        <f>_xll.BDP($A144,"TRAILING_12M_R&amp;D_%_SALES",$A$1,$A$2)</f>
        <v>#N/A N/A</v>
      </c>
      <c r="V144" s="6">
        <v>40</v>
      </c>
      <c r="W144" s="6">
        <v>401010</v>
      </c>
      <c r="X144" s="6">
        <v>40101010</v>
      </c>
      <c r="Y144" s="7" t="s">
        <v>53</v>
      </c>
      <c r="Z144" s="7" t="s">
        <v>76</v>
      </c>
      <c r="AA144" s="7" t="s">
        <v>77</v>
      </c>
      <c r="AB144" s="6">
        <v>59.802837371826172</v>
      </c>
      <c r="AC144" s="6"/>
      <c r="AD144" s="6"/>
      <c r="AE144" s="6">
        <v>189765</v>
      </c>
      <c r="AF144" s="6">
        <v>192418</v>
      </c>
    </row>
    <row r="145" spans="1:32" s="4" customFormat="1" ht="12.75" x14ac:dyDescent="0.2">
      <c r="A145" s="7" t="s">
        <v>541</v>
      </c>
      <c r="B145" s="7" t="s">
        <v>542</v>
      </c>
      <c r="C145" s="7" t="s">
        <v>543</v>
      </c>
      <c r="D145" s="6">
        <v>0.60524082183837902</v>
      </c>
      <c r="E145" s="6">
        <v>-0.78363031148910511</v>
      </c>
      <c r="F145" s="6">
        <v>-5.4301258176565004E-2</v>
      </c>
      <c r="G145" s="6">
        <v>-0.293129533529282</v>
      </c>
      <c r="H145" s="6">
        <v>-1.0530630350112919</v>
      </c>
      <c r="I145" s="6">
        <v>-0.35325470566749601</v>
      </c>
      <c r="J145" s="6">
        <v>1.4493726491928101</v>
      </c>
      <c r="K145" s="6">
        <v>-0.64797759056091309</v>
      </c>
      <c r="L145" s="6">
        <v>2.2368066310882568</v>
      </c>
      <c r="M145" s="6">
        <v>-0.79558300971984908</v>
      </c>
      <c r="N145" s="6">
        <v>1.697681145818221</v>
      </c>
      <c r="O145" s="6">
        <v>2.313387975868658</v>
      </c>
      <c r="P145" s="6">
        <v>1.21386764446957</v>
      </c>
      <c r="Q145" s="6">
        <v>1.1122787150726869</v>
      </c>
      <c r="R145" s="6">
        <v>7.8528572889605446</v>
      </c>
      <c r="S145" s="6">
        <v>7.8992034872003103</v>
      </c>
      <c r="T145" s="6">
        <v>14.8668212890625</v>
      </c>
      <c r="U145" s="6" t="str">
        <f>_xll.BDP($A145,"TRAILING_12M_R&amp;D_%_SALES",$A$1,$A$2)</f>
        <v>#N/A N/A</v>
      </c>
      <c r="V145" s="6">
        <v>40</v>
      </c>
      <c r="W145" s="6">
        <v>401010</v>
      </c>
      <c r="X145" s="6">
        <v>40101010</v>
      </c>
      <c r="Y145" s="7" t="s">
        <v>53</v>
      </c>
      <c r="Z145" s="7" t="s">
        <v>76</v>
      </c>
      <c r="AA145" s="7" t="s">
        <v>77</v>
      </c>
      <c r="AB145" s="6">
        <v>56.392715454101563</v>
      </c>
      <c r="AC145" s="6">
        <v>0.79072653900857204</v>
      </c>
      <c r="AD145" s="6">
        <v>-28.129982066937931</v>
      </c>
      <c r="AE145" s="6">
        <v>90979</v>
      </c>
      <c r="AF145" s="6">
        <v>88645</v>
      </c>
    </row>
    <row r="146" spans="1:32" s="4" customFormat="1" ht="12.75" x14ac:dyDescent="0.2">
      <c r="A146" s="7" t="s">
        <v>544</v>
      </c>
      <c r="B146" s="7" t="s">
        <v>545</v>
      </c>
      <c r="C146" s="7" t="s">
        <v>546</v>
      </c>
      <c r="D146" s="6">
        <v>-0.70180398225784302</v>
      </c>
      <c r="E146" s="6">
        <v>1.832878470420837</v>
      </c>
      <c r="F146" s="6">
        <v>2.631575345993042</v>
      </c>
      <c r="G146" s="6">
        <v>7.7816091477871011E-2</v>
      </c>
      <c r="H146" s="6">
        <v>-1.3623062372207642</v>
      </c>
      <c r="I146" s="6">
        <v>-0.46042487025260903</v>
      </c>
      <c r="J146" s="6">
        <v>2.362897634506226</v>
      </c>
      <c r="K146" s="6">
        <v>2.6177959442138672</v>
      </c>
      <c r="L146" s="6">
        <v>-0.81727248430252109</v>
      </c>
      <c r="M146" s="6">
        <v>0.5318244099617</v>
      </c>
      <c r="N146" s="6">
        <v>1.8395539299647772</v>
      </c>
      <c r="O146" s="6">
        <v>3.8071470322500569</v>
      </c>
      <c r="P146" s="6">
        <v>1.8533004948854512</v>
      </c>
      <c r="Q146" s="6">
        <v>1.3340160325110051</v>
      </c>
      <c r="R146" s="6">
        <v>3.5183599744859699</v>
      </c>
      <c r="S146" s="6">
        <v>8.6124015048892204</v>
      </c>
      <c r="T146" s="6">
        <v>76.238838195800781</v>
      </c>
      <c r="U146" s="6">
        <f>_xll.BDP($A146,"TRAILING_12M_R&amp;D_%_SALES",$A$1,$A$2)</f>
        <v>73.030492418012557</v>
      </c>
      <c r="V146" s="6">
        <v>35</v>
      </c>
      <c r="W146" s="6">
        <v>352010</v>
      </c>
      <c r="X146" s="6">
        <v>35201010</v>
      </c>
      <c r="Y146" s="7" t="s">
        <v>86</v>
      </c>
      <c r="Z146" s="7" t="s">
        <v>87</v>
      </c>
      <c r="AA146" s="7" t="s">
        <v>87</v>
      </c>
      <c r="AB146" s="6">
        <v>46.343425750732422</v>
      </c>
      <c r="AC146" s="6">
        <v>1.1165784541458119</v>
      </c>
      <c r="AD146" s="6">
        <v>-40.717805334388167</v>
      </c>
      <c r="AE146" s="6">
        <v>3082</v>
      </c>
      <c r="AF146" s="6"/>
    </row>
    <row r="147" spans="1:32" s="4" customFormat="1" ht="12.75" x14ac:dyDescent="0.2">
      <c r="A147" s="7" t="s">
        <v>547</v>
      </c>
      <c r="B147" s="7" t="s">
        <v>548</v>
      </c>
      <c r="C147" s="7" t="s">
        <v>549</v>
      </c>
      <c r="D147" s="6">
        <v>-0.70992296934127808</v>
      </c>
      <c r="E147" s="6">
        <v>-0.89243906736373912</v>
      </c>
      <c r="F147" s="6">
        <v>0.36878219246864302</v>
      </c>
      <c r="G147" s="6">
        <v>-0.72847867012023904</v>
      </c>
      <c r="H147" s="6">
        <v>0.33933234214782704</v>
      </c>
      <c r="I147" s="6">
        <v>0.23723405599594102</v>
      </c>
      <c r="J147" s="6">
        <v>1.480079770088196</v>
      </c>
      <c r="K147" s="6">
        <v>-0.37010347843170205</v>
      </c>
      <c r="L147" s="6">
        <v>2.2790756225585942</v>
      </c>
      <c r="M147" s="6">
        <v>-0.80922919511795011</v>
      </c>
      <c r="N147" s="6">
        <v>0.26968534964021001</v>
      </c>
      <c r="O147" s="6">
        <v>0.21939450951379602</v>
      </c>
      <c r="P147" s="6">
        <v>0.8804686350361931</v>
      </c>
      <c r="Q147" s="6">
        <v>0.88166916301382703</v>
      </c>
      <c r="R147" s="6">
        <v>12.555940144574505</v>
      </c>
      <c r="S147" s="6">
        <v>9.2178632321618625</v>
      </c>
      <c r="T147" s="6">
        <v>7.5616869926452637</v>
      </c>
      <c r="U147" s="6" t="str">
        <f>_xll.BDP($A147,"TRAILING_12M_R&amp;D_%_SALES",$A$1,$A$2)</f>
        <v>#N/A N/A</v>
      </c>
      <c r="V147" s="6">
        <v>20</v>
      </c>
      <c r="W147" s="6">
        <v>201030</v>
      </c>
      <c r="X147" s="6">
        <v>20103010</v>
      </c>
      <c r="Y147" s="7" t="s">
        <v>43</v>
      </c>
      <c r="Z147" s="7" t="s">
        <v>143</v>
      </c>
      <c r="AA147" s="7" t="s">
        <v>143</v>
      </c>
      <c r="AB147" s="6">
        <v>56.785030364990234</v>
      </c>
      <c r="AC147" s="6">
        <v>0.33285597383183502</v>
      </c>
      <c r="AD147" s="6">
        <v>-9.3152479209689503</v>
      </c>
      <c r="AE147" s="6">
        <v>127304</v>
      </c>
      <c r="AF147" s="6">
        <v>117997</v>
      </c>
    </row>
    <row r="148" spans="1:32" s="4" customFormat="1" ht="12.75" x14ac:dyDescent="0.2">
      <c r="A148" s="7" t="s">
        <v>550</v>
      </c>
      <c r="B148" s="7" t="s">
        <v>551</v>
      </c>
      <c r="C148" s="7" t="s">
        <v>552</v>
      </c>
      <c r="D148" s="6">
        <v>-0.70992296934127808</v>
      </c>
      <c r="E148" s="6">
        <v>-0.89243906736373912</v>
      </c>
      <c r="F148" s="6">
        <v>0.36878219246864302</v>
      </c>
      <c r="G148" s="6">
        <v>-0.72847867012023904</v>
      </c>
      <c r="H148" s="6">
        <v>0.33933234214782704</v>
      </c>
      <c r="I148" s="6">
        <v>0.23723405599594102</v>
      </c>
      <c r="J148" s="6">
        <v>1.480079770088196</v>
      </c>
      <c r="K148" s="6">
        <v>-0.37010347843170205</v>
      </c>
      <c r="L148" s="6">
        <v>2.2790756225585942</v>
      </c>
      <c r="M148" s="6">
        <v>-0.80922919511795011</v>
      </c>
      <c r="N148" s="6">
        <v>0.26968534964021001</v>
      </c>
      <c r="O148" s="6"/>
      <c r="P148" s="6">
        <v>0.8804686350361931</v>
      </c>
      <c r="Q148" s="6"/>
      <c r="R148" s="6">
        <v>12.555940144574505</v>
      </c>
      <c r="S148" s="6"/>
      <c r="T148" s="6">
        <v>7.5616869926452637</v>
      </c>
      <c r="U148" s="6" t="str">
        <f>_xll.BDP($A148,"TRAILING_12M_R&amp;D_%_SALES",$A$1,$A$2)</f>
        <v>#N/A N/A</v>
      </c>
      <c r="V148" s="6">
        <v>20</v>
      </c>
      <c r="W148" s="6">
        <v>201030</v>
      </c>
      <c r="X148" s="6">
        <v>20103010</v>
      </c>
      <c r="Y148" s="7" t="s">
        <v>43</v>
      </c>
      <c r="Z148" s="7" t="s">
        <v>143</v>
      </c>
      <c r="AA148" s="7" t="s">
        <v>143</v>
      </c>
      <c r="AB148" s="6">
        <v>56.785030364990234</v>
      </c>
      <c r="AC148" s="6">
        <v>0.72928469344145608</v>
      </c>
      <c r="AD148" s="6">
        <v>-7.0835405671588303</v>
      </c>
      <c r="AE148" s="6">
        <v>127304</v>
      </c>
      <c r="AF148" s="6">
        <v>117997</v>
      </c>
    </row>
    <row r="149" spans="1:32" s="4" customFormat="1" ht="12.75" x14ac:dyDescent="0.2">
      <c r="A149" s="7" t="s">
        <v>553</v>
      </c>
      <c r="B149" s="7" t="s">
        <v>554</v>
      </c>
      <c r="C149" s="7" t="s">
        <v>555</v>
      </c>
      <c r="D149" s="6">
        <v>0.8353550434112551</v>
      </c>
      <c r="E149" s="6">
        <v>-1.5164616107940669</v>
      </c>
      <c r="F149" s="6">
        <v>-0.22820158302784002</v>
      </c>
      <c r="G149" s="6">
        <v>-0.88292735815048207</v>
      </c>
      <c r="H149" s="6">
        <v>0.11966737359762201</v>
      </c>
      <c r="I149" s="6">
        <v>1.129003047943115</v>
      </c>
      <c r="J149" s="6">
        <v>1.1573702096939091</v>
      </c>
      <c r="K149" s="6">
        <v>-1.9039314985275271</v>
      </c>
      <c r="L149" s="6">
        <v>1.2660980224609379</v>
      </c>
      <c r="M149" s="6">
        <v>7.7634260058403001E-2</v>
      </c>
      <c r="N149" s="6">
        <v>0.50000782244502207</v>
      </c>
      <c r="O149" s="6">
        <v>0.51884186876399108</v>
      </c>
      <c r="P149" s="6">
        <v>1.8334654416630771</v>
      </c>
      <c r="Q149" s="6">
        <v>1.354125249163356</v>
      </c>
      <c r="R149" s="6"/>
      <c r="S149" s="6">
        <v>5.2150670753340114</v>
      </c>
      <c r="T149" s="6">
        <v>-16.53148078918457</v>
      </c>
      <c r="U149" s="6" t="str">
        <f>_xll.BDP($A149,"TRAILING_12M_R&amp;D_%_SALES",$A$1,$A$2)</f>
        <v>#N/A N/A</v>
      </c>
      <c r="V149" s="6">
        <v>10</v>
      </c>
      <c r="W149" s="6">
        <v>101020</v>
      </c>
      <c r="X149" s="6">
        <v>10102010</v>
      </c>
      <c r="Y149" s="7" t="s">
        <v>505</v>
      </c>
      <c r="Z149" s="7" t="s">
        <v>556</v>
      </c>
      <c r="AA149" s="7" t="s">
        <v>557</v>
      </c>
      <c r="AB149" s="6">
        <v>68.5242919921875</v>
      </c>
      <c r="AC149" s="6">
        <v>0.75724941831819903</v>
      </c>
      <c r="AD149" s="6">
        <v>36.703353533230242</v>
      </c>
      <c r="AE149" s="6">
        <v>65900</v>
      </c>
      <c r="AF149" s="6">
        <v>77400</v>
      </c>
    </row>
    <row r="150" spans="1:32" s="4" customFormat="1" ht="12.75" x14ac:dyDescent="0.2">
      <c r="A150" s="7" t="s">
        <v>558</v>
      </c>
      <c r="B150" s="7" t="s">
        <v>559</v>
      </c>
      <c r="C150" s="7" t="s">
        <v>560</v>
      </c>
      <c r="D150" s="6">
        <v>0.8353550434112551</v>
      </c>
      <c r="E150" s="6">
        <v>-1.5164616107940669</v>
      </c>
      <c r="F150" s="6">
        <v>-0.22820158302784002</v>
      </c>
      <c r="G150" s="6">
        <v>-0.88292735815048207</v>
      </c>
      <c r="H150" s="6">
        <v>0.11966737359762201</v>
      </c>
      <c r="I150" s="6">
        <v>1.129003047943115</v>
      </c>
      <c r="J150" s="6">
        <v>1.1573702096939091</v>
      </c>
      <c r="K150" s="6">
        <v>-1.9039314985275271</v>
      </c>
      <c r="L150" s="6">
        <v>1.2660980224609379</v>
      </c>
      <c r="M150" s="6">
        <v>7.7634260058403001E-2</v>
      </c>
      <c r="N150" s="6">
        <v>0.50000782244502207</v>
      </c>
      <c r="O150" s="6">
        <v>0.50317709946345102</v>
      </c>
      <c r="P150" s="6">
        <v>1.8334654416630771</v>
      </c>
      <c r="Q150" s="6">
        <v>1.3132427492872181</v>
      </c>
      <c r="R150" s="6"/>
      <c r="S150" s="6">
        <v>5.0576295203236343</v>
      </c>
      <c r="T150" s="6">
        <v>-16.53148078918457</v>
      </c>
      <c r="U150" s="6" t="str">
        <f>_xll.BDP($A150,"TRAILING_12M_R&amp;D_%_SALES",$A$1,$A$2)</f>
        <v>#N/A N/A</v>
      </c>
      <c r="V150" s="6">
        <v>10</v>
      </c>
      <c r="W150" s="6">
        <v>101020</v>
      </c>
      <c r="X150" s="6">
        <v>10102010</v>
      </c>
      <c r="Y150" s="7" t="s">
        <v>505</v>
      </c>
      <c r="Z150" s="7" t="s">
        <v>556</v>
      </c>
      <c r="AA150" s="7" t="s">
        <v>557</v>
      </c>
      <c r="AB150" s="6">
        <v>68.5242919921875</v>
      </c>
      <c r="AC150" s="6">
        <v>0.57721313536781205</v>
      </c>
      <c r="AD150" s="6">
        <v>29.545233735496581</v>
      </c>
      <c r="AE150" s="6">
        <v>65900</v>
      </c>
      <c r="AF150" s="6">
        <v>77400</v>
      </c>
    </row>
    <row r="151" spans="1:32" s="4" customFormat="1" ht="12.75" x14ac:dyDescent="0.2">
      <c r="A151" s="7" t="s">
        <v>561</v>
      </c>
      <c r="B151" s="7" t="s">
        <v>562</v>
      </c>
      <c r="C151" s="7" t="s">
        <v>563</v>
      </c>
      <c r="D151" s="6">
        <v>-0.601545810699463</v>
      </c>
      <c r="E151" s="6">
        <v>-0.60463726520538308</v>
      </c>
      <c r="F151" s="6">
        <v>0.10365335643291501</v>
      </c>
      <c r="G151" s="6">
        <v>-0.79306632280349709</v>
      </c>
      <c r="H151" s="6">
        <v>-0.69717842340469405</v>
      </c>
      <c r="I151" s="6">
        <v>0.36398133635520902</v>
      </c>
      <c r="J151" s="6">
        <v>0.95554774999618508</v>
      </c>
      <c r="K151" s="6">
        <v>-0.99927854537963912</v>
      </c>
      <c r="L151" s="6">
        <v>0.91739523410797108</v>
      </c>
      <c r="M151" s="6">
        <v>-0.40638014674186701</v>
      </c>
      <c r="N151" s="6">
        <v>0.85800743292764503</v>
      </c>
      <c r="O151" s="6">
        <v>0.78845151223442611</v>
      </c>
      <c r="P151" s="6">
        <v>1.0624588120553511</v>
      </c>
      <c r="Q151" s="6">
        <v>1.1326024711664411</v>
      </c>
      <c r="R151" s="6">
        <v>9.8784514221112509</v>
      </c>
      <c r="S151" s="6">
        <v>9.6811289237004079</v>
      </c>
      <c r="T151" s="6">
        <v>5.671104907989502</v>
      </c>
      <c r="U151" s="6">
        <f>_xll.BDP($A151,"TRAILING_12M_R&amp;D_%_SALES",$A$1,$A$2)</f>
        <v>2.847996973429018</v>
      </c>
      <c r="V151" s="6">
        <v>25</v>
      </c>
      <c r="W151" s="6">
        <v>251010</v>
      </c>
      <c r="X151" s="6">
        <v>25101020</v>
      </c>
      <c r="Y151" s="7" t="s">
        <v>108</v>
      </c>
      <c r="Z151" s="7" t="s">
        <v>564</v>
      </c>
      <c r="AA151" s="7" t="s">
        <v>565</v>
      </c>
      <c r="AB151" s="6">
        <v>67.256813049316406</v>
      </c>
      <c r="AC151" s="6">
        <v>0.34801019871748101</v>
      </c>
      <c r="AD151" s="6">
        <v>-16.542743906367875</v>
      </c>
      <c r="AE151" s="6">
        <v>135636</v>
      </c>
      <c r="AF151" s="6">
        <v>143616</v>
      </c>
    </row>
    <row r="152" spans="1:32" s="4" customFormat="1" ht="12.75" x14ac:dyDescent="0.2">
      <c r="A152" s="7" t="s">
        <v>566</v>
      </c>
      <c r="B152" s="7" t="s">
        <v>567</v>
      </c>
      <c r="C152" s="7" t="s">
        <v>568</v>
      </c>
      <c r="D152" s="6">
        <v>-0.601545810699463</v>
      </c>
      <c r="E152" s="6">
        <v>-0.60463726520538308</v>
      </c>
      <c r="F152" s="6">
        <v>0.10365335643291501</v>
      </c>
      <c r="G152" s="6">
        <v>-0.79306632280349709</v>
      </c>
      <c r="H152" s="6">
        <v>-0.69717842340469405</v>
      </c>
      <c r="I152" s="6">
        <v>0.36398133635520902</v>
      </c>
      <c r="J152" s="6">
        <v>0.95554774999618508</v>
      </c>
      <c r="K152" s="6">
        <v>-0.99927854537963912</v>
      </c>
      <c r="L152" s="6">
        <v>0.91739523410797108</v>
      </c>
      <c r="M152" s="6">
        <v>-0.40638014674186701</v>
      </c>
      <c r="N152" s="6">
        <v>0.85800743292764503</v>
      </c>
      <c r="O152" s="6">
        <v>0.79705965160450609</v>
      </c>
      <c r="P152" s="6">
        <v>1.0624588120553511</v>
      </c>
      <c r="Q152" s="6"/>
      <c r="R152" s="6">
        <v>9.8784514221112509</v>
      </c>
      <c r="S152" s="6">
        <v>9.1312496454284577</v>
      </c>
      <c r="T152" s="6">
        <v>5.671104907989502</v>
      </c>
      <c r="U152" s="6">
        <f>_xll.BDP($A152,"TRAILING_12M_R&amp;D_%_SALES",$A$1,$A$2)</f>
        <v>2.847996973429018</v>
      </c>
      <c r="V152" s="6">
        <v>25</v>
      </c>
      <c r="W152" s="6">
        <v>251010</v>
      </c>
      <c r="X152" s="6">
        <v>25101020</v>
      </c>
      <c r="Y152" s="7" t="s">
        <v>108</v>
      </c>
      <c r="Z152" s="7" t="s">
        <v>564</v>
      </c>
      <c r="AA152" s="7" t="s">
        <v>565</v>
      </c>
      <c r="AB152" s="6">
        <v>67.256813049316406</v>
      </c>
      <c r="AC152" s="6">
        <v>0.73447912863437403</v>
      </c>
      <c r="AD152" s="6">
        <v>-15.156235686419429</v>
      </c>
      <c r="AE152" s="6">
        <v>135636</v>
      </c>
      <c r="AF152" s="6">
        <v>143616</v>
      </c>
    </row>
    <row r="153" spans="1:32" s="4" customFormat="1" ht="12.75" x14ac:dyDescent="0.2">
      <c r="A153" s="7" t="s">
        <v>569</v>
      </c>
      <c r="B153" s="7" t="s">
        <v>570</v>
      </c>
      <c r="C153" s="7" t="s">
        <v>571</v>
      </c>
      <c r="D153" s="6">
        <v>1.772690057754517</v>
      </c>
      <c r="E153" s="6">
        <v>-1.18494713306427</v>
      </c>
      <c r="F153" s="6">
        <v>-0.27920854091644304</v>
      </c>
      <c r="G153" s="6">
        <v>-0.55941724777221702</v>
      </c>
      <c r="H153" s="6">
        <v>-0.8803989887237551</v>
      </c>
      <c r="I153" s="6">
        <v>0.41985216736793501</v>
      </c>
      <c r="J153" s="6">
        <v>-0.16902473568916301</v>
      </c>
      <c r="K153" s="6">
        <v>-0.57007062435150102</v>
      </c>
      <c r="L153" s="6">
        <v>-0.81727248430252109</v>
      </c>
      <c r="M153" s="6">
        <v>-0.65966010093689009</v>
      </c>
      <c r="N153" s="6">
        <v>2.7271365419571199</v>
      </c>
      <c r="O153" s="6">
        <v>2.13647995209962</v>
      </c>
      <c r="P153" s="6">
        <v>1.5087970185299722</v>
      </c>
      <c r="Q153" s="6">
        <v>1.3986073124642782</v>
      </c>
      <c r="R153" s="6">
        <v>21.845130127589588</v>
      </c>
      <c r="S153" s="6">
        <v>21.705067414293413</v>
      </c>
      <c r="T153" s="6">
        <v>-0.23342800140380901</v>
      </c>
      <c r="U153" s="6" t="str">
        <f>_xll.BDP($A153,"TRAILING_12M_R&amp;D_%_SALES",$A$1,$A$2)</f>
        <v>#N/A N/A</v>
      </c>
      <c r="V153" s="6">
        <v>40</v>
      </c>
      <c r="W153" s="6">
        <v>402010</v>
      </c>
      <c r="X153" s="6">
        <v>40201030</v>
      </c>
      <c r="Y153" s="7" t="s">
        <v>53</v>
      </c>
      <c r="Z153" s="7" t="s">
        <v>344</v>
      </c>
      <c r="AA153" s="7" t="s">
        <v>572</v>
      </c>
      <c r="AB153" s="6">
        <v>31.757368087768555</v>
      </c>
      <c r="AC153" s="6">
        <v>0.82319475409966103</v>
      </c>
      <c r="AD153" s="6">
        <v>3.5367793240556722</v>
      </c>
      <c r="AE153" s="6">
        <v>371653</v>
      </c>
      <c r="AF153" s="6">
        <v>367000</v>
      </c>
    </row>
    <row r="154" spans="1:32" s="4" customFormat="1" ht="12.75" x14ac:dyDescent="0.2">
      <c r="A154" s="7" t="s">
        <v>573</v>
      </c>
      <c r="B154" s="7" t="s">
        <v>574</v>
      </c>
      <c r="C154" s="7" t="s">
        <v>575</v>
      </c>
      <c r="D154" s="6">
        <v>1.772690057754517</v>
      </c>
      <c r="E154" s="6">
        <v>-1.18494713306427</v>
      </c>
      <c r="F154" s="6">
        <v>-0.27920854091644304</v>
      </c>
      <c r="G154" s="6">
        <v>-0.55941724777221702</v>
      </c>
      <c r="H154" s="6">
        <v>-0.8803989887237551</v>
      </c>
      <c r="I154" s="6">
        <v>0.41985216736793501</v>
      </c>
      <c r="J154" s="6">
        <v>-0.16902473568916301</v>
      </c>
      <c r="K154" s="6">
        <v>-0.57007062435150102</v>
      </c>
      <c r="L154" s="6">
        <v>-0.81727248430252109</v>
      </c>
      <c r="M154" s="6">
        <v>-0.65966010093689009</v>
      </c>
      <c r="N154" s="6">
        <v>2.7271365419571199</v>
      </c>
      <c r="O154" s="6">
        <v>2.13647995209962</v>
      </c>
      <c r="P154" s="6">
        <v>1.5087970185299722</v>
      </c>
      <c r="Q154" s="6">
        <v>1.3826103262327269</v>
      </c>
      <c r="R154" s="6">
        <v>21.845130127589588</v>
      </c>
      <c r="S154" s="6">
        <v>21.456859191548478</v>
      </c>
      <c r="T154" s="6">
        <v>-0.23342800140380901</v>
      </c>
      <c r="U154" s="6" t="str">
        <f>_xll.BDP($A154,"TRAILING_12M_R&amp;D_%_SALES",$A$1,$A$2)</f>
        <v>#N/A N/A</v>
      </c>
      <c r="V154" s="6">
        <v>40</v>
      </c>
      <c r="W154" s="6">
        <v>402010</v>
      </c>
      <c r="X154" s="6">
        <v>40201030</v>
      </c>
      <c r="Y154" s="7" t="s">
        <v>53</v>
      </c>
      <c r="Z154" s="7" t="s">
        <v>344</v>
      </c>
      <c r="AA154" s="7" t="s">
        <v>572</v>
      </c>
      <c r="AB154" s="6">
        <v>31.757368087768555</v>
      </c>
      <c r="AC154" s="6">
        <v>0.83727368514986911</v>
      </c>
      <c r="AD154" s="6">
        <v>2.9735257628758389</v>
      </c>
      <c r="AE154" s="6">
        <v>371653</v>
      </c>
      <c r="AF154" s="6">
        <v>367000</v>
      </c>
    </row>
    <row r="155" spans="1:32" s="4" customFormat="1" ht="12.75" x14ac:dyDescent="0.2">
      <c r="A155" s="7" t="s">
        <v>576</v>
      </c>
      <c r="B155" s="7" t="s">
        <v>577</v>
      </c>
      <c r="C155" s="7" t="s">
        <v>578</v>
      </c>
      <c r="D155" s="6">
        <v>-0.67865473031997703</v>
      </c>
      <c r="E155" s="6">
        <v>-1.2985105514526369</v>
      </c>
      <c r="F155" s="6">
        <v>0.30727827548980702</v>
      </c>
      <c r="G155" s="6">
        <v>3.0002627372741699</v>
      </c>
      <c r="H155" s="6">
        <v>-0.63799357414245605</v>
      </c>
      <c r="I155" s="6">
        <v>-1.4983211755752559</v>
      </c>
      <c r="J155" s="6">
        <v>-0.49766510725021401</v>
      </c>
      <c r="K155" s="6">
        <v>2.5618150234222412</v>
      </c>
      <c r="L155" s="6">
        <v>-0.81727248430252109</v>
      </c>
      <c r="M155" s="6">
        <v>0.93574464321136508</v>
      </c>
      <c r="N155" s="6">
        <v>2.00589620859148</v>
      </c>
      <c r="O155" s="6"/>
      <c r="P155" s="6">
        <v>2.2722235774351049</v>
      </c>
      <c r="Q155" s="6"/>
      <c r="R155" s="6"/>
      <c r="S155" s="6"/>
      <c r="T155" s="6">
        <v>-5.1779861450195313</v>
      </c>
      <c r="U155" s="6">
        <f>_xll.BDP($A155,"TRAILING_12M_R&amp;D_%_SALES",$A$1,$A$2)</f>
        <v>12.082453448446051</v>
      </c>
      <c r="V155" s="6">
        <v>40</v>
      </c>
      <c r="W155" s="6">
        <v>402010</v>
      </c>
      <c r="X155" s="6">
        <v>40201060</v>
      </c>
      <c r="Y155" s="7" t="s">
        <v>53</v>
      </c>
      <c r="Z155" s="7" t="s">
        <v>344</v>
      </c>
      <c r="AA155" s="7" t="s">
        <v>579</v>
      </c>
      <c r="AB155" s="6">
        <v>46.454078674316406</v>
      </c>
      <c r="AC155" s="6">
        <v>0.52778718571336602</v>
      </c>
      <c r="AD155" s="6"/>
      <c r="AE155" s="6">
        <v>8521</v>
      </c>
      <c r="AF155" s="6">
        <v>1853</v>
      </c>
    </row>
    <row r="156" spans="1:32" s="4" customFormat="1" ht="12.75" x14ac:dyDescent="0.2">
      <c r="A156" s="7" t="s">
        <v>580</v>
      </c>
      <c r="B156" s="7" t="s">
        <v>581</v>
      </c>
      <c r="C156" s="7" t="s">
        <v>582</v>
      </c>
      <c r="D156" s="6">
        <v>-0.51858705282211304</v>
      </c>
      <c r="E156" s="6">
        <v>-0.83093708753585804</v>
      </c>
      <c r="F156" s="6">
        <v>-0.79979413747787509</v>
      </c>
      <c r="G156" s="6">
        <v>-0.27612364292144803</v>
      </c>
      <c r="H156" s="6">
        <v>-0.24203395843505901</v>
      </c>
      <c r="I156" s="6">
        <v>0.54017716646194502</v>
      </c>
      <c r="J156" s="6">
        <v>-0.42333924770355202</v>
      </c>
      <c r="K156" s="6">
        <v>-0.42932477593421903</v>
      </c>
      <c r="L156" s="6">
        <v>-0.81727248430252109</v>
      </c>
      <c r="M156" s="6">
        <v>-0.58390295505523704</v>
      </c>
      <c r="N156" s="6">
        <v>5.2599061133183405</v>
      </c>
      <c r="O156" s="6">
        <v>4.9336250535793384</v>
      </c>
      <c r="P156" s="6">
        <v>3.756441468323712</v>
      </c>
      <c r="Q156" s="6">
        <v>3.287140584733697</v>
      </c>
      <c r="R156" s="6">
        <v>38.711015714009093</v>
      </c>
      <c r="S156" s="6">
        <v>23.893871569112029</v>
      </c>
      <c r="T156" s="6">
        <v>3.495498895645142</v>
      </c>
      <c r="U156" s="6">
        <f>_xll.BDP($A156,"TRAILING_12M_R&amp;D_%_SALES",$A$1,$A$2)</f>
        <v>9.6500656873283166</v>
      </c>
      <c r="V156" s="6">
        <v>35</v>
      </c>
      <c r="W156" s="6">
        <v>351010</v>
      </c>
      <c r="X156" s="6">
        <v>35101010</v>
      </c>
      <c r="Y156" s="7" t="s">
        <v>86</v>
      </c>
      <c r="Z156" s="7" t="s">
        <v>114</v>
      </c>
      <c r="AA156" s="7" t="s">
        <v>115</v>
      </c>
      <c r="AB156" s="6">
        <v>70.224327087402344</v>
      </c>
      <c r="AC156" s="6">
        <v>0.84709241236015809</v>
      </c>
      <c r="AD156" s="6">
        <v>7.6296781838456784</v>
      </c>
      <c r="AE156" s="6">
        <v>41000</v>
      </c>
      <c r="AF156" s="6">
        <v>27000</v>
      </c>
    </row>
    <row r="157" spans="1:32" s="4" customFormat="1" ht="12.75" x14ac:dyDescent="0.2">
      <c r="A157" s="7" t="s">
        <v>583</v>
      </c>
      <c r="B157" s="7" t="s">
        <v>584</v>
      </c>
      <c r="C157" s="7" t="s">
        <v>585</v>
      </c>
      <c r="D157" s="6">
        <v>-0.36661502718925504</v>
      </c>
      <c r="E157" s="6">
        <v>0.87128394842147805</v>
      </c>
      <c r="F157" s="6">
        <v>1.386911034584045</v>
      </c>
      <c r="G157" s="6">
        <v>-4.9280475825071002E-2</v>
      </c>
      <c r="H157" s="6">
        <v>1.9554045051336E-2</v>
      </c>
      <c r="I157" s="6">
        <v>-0.78040093183517512</v>
      </c>
      <c r="J157" s="6">
        <v>-0.13455788791179701</v>
      </c>
      <c r="K157" s="6">
        <v>-0.25207734107971203</v>
      </c>
      <c r="L157" s="6">
        <v>1.602822065353394</v>
      </c>
      <c r="M157" s="6">
        <v>0.54222702980041504</v>
      </c>
      <c r="N157" s="6">
        <v>4.3062433046086159</v>
      </c>
      <c r="O157" s="6">
        <v>6.8843429789168553</v>
      </c>
      <c r="P157" s="6">
        <v>11.799938538396969</v>
      </c>
      <c r="Q157" s="6">
        <v>5.210991125032991</v>
      </c>
      <c r="R157" s="6">
        <v>20.446263770539872</v>
      </c>
      <c r="S157" s="6">
        <v>14.638249492702608</v>
      </c>
      <c r="T157" s="6">
        <v>31.109359741210938</v>
      </c>
      <c r="U157" s="6" t="str">
        <f>_xll.BDP($A157,"TRAILING_12M_R&amp;D_%_SALES",$A$1,$A$2)</f>
        <v>#N/A N/A</v>
      </c>
      <c r="V157" s="6">
        <v>40</v>
      </c>
      <c r="W157" s="6">
        <v>402030</v>
      </c>
      <c r="X157" s="6">
        <v>40203010</v>
      </c>
      <c r="Y157" s="7" t="s">
        <v>53</v>
      </c>
      <c r="Z157" s="7" t="s">
        <v>298</v>
      </c>
      <c r="AA157" s="7" t="s">
        <v>299</v>
      </c>
      <c r="AB157" s="6">
        <v>27.311136245727539</v>
      </c>
      <c r="AC157" s="6">
        <v>1.509586747961539</v>
      </c>
      <c r="AD157" s="6">
        <v>-39.559140318275318</v>
      </c>
      <c r="AE157" s="6">
        <v>3795</v>
      </c>
      <c r="AF157" s="6">
        <v>2240</v>
      </c>
    </row>
    <row r="158" spans="1:32" s="4" customFormat="1" ht="12.75" x14ac:dyDescent="0.2">
      <c r="A158" s="7" t="s">
        <v>586</v>
      </c>
      <c r="B158" s="7" t="s">
        <v>587</v>
      </c>
      <c r="C158" s="7" t="s">
        <v>588</v>
      </c>
      <c r="D158" s="6">
        <v>6.2601797282696006E-2</v>
      </c>
      <c r="E158" s="6">
        <v>-0.82804918289184604</v>
      </c>
      <c r="F158" s="6">
        <v>-0.68792176246643111</v>
      </c>
      <c r="G158" s="6">
        <v>0.22900119423866303</v>
      </c>
      <c r="H158" s="6">
        <v>-1.221422553062439</v>
      </c>
      <c r="I158" s="6">
        <v>-0.47246426343917802</v>
      </c>
      <c r="J158" s="6">
        <v>-1.285868114792E-3</v>
      </c>
      <c r="K158" s="6">
        <v>1.9609241485595701</v>
      </c>
      <c r="L158" s="6">
        <v>-0.78660142421722401</v>
      </c>
      <c r="M158" s="6">
        <v>1.915663361549377</v>
      </c>
      <c r="N158" s="6">
        <v>1.4602146462899581</v>
      </c>
      <c r="O158" s="6">
        <v>1.177014638301654</v>
      </c>
      <c r="P158" s="6">
        <v>4.8271046635579813</v>
      </c>
      <c r="Q158" s="6">
        <v>3.7525556784519072</v>
      </c>
      <c r="R158" s="6">
        <v>50.201089259517886</v>
      </c>
      <c r="S158" s="6">
        <v>23.54360235060847</v>
      </c>
      <c r="T158" s="6">
        <v>10.651585578918457</v>
      </c>
      <c r="U158" s="6">
        <f>_xll.BDP($A158,"TRAILING_12M_R&amp;D_%_SALES",$A$1,$A$2)</f>
        <v>7.0788730009529015</v>
      </c>
      <c r="V158" s="6">
        <v>25</v>
      </c>
      <c r="W158" s="6">
        <v>251020</v>
      </c>
      <c r="X158" s="6">
        <v>25102010</v>
      </c>
      <c r="Y158" s="7" t="s">
        <v>108</v>
      </c>
      <c r="Z158" s="7" t="s">
        <v>422</v>
      </c>
      <c r="AA158" s="7" t="s">
        <v>423</v>
      </c>
      <c r="AB158" s="6">
        <v>64.037826538085938</v>
      </c>
      <c r="AC158" s="6">
        <v>1.0208781924781509</v>
      </c>
      <c r="AD158" s="6">
        <v>-29.56986613537801</v>
      </c>
      <c r="AE158" s="6">
        <v>288186</v>
      </c>
      <c r="AF158" s="6">
        <v>194000</v>
      </c>
    </row>
    <row r="159" spans="1:32" s="4" customFormat="1" ht="12.75" x14ac:dyDescent="0.2">
      <c r="A159" s="7" t="s">
        <v>589</v>
      </c>
      <c r="B159" s="7" t="s">
        <v>590</v>
      </c>
      <c r="C159" s="7" t="s">
        <v>591</v>
      </c>
      <c r="D159" s="6">
        <v>6.2601797282696006E-2</v>
      </c>
      <c r="E159" s="6">
        <v>-0.82804918289184604</v>
      </c>
      <c r="F159" s="6">
        <v>-0.68792176246643111</v>
      </c>
      <c r="G159" s="6">
        <v>0.22900119423866303</v>
      </c>
      <c r="H159" s="6">
        <v>-1.221422553062439</v>
      </c>
      <c r="I159" s="6">
        <v>-0.47246426343917802</v>
      </c>
      <c r="J159" s="6">
        <v>-1.285868114792E-3</v>
      </c>
      <c r="K159" s="6">
        <v>1.9609241485595701</v>
      </c>
      <c r="L159" s="6">
        <v>-0.78660142421722401</v>
      </c>
      <c r="M159" s="6">
        <v>1.915663361549377</v>
      </c>
      <c r="N159" s="6">
        <v>1.4602146462899581</v>
      </c>
      <c r="O159" s="6">
        <v>1.0567341614439141</v>
      </c>
      <c r="P159" s="6">
        <v>4.8271046635579813</v>
      </c>
      <c r="Q159" s="6"/>
      <c r="R159" s="6">
        <v>50.201089259517886</v>
      </c>
      <c r="S159" s="6">
        <v>23.040249418634069</v>
      </c>
      <c r="T159" s="6">
        <v>10.651585578918457</v>
      </c>
      <c r="U159" s="6">
        <f>_xll.BDP($A159,"TRAILING_12M_R&amp;D_%_SALES",$A$1,$A$2)</f>
        <v>7.0788730009529015</v>
      </c>
      <c r="V159" s="6">
        <v>25</v>
      </c>
      <c r="W159" s="6">
        <v>251020</v>
      </c>
      <c r="X159" s="6">
        <v>25102010</v>
      </c>
      <c r="Y159" s="7" t="s">
        <v>108</v>
      </c>
      <c r="Z159" s="7" t="s">
        <v>422</v>
      </c>
      <c r="AA159" s="7" t="s">
        <v>423</v>
      </c>
      <c r="AB159" s="6">
        <v>64.037826538085938</v>
      </c>
      <c r="AC159" s="6">
        <v>1.028183906126275</v>
      </c>
      <c r="AD159" s="6">
        <v>-29.398617409988383</v>
      </c>
      <c r="AE159" s="6">
        <v>288186</v>
      </c>
      <c r="AF159" s="6">
        <v>194000</v>
      </c>
    </row>
    <row r="160" spans="1:32" s="4" customFormat="1" ht="12.75" x14ac:dyDescent="0.2">
      <c r="A160" s="7" t="s">
        <v>592</v>
      </c>
      <c r="B160" s="7" t="s">
        <v>593</v>
      </c>
      <c r="C160" s="7" t="s">
        <v>594</v>
      </c>
      <c r="D160" s="6">
        <v>0.52278757095336903</v>
      </c>
      <c r="E160" s="6">
        <v>-0.39637812972068803</v>
      </c>
      <c r="F160" s="6">
        <v>0.63990259170532204</v>
      </c>
      <c r="G160" s="6">
        <v>-0.83638203144073509</v>
      </c>
      <c r="H160" s="6">
        <v>0.79962313175201405</v>
      </c>
      <c r="I160" s="6">
        <v>0.20365220308303802</v>
      </c>
      <c r="J160" s="6">
        <v>2.6743259429931641</v>
      </c>
      <c r="K160" s="6">
        <v>-0.68733513355255105</v>
      </c>
      <c r="L160" s="6">
        <v>2.5709118843078609</v>
      </c>
      <c r="M160" s="6">
        <v>-0.44537162780761702</v>
      </c>
      <c r="N160" s="6">
        <v>0.41927961046006201</v>
      </c>
      <c r="O160" s="6">
        <v>0.38980052864115905</v>
      </c>
      <c r="P160" s="6">
        <v>0.62959592838237199</v>
      </c>
      <c r="Q160" s="6">
        <v>0.63154298126609409</v>
      </c>
      <c r="R160" s="6">
        <v>3.0577605837699542</v>
      </c>
      <c r="S160" s="6">
        <v>5.8839103483726491</v>
      </c>
      <c r="T160" s="6">
        <v>22.765071868896484</v>
      </c>
      <c r="U160" s="6">
        <f>_xll.BDP($A160,"TRAILING_12M_R&amp;D_%_SALES",$A$1,$A$2)</f>
        <v>6.1598581903150427</v>
      </c>
      <c r="V160" s="6">
        <v>25</v>
      </c>
      <c r="W160" s="6">
        <v>251020</v>
      </c>
      <c r="X160" s="6">
        <v>25102010</v>
      </c>
      <c r="Y160" s="7" t="s">
        <v>108</v>
      </c>
      <c r="Z160" s="7" t="s">
        <v>422</v>
      </c>
      <c r="AA160" s="7" t="s">
        <v>423</v>
      </c>
      <c r="AB160" s="6">
        <v>69.32904052734375</v>
      </c>
      <c r="AC160" s="6">
        <v>0.47632165132077003</v>
      </c>
      <c r="AD160" s="6">
        <v>7.5006868883153555</v>
      </c>
      <c r="AE160" s="6">
        <v>118909</v>
      </c>
      <c r="AF160" s="6">
        <v>124729</v>
      </c>
    </row>
    <row r="161" spans="1:32" s="4" customFormat="1" ht="12.75" x14ac:dyDescent="0.2">
      <c r="A161" s="7" t="s">
        <v>595</v>
      </c>
      <c r="B161" s="7" t="s">
        <v>596</v>
      </c>
      <c r="C161" s="7" t="s">
        <v>597</v>
      </c>
      <c r="D161" s="6">
        <v>1.1662299633026121</v>
      </c>
      <c r="E161" s="6">
        <v>-0.504008829593658</v>
      </c>
      <c r="F161" s="6">
        <v>0.44544231891632102</v>
      </c>
      <c r="G161" s="6">
        <v>0.73852306604385409</v>
      </c>
      <c r="H161" s="6">
        <v>1.007501482963562</v>
      </c>
      <c r="I161" s="6">
        <v>-0.43754890561103804</v>
      </c>
      <c r="J161" s="6">
        <v>2.1632716655731201</v>
      </c>
      <c r="K161" s="6">
        <v>-0.80876111984252907</v>
      </c>
      <c r="L161" s="6">
        <v>1.400550961494446</v>
      </c>
      <c r="M161" s="6">
        <v>-0.77867245674133301</v>
      </c>
      <c r="N161" s="6">
        <v>0.98685654537415113</v>
      </c>
      <c r="O161" s="6">
        <v>1.147475199650978</v>
      </c>
      <c r="P161" s="6">
        <v>0.48786707279007502</v>
      </c>
      <c r="Q161" s="6">
        <v>0.45749072793918905</v>
      </c>
      <c r="R161" s="6">
        <v>5.0363471904601296</v>
      </c>
      <c r="S161" s="6">
        <v>6.9082280740825714</v>
      </c>
      <c r="T161" s="6">
        <v>7.9316859245300293</v>
      </c>
      <c r="U161" s="6" t="str">
        <f>_xll.BDP($A161,"TRAILING_12M_R&amp;D_%_SALES",$A$1,$A$2)</f>
        <v>#N/A N/A</v>
      </c>
      <c r="V161" s="6">
        <v>40</v>
      </c>
      <c r="W161" s="6">
        <v>401010</v>
      </c>
      <c r="X161" s="6">
        <v>40101010</v>
      </c>
      <c r="Y161" s="7" t="s">
        <v>53</v>
      </c>
      <c r="Z161" s="7" t="s">
        <v>76</v>
      </c>
      <c r="AA161" s="7" t="s">
        <v>77</v>
      </c>
      <c r="AB161" s="6">
        <v>59.350166320800781</v>
      </c>
      <c r="AC161" s="6">
        <v>0.97977723823487506</v>
      </c>
      <c r="AD161" s="6">
        <v>-22.158673165013319</v>
      </c>
      <c r="AE161" s="6">
        <v>223000</v>
      </c>
      <c r="AF161" s="6">
        <v>219000</v>
      </c>
    </row>
    <row r="162" spans="1:32" s="4" customFormat="1" ht="12.75" x14ac:dyDescent="0.2">
      <c r="A162" s="7" t="s">
        <v>598</v>
      </c>
      <c r="B162" s="7" t="s">
        <v>599</v>
      </c>
      <c r="C162" s="7" t="s">
        <v>600</v>
      </c>
      <c r="D162" s="6">
        <v>-0.23735424876213101</v>
      </c>
      <c r="E162" s="6">
        <v>-1.6901422739028931</v>
      </c>
      <c r="F162" s="6">
        <v>-1.27911913394928</v>
      </c>
      <c r="G162" s="6">
        <v>0.69451439380645807</v>
      </c>
      <c r="H162" s="6">
        <v>0.51671564579009999</v>
      </c>
      <c r="I162" s="6">
        <v>1.59488832950592</v>
      </c>
      <c r="J162" s="6">
        <v>-0.21959821879863703</v>
      </c>
      <c r="K162" s="6">
        <v>0.69752699136734009</v>
      </c>
      <c r="L162" s="6">
        <v>0.40644943714141801</v>
      </c>
      <c r="M162" s="6">
        <v>0.61035776138305708</v>
      </c>
      <c r="N162" s="6">
        <v>0.11278808102316501</v>
      </c>
      <c r="O162" s="6">
        <v>9.7577110004216011E-2</v>
      </c>
      <c r="P162" s="6"/>
      <c r="Q162" s="6"/>
      <c r="R162" s="6">
        <v>17.98342005083185</v>
      </c>
      <c r="S162" s="6">
        <v>13.519136558764615</v>
      </c>
      <c r="T162" s="6"/>
      <c r="U162" s="6">
        <f>_xll.BDP($A162,"TRAILING_12M_R&amp;D_%_SALES",$A$1,$A$2)</f>
        <v>0</v>
      </c>
      <c r="V162" s="6">
        <v>35</v>
      </c>
      <c r="W162" s="6">
        <v>351020</v>
      </c>
      <c r="X162" s="6">
        <v>35102010</v>
      </c>
      <c r="Y162" s="7" t="s">
        <v>86</v>
      </c>
      <c r="Z162" s="7" t="s">
        <v>601</v>
      </c>
      <c r="AA162" s="7" t="s">
        <v>602</v>
      </c>
      <c r="AB162" s="6">
        <v>61.261444091796875</v>
      </c>
      <c r="AC162" s="6">
        <v>0.66595331259552204</v>
      </c>
      <c r="AD162" s="6">
        <v>53.570093269912711</v>
      </c>
      <c r="AE162" s="6">
        <v>45570</v>
      </c>
      <c r="AF162" s="6">
        <v>40400</v>
      </c>
    </row>
    <row r="163" spans="1:32" s="4" customFormat="1" ht="12.75" x14ac:dyDescent="0.2">
      <c r="A163" s="7" t="s">
        <v>603</v>
      </c>
      <c r="B163" s="7" t="s">
        <v>604</v>
      </c>
      <c r="C163" s="7" t="s">
        <v>605</v>
      </c>
      <c r="D163" s="6">
        <v>0.100347265601158</v>
      </c>
      <c r="E163" s="6">
        <v>-0.93718320131301902</v>
      </c>
      <c r="F163" s="6">
        <v>2.5948948860168461</v>
      </c>
      <c r="G163" s="6">
        <v>-0.90517634153366111</v>
      </c>
      <c r="H163" s="6">
        <v>0.75240814685821511</v>
      </c>
      <c r="I163" s="6">
        <v>1.4809972047805791</v>
      </c>
      <c r="J163" s="6">
        <v>1.847899913787842</v>
      </c>
      <c r="K163" s="6">
        <v>-0.29236060380935702</v>
      </c>
      <c r="L163" s="6">
        <v>0.75636988878250111</v>
      </c>
      <c r="M163" s="6">
        <v>-0.41912227869033802</v>
      </c>
      <c r="N163" s="6">
        <v>2.2733012746327068</v>
      </c>
      <c r="O163" s="6"/>
      <c r="P163" s="6">
        <v>0.81541234976548604</v>
      </c>
      <c r="Q163" s="6"/>
      <c r="R163" s="6">
        <v>10.233571384907336</v>
      </c>
      <c r="S163" s="6"/>
      <c r="T163" s="6">
        <v>8.3130216598510742</v>
      </c>
      <c r="U163" s="6" t="str">
        <f>_xll.BDP($A163,"TRAILING_12M_R&amp;D_%_SALES",$A$1,$A$2)</f>
        <v>#N/A N/A</v>
      </c>
      <c r="V163" s="6">
        <v>40</v>
      </c>
      <c r="W163" s="6">
        <v>401010</v>
      </c>
      <c r="X163" s="6">
        <v>40101010</v>
      </c>
      <c r="Y163" s="7" t="s">
        <v>53</v>
      </c>
      <c r="Z163" s="7" t="s">
        <v>76</v>
      </c>
      <c r="AA163" s="7" t="s">
        <v>77</v>
      </c>
      <c r="AB163" s="6">
        <v>72.910171508789063</v>
      </c>
      <c r="AC163" s="6">
        <v>0.88090412090660308</v>
      </c>
      <c r="AD163" s="6">
        <v>48.481849498037441</v>
      </c>
      <c r="AE163" s="6">
        <v>49762</v>
      </c>
      <c r="AF163" s="6">
        <v>29861</v>
      </c>
    </row>
    <row r="164" spans="1:32" s="4" customFormat="1" ht="12.75" x14ac:dyDescent="0.2">
      <c r="A164" s="7" t="s">
        <v>606</v>
      </c>
      <c r="B164" s="7" t="s">
        <v>607</v>
      </c>
      <c r="C164" s="7" t="s">
        <v>608</v>
      </c>
      <c r="D164" s="6">
        <v>-0.55171769857406605</v>
      </c>
      <c r="E164" s="6">
        <v>-0.7375879883766171</v>
      </c>
      <c r="F164" s="6">
        <v>0.33250170946121205</v>
      </c>
      <c r="G164" s="6">
        <v>-0.72865116596221902</v>
      </c>
      <c r="H164" s="6">
        <v>-1.111592292785645</v>
      </c>
      <c r="I164" s="6">
        <v>0.76899367570877109</v>
      </c>
      <c r="J164" s="6">
        <v>0.71710354089736905</v>
      </c>
      <c r="K164" s="6">
        <v>-1.1773496866226201</v>
      </c>
      <c r="L164" s="6">
        <v>1.2117047309875491</v>
      </c>
      <c r="M164" s="6">
        <v>-0.69375729560852106</v>
      </c>
      <c r="N164" s="6">
        <v>0.77377715389075608</v>
      </c>
      <c r="O164" s="6">
        <v>0.94730215201945411</v>
      </c>
      <c r="P164" s="6">
        <v>0.92864088985944104</v>
      </c>
      <c r="Q164" s="6">
        <v>0.99309079452957105</v>
      </c>
      <c r="R164" s="6">
        <v>13.538950272940495</v>
      </c>
      <c r="S164" s="6">
        <v>11.563963319182855</v>
      </c>
      <c r="T164" s="6">
        <v>7.4680972099304199</v>
      </c>
      <c r="U164" s="6">
        <f>_xll.BDP($A164,"TRAILING_12M_R&amp;D_%_SALES",$A$1,$A$2)</f>
        <v>7.4802968898322124</v>
      </c>
      <c r="V164" s="6">
        <v>45</v>
      </c>
      <c r="W164" s="6">
        <v>452020</v>
      </c>
      <c r="X164" s="6">
        <v>45202030</v>
      </c>
      <c r="Y164" s="7" t="s">
        <v>66</v>
      </c>
      <c r="Z164" s="7" t="s">
        <v>67</v>
      </c>
      <c r="AA164" s="7" t="s">
        <v>67</v>
      </c>
      <c r="AB164" s="6">
        <v>59.390403747558594</v>
      </c>
      <c r="AC164" s="6">
        <v>0.34053885423372704</v>
      </c>
      <c r="AD164" s="6">
        <v>2.5032395907765852</v>
      </c>
      <c r="AE164" s="6">
        <v>184034</v>
      </c>
      <c r="AF164" s="6">
        <v>197673</v>
      </c>
    </row>
    <row r="165" spans="1:32" s="4" customFormat="1" ht="12.75" x14ac:dyDescent="0.2">
      <c r="A165" s="7" t="s">
        <v>609</v>
      </c>
      <c r="B165" s="7" t="s">
        <v>610</v>
      </c>
      <c r="C165" s="7" t="s">
        <v>611</v>
      </c>
      <c r="D165" s="6">
        <v>-0.55171769857406605</v>
      </c>
      <c r="E165" s="6">
        <v>-0.7375879883766171</v>
      </c>
      <c r="F165" s="6">
        <v>0.33250170946121205</v>
      </c>
      <c r="G165" s="6">
        <v>-0.72865116596221902</v>
      </c>
      <c r="H165" s="6">
        <v>-1.111592292785645</v>
      </c>
      <c r="I165" s="6">
        <v>0.76899367570877109</v>
      </c>
      <c r="J165" s="6">
        <v>0.71710354089736905</v>
      </c>
      <c r="K165" s="6">
        <v>-1.1773496866226201</v>
      </c>
      <c r="L165" s="6">
        <v>1.2117047309875491</v>
      </c>
      <c r="M165" s="6">
        <v>-0.69375729560852106</v>
      </c>
      <c r="N165" s="6">
        <v>0.77377715389075608</v>
      </c>
      <c r="O165" s="6">
        <v>0.93473592772610203</v>
      </c>
      <c r="P165" s="6">
        <v>0.92864088985944104</v>
      </c>
      <c r="Q165" s="6"/>
      <c r="R165" s="6">
        <v>13.538950272940495</v>
      </c>
      <c r="S165" s="6">
        <v>10.775790107633163</v>
      </c>
      <c r="T165" s="6">
        <v>7.4680972099304199</v>
      </c>
      <c r="U165" s="6">
        <f>_xll.BDP($A165,"TRAILING_12M_R&amp;D_%_SALES",$A$1,$A$2)</f>
        <v>7.4802968898322124</v>
      </c>
      <c r="V165" s="6">
        <v>45</v>
      </c>
      <c r="W165" s="6">
        <v>452020</v>
      </c>
      <c r="X165" s="6">
        <v>45202030</v>
      </c>
      <c r="Y165" s="7" t="s">
        <v>66</v>
      </c>
      <c r="Z165" s="7" t="s">
        <v>67</v>
      </c>
      <c r="AA165" s="7" t="s">
        <v>67</v>
      </c>
      <c r="AB165" s="6">
        <v>59.390403747558594</v>
      </c>
      <c r="AC165" s="6">
        <v>0.66386965588659808</v>
      </c>
      <c r="AD165" s="6">
        <v>-7.6397462534848692</v>
      </c>
      <c r="AE165" s="6">
        <v>184034</v>
      </c>
      <c r="AF165" s="6">
        <v>197673</v>
      </c>
    </row>
    <row r="166" spans="1:32" s="4" customFormat="1" ht="12.75" x14ac:dyDescent="0.2">
      <c r="A166" s="7" t="s">
        <v>612</v>
      </c>
      <c r="B166" s="7" t="s">
        <v>613</v>
      </c>
      <c r="C166" s="7" t="s">
        <v>614</v>
      </c>
      <c r="D166" s="6">
        <v>-0.15912456810474401</v>
      </c>
      <c r="E166" s="6">
        <v>-0.74048268795013406</v>
      </c>
      <c r="F166" s="6">
        <v>2.581798791885376</v>
      </c>
      <c r="G166" s="6">
        <v>-0.85352861881256104</v>
      </c>
      <c r="H166" s="6">
        <v>0.6000730395317081</v>
      </c>
      <c r="I166" s="6">
        <v>0.71494722366333008</v>
      </c>
      <c r="J166" s="6">
        <v>1.3236551284790039</v>
      </c>
      <c r="K166" s="6">
        <v>-0.37619334459304804</v>
      </c>
      <c r="L166" s="6">
        <v>1.9209740161895752</v>
      </c>
      <c r="M166" s="6">
        <v>-0.680669546127319</v>
      </c>
      <c r="N166" s="6">
        <v>0.83713565611428908</v>
      </c>
      <c r="O166" s="6">
        <v>0.74947271457310605</v>
      </c>
      <c r="P166" s="6">
        <v>0.56508260929713006</v>
      </c>
      <c r="Q166" s="6"/>
      <c r="R166" s="6">
        <v>5.5191540573232736</v>
      </c>
      <c r="S166" s="6"/>
      <c r="T166" s="6">
        <v>10.60997200012207</v>
      </c>
      <c r="U166" s="6">
        <f>_xll.BDP($A166,"TRAILING_12M_R&amp;D_%_SALES",$A$1,$A$2)</f>
        <v>0</v>
      </c>
      <c r="V166" s="6">
        <v>60</v>
      </c>
      <c r="W166" s="6">
        <v>602010</v>
      </c>
      <c r="X166" s="6">
        <v>60201030</v>
      </c>
      <c r="Y166" s="7" t="s">
        <v>307</v>
      </c>
      <c r="Z166" s="7" t="s">
        <v>615</v>
      </c>
      <c r="AA166" s="7" t="s">
        <v>616</v>
      </c>
      <c r="AB166" s="6">
        <v>56.453071594238281</v>
      </c>
      <c r="AC166" s="6">
        <v>0.37374075803578405</v>
      </c>
      <c r="AD166" s="6">
        <v>13.298544274958179</v>
      </c>
      <c r="AE166" s="6">
        <v>5692</v>
      </c>
      <c r="AF166" s="6">
        <v>5500</v>
      </c>
    </row>
    <row r="167" spans="1:32" s="4" customFormat="1" ht="12.75" x14ac:dyDescent="0.2">
      <c r="A167" s="7" t="s">
        <v>617</v>
      </c>
      <c r="B167" s="7" t="s">
        <v>618</v>
      </c>
      <c r="C167" s="7" t="s">
        <v>619</v>
      </c>
      <c r="D167" s="6">
        <v>-0.15912456810474401</v>
      </c>
      <c r="E167" s="6">
        <v>-0.74048268795013406</v>
      </c>
      <c r="F167" s="6">
        <v>2.581798791885376</v>
      </c>
      <c r="G167" s="6">
        <v>-0.85352861881256104</v>
      </c>
      <c r="H167" s="6">
        <v>0.6000730395317081</v>
      </c>
      <c r="I167" s="6">
        <v>0.71494722366333008</v>
      </c>
      <c r="J167" s="6">
        <v>1.3236551284790039</v>
      </c>
      <c r="K167" s="6">
        <v>-0.37619334459304804</v>
      </c>
      <c r="L167" s="6">
        <v>1.9209740161895752</v>
      </c>
      <c r="M167" s="6">
        <v>-0.680669546127319</v>
      </c>
      <c r="N167" s="6">
        <v>0.83713565611428908</v>
      </c>
      <c r="O167" s="6"/>
      <c r="P167" s="6">
        <v>0.56508260929713006</v>
      </c>
      <c r="Q167" s="6"/>
      <c r="R167" s="6">
        <v>5.5191540573232736</v>
      </c>
      <c r="S167" s="6"/>
      <c r="T167" s="6">
        <v>10.60997200012207</v>
      </c>
      <c r="U167" s="6">
        <f>_xll.BDP($A167,"TRAILING_12M_R&amp;D_%_SALES",$A$1,$A$2)</f>
        <v>0</v>
      </c>
      <c r="V167" s="6">
        <v>60</v>
      </c>
      <c r="W167" s="6">
        <v>602010</v>
      </c>
      <c r="X167" s="6">
        <v>60201030</v>
      </c>
      <c r="Y167" s="7" t="s">
        <v>307</v>
      </c>
      <c r="Z167" s="7" t="s">
        <v>615</v>
      </c>
      <c r="AA167" s="7" t="s">
        <v>616</v>
      </c>
      <c r="AB167" s="6">
        <v>56.453071594238281</v>
      </c>
      <c r="AC167" s="6">
        <v>0.44682260615414404</v>
      </c>
      <c r="AD167" s="6">
        <v>16.95705929226623</v>
      </c>
      <c r="AE167" s="6">
        <v>5692</v>
      </c>
      <c r="AF167" s="6">
        <v>5500</v>
      </c>
    </row>
    <row r="168" spans="1:32" s="4" customFormat="1" ht="12.75" x14ac:dyDescent="0.2">
      <c r="A168" s="7" t="s">
        <v>620</v>
      </c>
      <c r="B168" s="7" t="s">
        <v>621</v>
      </c>
      <c r="C168" s="7" t="s">
        <v>622</v>
      </c>
      <c r="D168" s="6">
        <v>-0.71502226591110207</v>
      </c>
      <c r="E168" s="6">
        <v>-0.44130459427833602</v>
      </c>
      <c r="F168" s="6">
        <v>-4.7025069594383004E-2</v>
      </c>
      <c r="G168" s="6">
        <v>-0.85309076309204102</v>
      </c>
      <c r="H168" s="6">
        <v>0.10639484971761701</v>
      </c>
      <c r="I168" s="6">
        <v>-0.143935471773148</v>
      </c>
      <c r="J168" s="6">
        <v>0.21046800911426503</v>
      </c>
      <c r="K168" s="6">
        <v>-4.4840674847364002E-2</v>
      </c>
      <c r="L168" s="6">
        <v>-6.8814165890217008E-2</v>
      </c>
      <c r="M168" s="6">
        <v>-0.51763468980789207</v>
      </c>
      <c r="N168" s="6">
        <v>1.314081562671447</v>
      </c>
      <c r="O168" s="6">
        <v>1.158014975074432</v>
      </c>
      <c r="P168" s="6">
        <v>3.007882996643835</v>
      </c>
      <c r="Q168" s="6">
        <v>2.4478474544422468</v>
      </c>
      <c r="R168" s="6">
        <v>19.152586926268999</v>
      </c>
      <c r="S168" s="6">
        <v>13.219252129038139</v>
      </c>
      <c r="T168" s="6">
        <v>17.683589935302734</v>
      </c>
      <c r="U168" s="6" t="str">
        <f>_xll.BDP($A168,"TRAILING_12M_R&amp;D_%_SALES",$A$1,$A$2)</f>
        <v>#N/A N/A</v>
      </c>
      <c r="V168" s="6">
        <v>45</v>
      </c>
      <c r="W168" s="6">
        <v>451020</v>
      </c>
      <c r="X168" s="6">
        <v>45102010</v>
      </c>
      <c r="Y168" s="7" t="s">
        <v>66</v>
      </c>
      <c r="Z168" s="7" t="s">
        <v>138</v>
      </c>
      <c r="AA168" s="7" t="s">
        <v>139</v>
      </c>
      <c r="AB168" s="6">
        <v>61.704055786132813</v>
      </c>
      <c r="AC168" s="6">
        <v>0.86593282092701807</v>
      </c>
      <c r="AD168" s="6">
        <v>-31.342174154976433</v>
      </c>
      <c r="AE168" s="6">
        <v>324700</v>
      </c>
      <c r="AF168" s="6">
        <v>193077</v>
      </c>
    </row>
    <row r="169" spans="1:32" s="4" customFormat="1" ht="12.75" x14ac:dyDescent="0.2">
      <c r="A169" s="7" t="s">
        <v>623</v>
      </c>
      <c r="B169" s="7" t="s">
        <v>624</v>
      </c>
      <c r="C169" s="7" t="s">
        <v>625</v>
      </c>
      <c r="D169" s="6">
        <v>-0.68735629320144709</v>
      </c>
      <c r="E169" s="6">
        <v>0.39709997177124001</v>
      </c>
      <c r="F169" s="6">
        <v>3.3003140240908002E-2</v>
      </c>
      <c r="G169" s="6">
        <v>-0.26284670829772905</v>
      </c>
      <c r="H169" s="6">
        <v>0.38889399170875505</v>
      </c>
      <c r="I169" s="6">
        <v>-0.38676831126213101</v>
      </c>
      <c r="J169" s="6">
        <v>0.16578061878681202</v>
      </c>
      <c r="K169" s="6">
        <v>-0.35189327597618103</v>
      </c>
      <c r="L169" s="6">
        <v>5.9118993580341006E-2</v>
      </c>
      <c r="M169" s="6">
        <v>-0.549890577793121</v>
      </c>
      <c r="N169" s="6">
        <v>1.7158197362968699</v>
      </c>
      <c r="O169" s="6">
        <v>1.5888251842443601</v>
      </c>
      <c r="P169" s="6">
        <v>4.8227457714049971</v>
      </c>
      <c r="Q169" s="6">
        <v>4.3280804799419608</v>
      </c>
      <c r="R169" s="6">
        <v>17.640741635918282</v>
      </c>
      <c r="S169" s="6">
        <v>16.272786191937943</v>
      </c>
      <c r="T169" s="6">
        <v>51.067462921142578</v>
      </c>
      <c r="U169" s="6">
        <f>_xll.BDP($A169,"TRAILING_12M_R&amp;D_%_SALES",$A$1,$A$2)</f>
        <v>3.1037786943298751</v>
      </c>
      <c r="V169" s="6">
        <v>20</v>
      </c>
      <c r="W169" s="6">
        <v>201020</v>
      </c>
      <c r="X169" s="6">
        <v>20102010</v>
      </c>
      <c r="Y169" s="7" t="s">
        <v>43</v>
      </c>
      <c r="Z169" s="7" t="s">
        <v>626</v>
      </c>
      <c r="AA169" s="7" t="s">
        <v>626</v>
      </c>
      <c r="AB169" s="6">
        <v>56.684436798095703</v>
      </c>
      <c r="AC169" s="6">
        <v>1.0608541504510141</v>
      </c>
      <c r="AD169" s="6">
        <v>-21.69231568045943</v>
      </c>
      <c r="AE169" s="6">
        <v>58000</v>
      </c>
      <c r="AF169" s="6"/>
    </row>
    <row r="170" spans="1:32" s="4" customFormat="1" ht="12.75" x14ac:dyDescent="0.2">
      <c r="A170" s="7" t="s">
        <v>627</v>
      </c>
      <c r="B170" s="7" t="s">
        <v>628</v>
      </c>
      <c r="C170" s="7" t="s">
        <v>629</v>
      </c>
      <c r="D170" s="6">
        <v>0.25789648294448902</v>
      </c>
      <c r="E170" s="6">
        <v>-6.2724694609642001E-2</v>
      </c>
      <c r="F170" s="6">
        <v>0.6454553604125981</v>
      </c>
      <c r="G170" s="6">
        <v>-0.12300235033035301</v>
      </c>
      <c r="H170" s="6">
        <v>0.51079750061035201</v>
      </c>
      <c r="I170" s="6">
        <v>0.68951821327209506</v>
      </c>
      <c r="J170" s="6">
        <v>-9.7641296684742002E-2</v>
      </c>
      <c r="K170" s="6">
        <v>-0.67544203996658303</v>
      </c>
      <c r="L170" s="6">
        <v>0.155429422855377</v>
      </c>
      <c r="M170" s="6">
        <v>-0.66867536306381203</v>
      </c>
      <c r="N170" s="6">
        <v>2.2509160007339939</v>
      </c>
      <c r="O170" s="6">
        <v>2.0614235859277641</v>
      </c>
      <c r="P170" s="6">
        <v>7.9962325560104563</v>
      </c>
      <c r="Q170" s="6">
        <v>7.3297461092480782</v>
      </c>
      <c r="R170" s="6">
        <v>18.228291299858846</v>
      </c>
      <c r="S170" s="6">
        <v>15.69743445076632</v>
      </c>
      <c r="T170" s="6">
        <v>45.703125</v>
      </c>
      <c r="U170" s="6">
        <f>_xll.BDP($A170,"TRAILING_12M_R&amp;D_%_SALES",$A$1,$A$2)</f>
        <v>3.2510916693669087</v>
      </c>
      <c r="V170" s="6">
        <v>20</v>
      </c>
      <c r="W170" s="6">
        <v>201060</v>
      </c>
      <c r="X170" s="6">
        <v>20106010</v>
      </c>
      <c r="Y170" s="7" t="s">
        <v>43</v>
      </c>
      <c r="Z170" s="7" t="s">
        <v>630</v>
      </c>
      <c r="AA170" s="7" t="s">
        <v>631</v>
      </c>
      <c r="AB170" s="6">
        <v>59.812896728515625</v>
      </c>
      <c r="AC170" s="6">
        <v>0.85088472479860811</v>
      </c>
      <c r="AD170" s="6">
        <v>18.958591664232529</v>
      </c>
      <c r="AE170" s="6">
        <v>107700</v>
      </c>
      <c r="AF170" s="6">
        <v>95400</v>
      </c>
    </row>
    <row r="171" spans="1:32" s="4" customFormat="1" ht="12.75" x14ac:dyDescent="0.2">
      <c r="A171" s="7" t="s">
        <v>632</v>
      </c>
      <c r="B171" s="7" t="s">
        <v>633</v>
      </c>
      <c r="C171" s="7" t="s">
        <v>634</v>
      </c>
      <c r="D171" s="6">
        <v>0.34260341525077803</v>
      </c>
      <c r="E171" s="6">
        <v>-0.71646255254745506</v>
      </c>
      <c r="F171" s="6">
        <v>-0.127765402197838</v>
      </c>
      <c r="G171" s="6">
        <v>-0.49382331967353804</v>
      </c>
      <c r="H171" s="6">
        <v>-0.70586252212524403</v>
      </c>
      <c r="I171" s="6">
        <v>0.57199460268020608</v>
      </c>
      <c r="J171" s="6">
        <v>0.46000850200653104</v>
      </c>
      <c r="K171" s="6">
        <v>-0.55924826860427901</v>
      </c>
      <c r="L171" s="6">
        <v>-8.4621310234070005E-2</v>
      </c>
      <c r="M171" s="6">
        <v>-0.82347518205642711</v>
      </c>
      <c r="N171" s="6">
        <v>2.21424273978278</v>
      </c>
      <c r="O171" s="6">
        <v>2.0153827862402478</v>
      </c>
      <c r="P171" s="6">
        <v>1.9218187649028362</v>
      </c>
      <c r="Q171" s="6">
        <v>1.679491909276841</v>
      </c>
      <c r="R171" s="6">
        <v>14.759478765180267</v>
      </c>
      <c r="S171" s="6">
        <v>12.256073955095758</v>
      </c>
      <c r="T171" s="6">
        <v>11.445720672607422</v>
      </c>
      <c r="U171" s="6" t="str">
        <f>_xll.BDP($A171,"TRAILING_12M_R&amp;D_%_SALES",$A$1,$A$2)</f>
        <v>#N/A N/A</v>
      </c>
      <c r="V171" s="6">
        <v>40</v>
      </c>
      <c r="W171" s="6">
        <v>403010</v>
      </c>
      <c r="X171" s="6">
        <v>40301040</v>
      </c>
      <c r="Y171" s="7" t="s">
        <v>53</v>
      </c>
      <c r="Z171" s="7" t="s">
        <v>54</v>
      </c>
      <c r="AA171" s="7" t="s">
        <v>125</v>
      </c>
      <c r="AB171" s="6">
        <v>40.961673736572266</v>
      </c>
      <c r="AC171" s="6">
        <v>0.73820936301850004</v>
      </c>
      <c r="AD171" s="6">
        <v>16.120065993839638</v>
      </c>
      <c r="AE171" s="6">
        <v>31000</v>
      </c>
      <c r="AF171" s="6">
        <v>31000</v>
      </c>
    </row>
    <row r="172" spans="1:32" s="4" customFormat="1" ht="12.75" x14ac:dyDescent="0.2">
      <c r="A172" s="7" t="s">
        <v>635</v>
      </c>
      <c r="B172" s="7" t="s">
        <v>636</v>
      </c>
      <c r="C172" s="7" t="s">
        <v>637</v>
      </c>
      <c r="D172" s="6">
        <v>0.67389547824859608</v>
      </c>
      <c r="E172" s="6">
        <v>-0.82933688163757302</v>
      </c>
      <c r="F172" s="6">
        <v>0.148415982723236</v>
      </c>
      <c r="G172" s="6">
        <v>-0.95647853612899802</v>
      </c>
      <c r="H172" s="6">
        <v>0.59458059072494507</v>
      </c>
      <c r="I172" s="6">
        <v>0.517805695533752</v>
      </c>
      <c r="J172" s="6">
        <v>3.7275727838278004E-2</v>
      </c>
      <c r="K172" s="6">
        <v>-0.77399492263793901</v>
      </c>
      <c r="L172" s="6">
        <v>0.99418616294860807</v>
      </c>
      <c r="M172" s="6">
        <v>-0.97004747390747104</v>
      </c>
      <c r="N172" s="6">
        <v>6.1009994717535596</v>
      </c>
      <c r="O172" s="6">
        <v>6.2175628659867019</v>
      </c>
      <c r="P172" s="6">
        <v>2.3947061059900649</v>
      </c>
      <c r="Q172" s="6">
        <v>2.3247464122572201</v>
      </c>
      <c r="R172" s="6">
        <v>18.258287454852873</v>
      </c>
      <c r="S172" s="6">
        <v>17.21421973019838</v>
      </c>
      <c r="T172" s="6">
        <v>14.217639923095703</v>
      </c>
      <c r="U172" s="6" t="str">
        <f>_xll.BDP($A172,"TRAILING_12M_R&amp;D_%_SALES",$A$1,$A$2)</f>
        <v>#N/A N/A</v>
      </c>
      <c r="V172" s="6">
        <v>40</v>
      </c>
      <c r="W172" s="6">
        <v>401010</v>
      </c>
      <c r="X172" s="6">
        <v>40101010</v>
      </c>
      <c r="Y172" s="7" t="s">
        <v>53</v>
      </c>
      <c r="Z172" s="7" t="s">
        <v>76</v>
      </c>
      <c r="AA172" s="7" t="s">
        <v>77</v>
      </c>
      <c r="AB172" s="6">
        <v>66.562721252441406</v>
      </c>
      <c r="AC172" s="6">
        <v>0.44022135303088705</v>
      </c>
      <c r="AD172" s="6">
        <v>3.1766069377246802</v>
      </c>
      <c r="AE172" s="6">
        <v>49245</v>
      </c>
      <c r="AF172" s="6">
        <v>45614</v>
      </c>
    </row>
    <row r="173" spans="1:32" s="4" customFormat="1" ht="12.75" x14ac:dyDescent="0.2">
      <c r="A173" s="7" t="s">
        <v>638</v>
      </c>
      <c r="B173" s="7" t="s">
        <v>639</v>
      </c>
      <c r="C173" s="7" t="s">
        <v>640</v>
      </c>
      <c r="D173" s="6">
        <v>-0.77688443660736106</v>
      </c>
      <c r="E173" s="6">
        <v>9.1548353433609009E-2</v>
      </c>
      <c r="F173" s="6">
        <v>-0.47828400135040305</v>
      </c>
      <c r="G173" s="6">
        <v>-0.29580014944076505</v>
      </c>
      <c r="H173" s="6">
        <v>-0.51665788888931308</v>
      </c>
      <c r="I173" s="6">
        <v>-0.44216388463974005</v>
      </c>
      <c r="J173" s="6">
        <v>0.29529267549514804</v>
      </c>
      <c r="K173" s="6">
        <v>0.34540945291519204</v>
      </c>
      <c r="L173" s="6">
        <v>-0.81727248430252109</v>
      </c>
      <c r="M173" s="6">
        <v>6.4538672566414004E-2</v>
      </c>
      <c r="N173" s="6">
        <v>0.80917615438575408</v>
      </c>
      <c r="O173" s="6">
        <v>0.75374700805298001</v>
      </c>
      <c r="P173" s="6">
        <v>3.0747364685493981</v>
      </c>
      <c r="Q173" s="6">
        <v>2.812798708132076</v>
      </c>
      <c r="R173" s="6">
        <v>13.143342006562925</v>
      </c>
      <c r="S173" s="6">
        <v>14.5961179709916</v>
      </c>
      <c r="T173" s="6">
        <v>25.389314651489258</v>
      </c>
      <c r="U173" s="6">
        <f>_xll.BDP($A173,"TRAILING_12M_R&amp;D_%_SALES",$A$1,$A$2)</f>
        <v>0</v>
      </c>
      <c r="V173" s="6">
        <v>60</v>
      </c>
      <c r="W173" s="6">
        <v>602010</v>
      </c>
      <c r="X173" s="6">
        <v>60201040</v>
      </c>
      <c r="Y173" s="7" t="s">
        <v>307</v>
      </c>
      <c r="Z173" s="7" t="s">
        <v>615</v>
      </c>
      <c r="AA173" s="7" t="s">
        <v>641</v>
      </c>
      <c r="AB173" s="6">
        <v>64.490493774414063</v>
      </c>
      <c r="AC173" s="6">
        <v>1.093127379867679</v>
      </c>
      <c r="AD173" s="6">
        <v>-29.075663469389578</v>
      </c>
      <c r="AE173" s="6">
        <v>105000</v>
      </c>
      <c r="AF173" s="6">
        <v>75000</v>
      </c>
    </row>
    <row r="174" spans="1:32" s="4" customFormat="1" ht="12.75" x14ac:dyDescent="0.2">
      <c r="A174" s="7" t="s">
        <v>642</v>
      </c>
      <c r="B174" s="7" t="s">
        <v>643</v>
      </c>
      <c r="C174" s="7" t="s">
        <v>644</v>
      </c>
      <c r="D174" s="6">
        <v>-0.87285262346267711</v>
      </c>
      <c r="E174" s="6">
        <v>-0.60279589891433705</v>
      </c>
      <c r="F174" s="6">
        <v>1.8879623413085942</v>
      </c>
      <c r="G174" s="6">
        <v>-0.143103137612343</v>
      </c>
      <c r="H174" s="6">
        <v>1.3292279243469241</v>
      </c>
      <c r="I174" s="6">
        <v>-0.86975246667861905</v>
      </c>
      <c r="J174" s="6">
        <v>3.0000448226928711</v>
      </c>
      <c r="K174" s="6">
        <v>-0.54138267040252708</v>
      </c>
      <c r="L174" s="6">
        <v>3.0000288486480708</v>
      </c>
      <c r="M174" s="6">
        <v>-0.63394618034362804</v>
      </c>
      <c r="N174" s="6">
        <v>0.18130036046980402</v>
      </c>
      <c r="O174" s="6">
        <v>0.18456908739292902</v>
      </c>
      <c r="P174" s="6">
        <v>0.46357624804572406</v>
      </c>
      <c r="Q174" s="6"/>
      <c r="R174" s="6">
        <v>3.4514079442613519</v>
      </c>
      <c r="S174" s="6"/>
      <c r="T174" s="6">
        <v>14.097468376159668</v>
      </c>
      <c r="U174" s="6" t="str">
        <f>_xll.BDP($A174,"TRAILING_12M_R&amp;D_%_SALES",$A$1,$A$2)</f>
        <v>#N/A N/A</v>
      </c>
      <c r="V174" s="6">
        <v>15</v>
      </c>
      <c r="W174" s="6">
        <v>151020</v>
      </c>
      <c r="X174" s="6">
        <v>15102010</v>
      </c>
      <c r="Y174" s="7" t="s">
        <v>38</v>
      </c>
      <c r="Z174" s="7" t="s">
        <v>39</v>
      </c>
      <c r="AA174" s="7" t="s">
        <v>39</v>
      </c>
      <c r="AB174" s="6">
        <v>58.736545562744141</v>
      </c>
      <c r="AC174" s="6">
        <v>0.39283404140991801</v>
      </c>
      <c r="AD174" s="6"/>
      <c r="AE174" s="6">
        <v>153109</v>
      </c>
      <c r="AF174" s="6">
        <v>120989</v>
      </c>
    </row>
    <row r="175" spans="1:32" s="4" customFormat="1" ht="12.75" x14ac:dyDescent="0.2">
      <c r="A175" s="7" t="s">
        <v>645</v>
      </c>
      <c r="B175" s="7" t="s">
        <v>646</v>
      </c>
      <c r="C175" s="7" t="s">
        <v>647</v>
      </c>
      <c r="D175" s="6">
        <v>-0.76350307464599609</v>
      </c>
      <c r="E175" s="6">
        <v>-0.6031913757324221</v>
      </c>
      <c r="F175" s="6">
        <v>2.7740204334259033</v>
      </c>
      <c r="G175" s="6">
        <v>-0.12090270221233401</v>
      </c>
      <c r="H175" s="6">
        <v>1.320850729942322</v>
      </c>
      <c r="I175" s="6">
        <v>-0.174816370010376</v>
      </c>
      <c r="J175" s="6">
        <v>3.000007152557373</v>
      </c>
      <c r="K175" s="6">
        <v>-0.53968620300293002</v>
      </c>
      <c r="L175" s="6">
        <v>3.00003981590271</v>
      </c>
      <c r="M175" s="6">
        <v>-0.64762794971466109</v>
      </c>
      <c r="N175" s="6">
        <v>0.18130036046980402</v>
      </c>
      <c r="O175" s="6"/>
      <c r="P175" s="6">
        <v>0.46357624804572406</v>
      </c>
      <c r="Q175" s="6"/>
      <c r="R175" s="6">
        <v>3.4514079442613519</v>
      </c>
      <c r="S175" s="6"/>
      <c r="T175" s="6">
        <v>14.097468376159668</v>
      </c>
      <c r="U175" s="6" t="str">
        <f>_xll.BDP($A175,"TRAILING_12M_R&amp;D_%_SALES",$A$1,$A$2)</f>
        <v>#N/A N/A</v>
      </c>
      <c r="V175" s="6">
        <v>15</v>
      </c>
      <c r="W175" s="6">
        <v>151020</v>
      </c>
      <c r="X175" s="6">
        <v>15102010</v>
      </c>
      <c r="Y175" s="7" t="s">
        <v>38</v>
      </c>
      <c r="Z175" s="7" t="s">
        <v>39</v>
      </c>
      <c r="AA175" s="7" t="s">
        <v>39</v>
      </c>
      <c r="AB175" s="6">
        <v>58.736545562744141</v>
      </c>
      <c r="AC175" s="6">
        <v>0.40799385685304201</v>
      </c>
      <c r="AD175" s="6">
        <v>-21.544190478493519</v>
      </c>
      <c r="AE175" s="6">
        <v>153109</v>
      </c>
      <c r="AF175" s="6">
        <v>120989</v>
      </c>
    </row>
    <row r="176" spans="1:32" s="4" customFormat="1" ht="12.75" x14ac:dyDescent="0.2">
      <c r="A176" s="7" t="s">
        <v>648</v>
      </c>
      <c r="B176" s="7" t="s">
        <v>649</v>
      </c>
      <c r="C176" s="7" t="s">
        <v>650</v>
      </c>
      <c r="D176" s="6">
        <v>-0.6825535893440251</v>
      </c>
      <c r="E176" s="6">
        <v>-0.47875028848648105</v>
      </c>
      <c r="F176" s="6">
        <v>0.58714783191680908</v>
      </c>
      <c r="G176" s="6">
        <v>-0.79152226448059104</v>
      </c>
      <c r="H176" s="6">
        <v>0.62884885072708108</v>
      </c>
      <c r="I176" s="6">
        <v>0.35073715448379505</v>
      </c>
      <c r="J176" s="6">
        <v>0.26854965090751604</v>
      </c>
      <c r="K176" s="6">
        <v>1.5524142421782001E-2</v>
      </c>
      <c r="L176" s="6">
        <v>0.19811491668224301</v>
      </c>
      <c r="M176" s="6">
        <v>-0.15748077630996701</v>
      </c>
      <c r="N176" s="6">
        <v>1.463755798149555</v>
      </c>
      <c r="O176" s="6">
        <v>1.289514752315662</v>
      </c>
      <c r="P176" s="6">
        <v>3.1079141199071789</v>
      </c>
      <c r="Q176" s="6">
        <v>2.756809601578015</v>
      </c>
      <c r="R176" s="6">
        <v>15.862275618788546</v>
      </c>
      <c r="S176" s="6">
        <v>14.262045918418661</v>
      </c>
      <c r="T176" s="6">
        <v>19.843231201171875</v>
      </c>
      <c r="U176" s="6">
        <f>_xll.BDP($A176,"TRAILING_12M_R&amp;D_%_SALES",$A$1,$A$2)</f>
        <v>0</v>
      </c>
      <c r="V176" s="6">
        <v>30</v>
      </c>
      <c r="W176" s="6">
        <v>302010</v>
      </c>
      <c r="X176" s="6">
        <v>30201030</v>
      </c>
      <c r="Y176" s="7" t="s">
        <v>91</v>
      </c>
      <c r="Z176" s="7" t="s">
        <v>92</v>
      </c>
      <c r="AA176" s="7" t="s">
        <v>651</v>
      </c>
      <c r="AB176" s="6">
        <v>71.159843444824219</v>
      </c>
      <c r="AC176" s="6">
        <v>0.89185559081599008</v>
      </c>
      <c r="AD176" s="6">
        <v>3.0771961291301109</v>
      </c>
      <c r="AE176" s="6">
        <v>33000</v>
      </c>
      <c r="AF176" s="6">
        <v>24500</v>
      </c>
    </row>
    <row r="177" spans="1:32" s="4" customFormat="1" ht="12.75" x14ac:dyDescent="0.2">
      <c r="A177" s="7" t="s">
        <v>652</v>
      </c>
      <c r="B177" s="7" t="s">
        <v>653</v>
      </c>
      <c r="C177" s="7" t="s">
        <v>654</v>
      </c>
      <c r="D177" s="6">
        <v>-0.62847268581390403</v>
      </c>
      <c r="E177" s="6">
        <v>-6.7353621125221003E-2</v>
      </c>
      <c r="F177" s="6">
        <v>0.46114215254783603</v>
      </c>
      <c r="G177" s="6">
        <v>-0.44880846142768904</v>
      </c>
      <c r="H177" s="6">
        <v>1.4928709268569951</v>
      </c>
      <c r="I177" s="6">
        <v>-0.504588782787323</v>
      </c>
      <c r="J177" s="6">
        <v>-0.44644683599472001</v>
      </c>
      <c r="K177" s="6">
        <v>-0.69331556558609009</v>
      </c>
      <c r="L177" s="6">
        <v>1.43446409702301</v>
      </c>
      <c r="M177" s="6">
        <v>-0.93582147359848011</v>
      </c>
      <c r="N177" s="6">
        <v>8.5368571197615424</v>
      </c>
      <c r="O177" s="6">
        <v>8.1541016384966927</v>
      </c>
      <c r="P177" s="6">
        <v>7.6484072437988679</v>
      </c>
      <c r="Q177" s="6">
        <v>8.6933879808063779</v>
      </c>
      <c r="R177" s="6">
        <v>35.030340355282647</v>
      </c>
      <c r="S177" s="6">
        <v>35.275280272108574</v>
      </c>
      <c r="T177" s="6">
        <v>19.932077407836914</v>
      </c>
      <c r="U177" s="6" t="str">
        <f>_xll.BDP($A177,"TRAILING_12M_R&amp;D_%_SALES",$A$1,$A$2)</f>
        <v>#N/A N/A</v>
      </c>
      <c r="V177" s="6">
        <v>60</v>
      </c>
      <c r="W177" s="6">
        <v>601080</v>
      </c>
      <c r="X177" s="6">
        <v>60108030</v>
      </c>
      <c r="Y177" s="7" t="s">
        <v>307</v>
      </c>
      <c r="Z177" s="7" t="s">
        <v>308</v>
      </c>
      <c r="AA177" s="7" t="s">
        <v>309</v>
      </c>
      <c r="AB177" s="6">
        <v>53.324615478515625</v>
      </c>
      <c r="AC177" s="6">
        <v>0.84621325316747009</v>
      </c>
      <c r="AD177" s="6">
        <v>-32.24703372700715</v>
      </c>
      <c r="AE177" s="6">
        <v>5000</v>
      </c>
      <c r="AF177" s="6">
        <v>3200</v>
      </c>
    </row>
    <row r="178" spans="1:32" s="4" customFormat="1" ht="12.75" x14ac:dyDescent="0.2">
      <c r="A178" s="7" t="s">
        <v>655</v>
      </c>
      <c r="B178" s="7" t="s">
        <v>656</v>
      </c>
      <c r="C178" s="7" t="s">
        <v>657</v>
      </c>
      <c r="D178" s="6">
        <v>-0.64871454238891602</v>
      </c>
      <c r="E178" s="6">
        <v>-0.35046857595443703</v>
      </c>
      <c r="F178" s="6">
        <v>1.759640216827393</v>
      </c>
      <c r="G178" s="6">
        <v>-0.34996148943901101</v>
      </c>
      <c r="H178" s="6">
        <v>-0.11079199612140701</v>
      </c>
      <c r="I178" s="6">
        <v>1.7106279134750371</v>
      </c>
      <c r="J178" s="6">
        <v>3.000007152557373</v>
      </c>
      <c r="K178" s="6">
        <v>-8.0689109861851002E-2</v>
      </c>
      <c r="L178" s="6">
        <v>1.808113813400269</v>
      </c>
      <c r="M178" s="6">
        <v>0.176510840654373</v>
      </c>
      <c r="N178" s="6">
        <v>0.30419485370030902</v>
      </c>
      <c r="O178" s="6">
        <v>0.42000330803128705</v>
      </c>
      <c r="P178" s="6">
        <v>0.56602088752012203</v>
      </c>
      <c r="Q178" s="6">
        <v>0.50838131516542606</v>
      </c>
      <c r="R178" s="6">
        <v>3.5923961984748631</v>
      </c>
      <c r="S178" s="6">
        <v>3.255611816568114</v>
      </c>
      <c r="T178" s="6">
        <v>17.341091156005859</v>
      </c>
      <c r="U178" s="6">
        <f>_xll.BDP($A178,"TRAILING_12M_R&amp;D_%_SALES",$A$1,$A$2)</f>
        <v>2.3839738242897393</v>
      </c>
      <c r="V178" s="6">
        <v>10</v>
      </c>
      <c r="W178" s="6">
        <v>101020</v>
      </c>
      <c r="X178" s="6">
        <v>10102050</v>
      </c>
      <c r="Y178" s="7" t="s">
        <v>505</v>
      </c>
      <c r="Z178" s="7" t="s">
        <v>556</v>
      </c>
      <c r="AA178" s="7" t="s">
        <v>658</v>
      </c>
      <c r="AB178" s="6">
        <v>52.9222412109375</v>
      </c>
      <c r="AC178" s="6">
        <v>0.31869387080182404</v>
      </c>
      <c r="AD178" s="6">
        <v>38.129714839479064</v>
      </c>
      <c r="AE178" s="6">
        <v>45474</v>
      </c>
      <c r="AF178" s="6">
        <v>47113</v>
      </c>
    </row>
    <row r="179" spans="1:32" s="4" customFormat="1" ht="12.75" x14ac:dyDescent="0.2">
      <c r="A179" s="7" t="s">
        <v>659</v>
      </c>
      <c r="B179" s="7" t="s">
        <v>660</v>
      </c>
      <c r="C179" s="7" t="s">
        <v>661</v>
      </c>
      <c r="D179" s="6">
        <v>-0.64871454238891602</v>
      </c>
      <c r="E179" s="6">
        <v>-0.35046857595443703</v>
      </c>
      <c r="F179" s="6">
        <v>1.759640216827393</v>
      </c>
      <c r="G179" s="6">
        <v>-0.34996148943901101</v>
      </c>
      <c r="H179" s="6">
        <v>-0.11079199612140701</v>
      </c>
      <c r="I179" s="6">
        <v>1.7106279134750371</v>
      </c>
      <c r="J179" s="6">
        <v>3.000007152557373</v>
      </c>
      <c r="K179" s="6">
        <v>-8.0689109861851002E-2</v>
      </c>
      <c r="L179" s="6">
        <v>1.808113813400269</v>
      </c>
      <c r="M179" s="6">
        <v>0.176510840654373</v>
      </c>
      <c r="N179" s="6">
        <v>0.30419485370030902</v>
      </c>
      <c r="O179" s="6"/>
      <c r="P179" s="6">
        <v>0.56602088752012203</v>
      </c>
      <c r="Q179" s="6"/>
      <c r="R179" s="6">
        <v>3.5923961984748631</v>
      </c>
      <c r="S179" s="6"/>
      <c r="T179" s="6">
        <v>17.341091156005859</v>
      </c>
      <c r="U179" s="6">
        <f>_xll.BDP($A179,"TRAILING_12M_R&amp;D_%_SALES",$A$1,$A$2)</f>
        <v>2.3839738242897393</v>
      </c>
      <c r="V179" s="6">
        <v>10</v>
      </c>
      <c r="W179" s="6">
        <v>101020</v>
      </c>
      <c r="X179" s="6">
        <v>10102050</v>
      </c>
      <c r="Y179" s="7" t="s">
        <v>505</v>
      </c>
      <c r="Z179" s="7" t="s">
        <v>556</v>
      </c>
      <c r="AA179" s="7" t="s">
        <v>658</v>
      </c>
      <c r="AB179" s="6">
        <v>52.9222412109375</v>
      </c>
      <c r="AC179" s="6">
        <v>0.25084792377558801</v>
      </c>
      <c r="AD179" s="6">
        <v>52.319128076717483</v>
      </c>
      <c r="AE179" s="6">
        <v>45474</v>
      </c>
      <c r="AF179" s="6">
        <v>47113</v>
      </c>
    </row>
    <row r="180" spans="1:32" s="4" customFormat="1" ht="12.75" x14ac:dyDescent="0.2">
      <c r="A180" s="7" t="s">
        <v>662</v>
      </c>
      <c r="B180" s="7" t="s">
        <v>663</v>
      </c>
      <c r="C180" s="7" t="s">
        <v>664</v>
      </c>
      <c r="D180" s="6">
        <v>-0.94551384449005105</v>
      </c>
      <c r="E180" s="6">
        <v>0.34812664985656705</v>
      </c>
      <c r="F180" s="6">
        <v>-0.96940410137176503</v>
      </c>
      <c r="G180" s="6">
        <v>-0.23733976483345001</v>
      </c>
      <c r="H180" s="6">
        <v>0.92638283967971802</v>
      </c>
      <c r="I180" s="6">
        <v>0.17962680757045701</v>
      </c>
      <c r="J180" s="6">
        <v>-0.14848299324512501</v>
      </c>
      <c r="K180" s="6">
        <v>0.64600145816803001</v>
      </c>
      <c r="L180" s="6">
        <v>-0.16484013199806202</v>
      </c>
      <c r="M180" s="6">
        <v>1.6195397824049003E-2</v>
      </c>
      <c r="N180" s="6">
        <v>1.0125961525795311</v>
      </c>
      <c r="O180" s="6">
        <v>0.9413205036606721</v>
      </c>
      <c r="P180" s="6">
        <v>18.221626040516288</v>
      </c>
      <c r="Q180" s="6">
        <v>9.7234557136485922</v>
      </c>
      <c r="R180" s="6">
        <v>22.010751408928197</v>
      </c>
      <c r="S180" s="6">
        <v>17.166566793876306</v>
      </c>
      <c r="T180" s="6">
        <v>96.403144836425781</v>
      </c>
      <c r="U180" s="6">
        <f>_xll.BDP($A180,"TRAILING_12M_R&amp;D_%_SALES",$A$1,$A$2)</f>
        <v>0</v>
      </c>
      <c r="V180" s="6">
        <v>45</v>
      </c>
      <c r="W180" s="6">
        <v>452030</v>
      </c>
      <c r="X180" s="6">
        <v>45203030</v>
      </c>
      <c r="Y180" s="7" t="s">
        <v>66</v>
      </c>
      <c r="Z180" s="7" t="s">
        <v>339</v>
      </c>
      <c r="AA180" s="7" t="s">
        <v>665</v>
      </c>
      <c r="AB180" s="6">
        <v>52.469570159912109</v>
      </c>
      <c r="AC180" s="6">
        <v>1.063028838551807</v>
      </c>
      <c r="AD180" s="6">
        <v>-11.401693429038994</v>
      </c>
      <c r="AE180" s="6">
        <v>13900</v>
      </c>
      <c r="AF180" s="6">
        <v>8516</v>
      </c>
    </row>
    <row r="181" spans="1:32" s="4" customFormat="1" ht="12.75" x14ac:dyDescent="0.2">
      <c r="A181" s="7" t="s">
        <v>666</v>
      </c>
      <c r="B181" s="7" t="s">
        <v>667</v>
      </c>
      <c r="C181" s="7" t="s">
        <v>668</v>
      </c>
      <c r="D181" s="6">
        <v>-0.58956897258758501</v>
      </c>
      <c r="E181" s="6">
        <v>-1.0713763236999509</v>
      </c>
      <c r="F181" s="6">
        <v>3.0001339912414551</v>
      </c>
      <c r="G181" s="6">
        <v>-0.45164602994918801</v>
      </c>
      <c r="H181" s="6">
        <v>-0.57864558696746804</v>
      </c>
      <c r="I181" s="6">
        <v>2.7977547645568852</v>
      </c>
      <c r="J181" s="6">
        <v>-0.17848113179206801</v>
      </c>
      <c r="K181" s="6">
        <v>-1.1039748191833501</v>
      </c>
      <c r="L181" s="6">
        <v>-0.50138133764267001</v>
      </c>
      <c r="M181" s="6">
        <v>-0.82638925313949607</v>
      </c>
      <c r="N181" s="6"/>
      <c r="O181" s="6">
        <v>1.5594747375112572</v>
      </c>
      <c r="P181" s="6">
        <v>2.6095223161314549</v>
      </c>
      <c r="Q181" s="6">
        <v>2.1791862485075688</v>
      </c>
      <c r="R181" s="6"/>
      <c r="S181" s="6">
        <v>20.974254436024118</v>
      </c>
      <c r="T181" s="6"/>
      <c r="U181" s="6" t="str">
        <f>_xll.BDP($A181,"TRAILING_12M_R&amp;D_%_SALES",$A$1,$A$2)</f>
        <v>#N/A N/A</v>
      </c>
      <c r="V181" s="6">
        <v>55</v>
      </c>
      <c r="W181" s="6">
        <v>551010</v>
      </c>
      <c r="X181" s="6">
        <v>55101010</v>
      </c>
      <c r="Y181" s="7" t="s">
        <v>181</v>
      </c>
      <c r="Z181" s="7" t="s">
        <v>186</v>
      </c>
      <c r="AA181" s="7" t="s">
        <v>186</v>
      </c>
      <c r="AB181" s="6"/>
      <c r="AC181" s="6">
        <v>0.92111470240322502</v>
      </c>
      <c r="AD181" s="6"/>
      <c r="AE181" s="6">
        <v>3418</v>
      </c>
      <c r="AF181" s="6"/>
    </row>
    <row r="182" spans="1:32" s="4" customFormat="1" ht="12.75" x14ac:dyDescent="0.2">
      <c r="A182" s="7" t="s">
        <v>669</v>
      </c>
      <c r="B182" s="7" t="s">
        <v>670</v>
      </c>
      <c r="C182" s="7" t="s">
        <v>671</v>
      </c>
      <c r="D182" s="6">
        <v>0.33656877279281605</v>
      </c>
      <c r="E182" s="6">
        <v>-0.10777190327644301</v>
      </c>
      <c r="F182" s="6">
        <v>-0.87918460369110107</v>
      </c>
      <c r="G182" s="6">
        <v>-0.278497934341431</v>
      </c>
      <c r="H182" s="6">
        <v>0.36626866459846502</v>
      </c>
      <c r="I182" s="6">
        <v>1.022241353988647</v>
      </c>
      <c r="J182" s="6">
        <v>0.260238766670227</v>
      </c>
      <c r="K182" s="6">
        <v>3.0420821160078004E-2</v>
      </c>
      <c r="L182" s="6">
        <v>0.71907353401184104</v>
      </c>
      <c r="M182" s="6">
        <v>-3.1876701861620005E-2</v>
      </c>
      <c r="N182" s="6">
        <v>3.315253504265478</v>
      </c>
      <c r="O182" s="6"/>
      <c r="P182" s="6">
        <v>4.6775974850293087</v>
      </c>
      <c r="Q182" s="6"/>
      <c r="R182" s="6">
        <v>16.799873987094589</v>
      </c>
      <c r="S182" s="6"/>
      <c r="T182" s="6">
        <v>19.108808517456055</v>
      </c>
      <c r="U182" s="6" t="str">
        <f>_xll.BDP($A182,"TRAILING_12M_R&amp;D_%_SALES",$A$1,$A$2)</f>
        <v>#N/A Field Not Applicable</v>
      </c>
      <c r="V182" s="6">
        <v>35</v>
      </c>
      <c r="W182" s="6">
        <v>352020</v>
      </c>
      <c r="X182" s="6">
        <v>35202010</v>
      </c>
      <c r="Y182" s="7" t="s">
        <v>86</v>
      </c>
      <c r="Z182" s="7" t="s">
        <v>271</v>
      </c>
      <c r="AA182" s="7" t="s">
        <v>271</v>
      </c>
      <c r="AB182" s="6">
        <v>56.292125701904297</v>
      </c>
      <c r="AC182" s="6">
        <v>0.52687348768051601</v>
      </c>
      <c r="AD182" s="6">
        <v>20.799974066934013</v>
      </c>
      <c r="AE182" s="6">
        <v>32200</v>
      </c>
      <c r="AF182" s="6">
        <v>25000</v>
      </c>
    </row>
    <row r="183" spans="1:32" s="4" customFormat="1" ht="12.75" x14ac:dyDescent="0.2">
      <c r="A183" s="7" t="s">
        <v>672</v>
      </c>
      <c r="B183" s="7" t="s">
        <v>673</v>
      </c>
      <c r="C183" s="7" t="s">
        <v>674</v>
      </c>
      <c r="D183" s="6">
        <v>-0.46766549348831205</v>
      </c>
      <c r="E183" s="6">
        <v>-0.9135856032371521</v>
      </c>
      <c r="F183" s="6">
        <v>0.24107022583484602</v>
      </c>
      <c r="G183" s="6">
        <v>0.65679186582565308</v>
      </c>
      <c r="H183" s="6">
        <v>0.19429814815521201</v>
      </c>
      <c r="I183" s="6">
        <v>-0.14282956719398501</v>
      </c>
      <c r="J183" s="6">
        <v>1.3409372568130491</v>
      </c>
      <c r="K183" s="6">
        <v>-0.35929855704307601</v>
      </c>
      <c r="L183" s="6">
        <v>1.2739740610122681</v>
      </c>
      <c r="M183" s="6">
        <v>-1.0183300971984861</v>
      </c>
      <c r="N183" s="6">
        <v>2.2371319666318512</v>
      </c>
      <c r="O183" s="6">
        <v>2.1362083587063312</v>
      </c>
      <c r="P183" s="6">
        <v>0.92535879521807807</v>
      </c>
      <c r="Q183" s="6">
        <v>0.83080729435746703</v>
      </c>
      <c r="R183" s="6">
        <v>8.2877178070121644</v>
      </c>
      <c r="S183" s="6">
        <v>7.673833374863527</v>
      </c>
      <c r="T183" s="6">
        <v>8.6436891555786133</v>
      </c>
      <c r="U183" s="6" t="str">
        <f>_xll.BDP($A183,"TRAILING_12M_R&amp;D_%_SALES",$A$1,$A$2)</f>
        <v>#N/A N/A</v>
      </c>
      <c r="V183" s="6">
        <v>40</v>
      </c>
      <c r="W183" s="6">
        <v>401010</v>
      </c>
      <c r="X183" s="6">
        <v>40101015</v>
      </c>
      <c r="Y183" s="7" t="s">
        <v>53</v>
      </c>
      <c r="Z183" s="7" t="s">
        <v>76</v>
      </c>
      <c r="AA183" s="7" t="s">
        <v>675</v>
      </c>
      <c r="AB183" s="6">
        <v>53.163665771484375</v>
      </c>
      <c r="AC183" s="6">
        <v>1.0151002136902441</v>
      </c>
      <c r="AD183" s="6">
        <v>-13.416453107918425</v>
      </c>
      <c r="AE183" s="6">
        <v>17463</v>
      </c>
      <c r="AF183" s="6">
        <v>17639</v>
      </c>
    </row>
    <row r="184" spans="1:32" s="4" customFormat="1" ht="12.75" x14ac:dyDescent="0.2">
      <c r="A184" s="7" t="s">
        <v>676</v>
      </c>
      <c r="B184" s="7" t="s">
        <v>677</v>
      </c>
      <c r="C184" s="7" t="s">
        <v>678</v>
      </c>
      <c r="D184" s="6">
        <v>-0.306543439626694</v>
      </c>
      <c r="E184" s="6">
        <v>-0.46576431393623402</v>
      </c>
      <c r="F184" s="6">
        <v>1.359732389450073</v>
      </c>
      <c r="G184" s="6">
        <v>-0.86536693572998002</v>
      </c>
      <c r="H184" s="6">
        <v>-0.35340860486030601</v>
      </c>
      <c r="I184" s="6">
        <v>3.9305541664362002E-2</v>
      </c>
      <c r="J184" s="6">
        <v>-9.5582164824009011E-2</v>
      </c>
      <c r="K184" s="6">
        <v>-0.38640850782394404</v>
      </c>
      <c r="L184" s="6">
        <v>8.1790708005428009E-2</v>
      </c>
      <c r="M184" s="6">
        <v>-0.34658348560333302</v>
      </c>
      <c r="N184" s="6">
        <v>3.4554657094468251</v>
      </c>
      <c r="O184" s="6">
        <v>3.3956985713856329</v>
      </c>
      <c r="P184" s="6">
        <v>3.4789752976907411</v>
      </c>
      <c r="Q184" s="6">
        <v>3.1901727137944911</v>
      </c>
      <c r="R184" s="6">
        <v>23.402501662342697</v>
      </c>
      <c r="S184" s="6">
        <v>18.933671897799918</v>
      </c>
      <c r="T184" s="6">
        <v>16.152370452880859</v>
      </c>
      <c r="U184" s="6" t="str">
        <f>_xll.BDP($A184,"TRAILING_12M_R&amp;D_%_SALES",$A$1,$A$2)</f>
        <v>#N/A N/A</v>
      </c>
      <c r="V184" s="6">
        <v>25</v>
      </c>
      <c r="W184" s="6">
        <v>252030</v>
      </c>
      <c r="X184" s="6">
        <v>25203010</v>
      </c>
      <c r="Y184" s="7" t="s">
        <v>108</v>
      </c>
      <c r="Z184" s="7" t="s">
        <v>155</v>
      </c>
      <c r="AA184" s="7" t="s">
        <v>156</v>
      </c>
      <c r="AB184" s="6">
        <v>56.211650848388672</v>
      </c>
      <c r="AC184" s="6">
        <v>0.84146367403474009</v>
      </c>
      <c r="AD184" s="6">
        <v>-10.927027116678435</v>
      </c>
      <c r="AE184" s="6">
        <v>35853</v>
      </c>
      <c r="AF184" s="6">
        <v>28580</v>
      </c>
    </row>
    <row r="185" spans="1:32" s="4" customFormat="1" ht="12.75" x14ac:dyDescent="0.2">
      <c r="A185" s="7" t="s">
        <v>679</v>
      </c>
      <c r="B185" s="7" t="s">
        <v>680</v>
      </c>
      <c r="C185" s="7" t="s">
        <v>681</v>
      </c>
      <c r="D185" s="6">
        <v>-0.306543439626694</v>
      </c>
      <c r="E185" s="6">
        <v>-0.46576431393623402</v>
      </c>
      <c r="F185" s="6">
        <v>1.359732389450073</v>
      </c>
      <c r="G185" s="6">
        <v>-0.86536693572998002</v>
      </c>
      <c r="H185" s="6">
        <v>-0.35340860486030601</v>
      </c>
      <c r="I185" s="6">
        <v>3.9305541664362002E-2</v>
      </c>
      <c r="J185" s="6">
        <v>-9.5582164824009011E-2</v>
      </c>
      <c r="K185" s="6">
        <v>-0.38640850782394404</v>
      </c>
      <c r="L185" s="6">
        <v>8.1790708005428009E-2</v>
      </c>
      <c r="M185" s="6">
        <v>-0.34658348560333302</v>
      </c>
      <c r="N185" s="6">
        <v>3.4554657094468251</v>
      </c>
      <c r="O185" s="6">
        <v>3.3137600452045248</v>
      </c>
      <c r="P185" s="6">
        <v>3.4789752976907411</v>
      </c>
      <c r="Q185" s="6"/>
      <c r="R185" s="6">
        <v>23.402501662342697</v>
      </c>
      <c r="S185" s="6">
        <v>16.807203862637177</v>
      </c>
      <c r="T185" s="6">
        <v>16.152370452880859</v>
      </c>
      <c r="U185" s="6" t="str">
        <f>_xll.BDP($A185,"TRAILING_12M_R&amp;D_%_SALES",$A$1,$A$2)</f>
        <v>#N/A N/A</v>
      </c>
      <c r="V185" s="6">
        <v>25</v>
      </c>
      <c r="W185" s="6">
        <v>252030</v>
      </c>
      <c r="X185" s="6">
        <v>25203010</v>
      </c>
      <c r="Y185" s="7" t="s">
        <v>108</v>
      </c>
      <c r="Z185" s="7" t="s">
        <v>155</v>
      </c>
      <c r="AA185" s="7" t="s">
        <v>156</v>
      </c>
      <c r="AB185" s="6">
        <v>56.211650848388672</v>
      </c>
      <c r="AC185" s="6">
        <v>1.110115437949277</v>
      </c>
      <c r="AD185" s="6">
        <v>-11.076712223682694</v>
      </c>
      <c r="AE185" s="6">
        <v>35853</v>
      </c>
      <c r="AF185" s="6">
        <v>28580</v>
      </c>
    </row>
    <row r="186" spans="1:32" s="4" customFormat="1" ht="12.75" x14ac:dyDescent="0.2">
      <c r="A186" s="7" t="s">
        <v>682</v>
      </c>
      <c r="B186" s="7" t="s">
        <v>683</v>
      </c>
      <c r="C186" s="7" t="s">
        <v>684</v>
      </c>
      <c r="D186" s="6">
        <v>-0.71502226591110207</v>
      </c>
      <c r="E186" s="6">
        <v>-0.44130459427833602</v>
      </c>
      <c r="F186" s="6">
        <v>-4.7025069594383004E-2</v>
      </c>
      <c r="G186" s="6">
        <v>-0.85309076309204102</v>
      </c>
      <c r="H186" s="6">
        <v>0.10639484971761701</v>
      </c>
      <c r="I186" s="6">
        <v>-0.143935471773148</v>
      </c>
      <c r="J186" s="6">
        <v>0.21046800911426503</v>
      </c>
      <c r="K186" s="6">
        <v>-4.4840674847364002E-2</v>
      </c>
      <c r="L186" s="6">
        <v>-6.8814165890217008E-2</v>
      </c>
      <c r="M186" s="6">
        <v>-0.51763468980789207</v>
      </c>
      <c r="N186" s="6">
        <v>1.314081562671447</v>
      </c>
      <c r="O186" s="6">
        <v>1.17045718052486</v>
      </c>
      <c r="P186" s="6">
        <v>3.007882996643835</v>
      </c>
      <c r="Q186" s="6"/>
      <c r="R186" s="6">
        <v>19.152586926268999</v>
      </c>
      <c r="S186" s="6">
        <v>13.691584007269766</v>
      </c>
      <c r="T186" s="6">
        <v>17.683589935302734</v>
      </c>
      <c r="U186" s="6" t="str">
        <f>_xll.BDP($A186,"TRAILING_12M_R&amp;D_%_SALES",$A$1,$A$2)</f>
        <v>#N/A N/A</v>
      </c>
      <c r="V186" s="6">
        <v>45</v>
      </c>
      <c r="W186" s="6">
        <v>451020</v>
      </c>
      <c r="X186" s="6">
        <v>45102010</v>
      </c>
      <c r="Y186" s="7" t="s">
        <v>66</v>
      </c>
      <c r="Z186" s="7" t="s">
        <v>138</v>
      </c>
      <c r="AA186" s="7" t="s">
        <v>139</v>
      </c>
      <c r="AB186" s="6">
        <v>61.704055786132813</v>
      </c>
      <c r="AC186" s="6">
        <v>1.1149906277153609</v>
      </c>
      <c r="AD186" s="6">
        <v>-30.703616043964633</v>
      </c>
      <c r="AE186" s="6">
        <v>324700</v>
      </c>
      <c r="AF186" s="6">
        <v>193077</v>
      </c>
    </row>
    <row r="187" spans="1:32" s="4" customFormat="1" ht="12.75" x14ac:dyDescent="0.2">
      <c r="A187" s="7" t="s">
        <v>685</v>
      </c>
      <c r="B187" s="7" t="s">
        <v>686</v>
      </c>
      <c r="C187" s="7" t="s">
        <v>687</v>
      </c>
      <c r="D187" s="6">
        <v>-0.99022960662841808</v>
      </c>
      <c r="E187" s="6">
        <v>-0.40089493989944502</v>
      </c>
      <c r="F187" s="6">
        <v>0.155993327498436</v>
      </c>
      <c r="G187" s="6">
        <v>-0.63019698858261108</v>
      </c>
      <c r="H187" s="6">
        <v>0.7570416331291201</v>
      </c>
      <c r="I187" s="6">
        <v>-0.43727377057075506</v>
      </c>
      <c r="J187" s="6">
        <v>2.5130236148834229</v>
      </c>
      <c r="K187" s="6">
        <v>0.134284287691116</v>
      </c>
      <c r="L187" s="6">
        <v>3.000019788742065</v>
      </c>
      <c r="M187" s="6">
        <v>-0.28683409094810502</v>
      </c>
      <c r="N187" s="6">
        <v>0.73365066002744406</v>
      </c>
      <c r="O187" s="6"/>
      <c r="P187" s="6">
        <v>0.39158774943561103</v>
      </c>
      <c r="Q187" s="6"/>
      <c r="R187" s="6">
        <v>3.8943265603444699</v>
      </c>
      <c r="S187" s="6"/>
      <c r="T187" s="6">
        <v>10.573369979858398</v>
      </c>
      <c r="U187" s="6" t="str">
        <f>_xll.BDP($A187,"TRAILING_12M_R&amp;D_%_SALES",$A$1,$A$2)</f>
        <v>#N/A N/A</v>
      </c>
      <c r="V187" s="6">
        <v>40</v>
      </c>
      <c r="W187" s="6">
        <v>402030</v>
      </c>
      <c r="X187" s="6">
        <v>40203020</v>
      </c>
      <c r="Y187" s="7" t="s">
        <v>53</v>
      </c>
      <c r="Z187" s="7" t="s">
        <v>298</v>
      </c>
      <c r="AA187" s="7" t="s">
        <v>688</v>
      </c>
      <c r="AB187" s="6">
        <v>49.461826324462891</v>
      </c>
      <c r="AC187" s="6">
        <v>0.29993829582412801</v>
      </c>
      <c r="AD187" s="6"/>
      <c r="AE187" s="6">
        <v>12661</v>
      </c>
      <c r="AF187" s="6">
        <v>9473</v>
      </c>
    </row>
    <row r="188" spans="1:32" s="4" customFormat="1" ht="12.75" x14ac:dyDescent="0.2">
      <c r="A188" s="7" t="s">
        <v>689</v>
      </c>
      <c r="B188" s="7" t="s">
        <v>690</v>
      </c>
      <c r="C188" s="7" t="s">
        <v>691</v>
      </c>
      <c r="D188" s="6">
        <v>0.52190119028091408</v>
      </c>
      <c r="E188" s="6">
        <v>-0.85985469818115212</v>
      </c>
      <c r="F188" s="6">
        <v>0.32587721943855302</v>
      </c>
      <c r="G188" s="6">
        <v>-0.94936698675155606</v>
      </c>
      <c r="H188" s="6">
        <v>1.3403023481369021</v>
      </c>
      <c r="I188" s="6">
        <v>0.40139326453208901</v>
      </c>
      <c r="J188" s="6">
        <v>2.166385173797607</v>
      </c>
      <c r="K188" s="6">
        <v>-0.58484464883804299</v>
      </c>
      <c r="L188" s="6">
        <v>3.00003981590271</v>
      </c>
      <c r="M188" s="6">
        <v>-0.8797583580017091</v>
      </c>
      <c r="N188" s="6">
        <v>0.50043941143241899</v>
      </c>
      <c r="O188" s="6">
        <v>0.96457456543281506</v>
      </c>
      <c r="P188" s="6">
        <v>0.27744298410840301</v>
      </c>
      <c r="Q188" s="6">
        <v>0.25629398749480103</v>
      </c>
      <c r="R188" s="6">
        <v>2.585965282791951</v>
      </c>
      <c r="S188" s="6">
        <v>2.470158005199016</v>
      </c>
      <c r="T188" s="6">
        <v>11.781660079956055</v>
      </c>
      <c r="U188" s="6" t="str">
        <f>_xll.BDP($A188,"TRAILING_12M_R&amp;D_%_SALES",$A$1,$A$2)</f>
        <v>#N/A N/A</v>
      </c>
      <c r="V188" s="6">
        <v>40</v>
      </c>
      <c r="W188" s="6">
        <v>401010</v>
      </c>
      <c r="X188" s="6">
        <v>40101010</v>
      </c>
      <c r="Y188" s="7" t="s">
        <v>53</v>
      </c>
      <c r="Z188" s="7" t="s">
        <v>76</v>
      </c>
      <c r="AA188" s="7" t="s">
        <v>77</v>
      </c>
      <c r="AB188" s="6">
        <v>55.135299682617188</v>
      </c>
      <c r="AC188" s="6">
        <v>0.47075797487371701</v>
      </c>
      <c r="AD188" s="6">
        <v>23.992680583915906</v>
      </c>
      <c r="AE188" s="6">
        <v>59258</v>
      </c>
      <c r="AF188" s="6">
        <v>58023</v>
      </c>
    </row>
    <row r="189" spans="1:32" s="4" customFormat="1" ht="12.75" x14ac:dyDescent="0.2">
      <c r="A189" s="7" t="s">
        <v>692</v>
      </c>
      <c r="B189" s="7" t="s">
        <v>693</v>
      </c>
      <c r="C189" s="7" t="s">
        <v>694</v>
      </c>
      <c r="D189" s="6">
        <v>0.52190119028091408</v>
      </c>
      <c r="E189" s="6">
        <v>-0.85985469818115212</v>
      </c>
      <c r="F189" s="6">
        <v>0.32587721943855302</v>
      </c>
      <c r="G189" s="6">
        <v>-0.94936698675155606</v>
      </c>
      <c r="H189" s="6">
        <v>1.3403023481369021</v>
      </c>
      <c r="I189" s="6">
        <v>0.40139326453208901</v>
      </c>
      <c r="J189" s="6">
        <v>2.166385173797607</v>
      </c>
      <c r="K189" s="6">
        <v>-0.58484464883804299</v>
      </c>
      <c r="L189" s="6">
        <v>3.00003981590271</v>
      </c>
      <c r="M189" s="6">
        <v>-0.8797583580017091</v>
      </c>
      <c r="N189" s="6">
        <v>0.50043941143241899</v>
      </c>
      <c r="O189" s="6"/>
      <c r="P189" s="6">
        <v>0.27744298410840301</v>
      </c>
      <c r="Q189" s="6"/>
      <c r="R189" s="6">
        <v>2.585965282791951</v>
      </c>
      <c r="S189" s="6"/>
      <c r="T189" s="6">
        <v>11.781660079956055</v>
      </c>
      <c r="U189" s="6" t="str">
        <f>_xll.BDP($A189,"TRAILING_12M_R&amp;D_%_SALES",$A$1,$A$2)</f>
        <v>#N/A N/A</v>
      </c>
      <c r="V189" s="6">
        <v>40</v>
      </c>
      <c r="W189" s="6">
        <v>401010</v>
      </c>
      <c r="X189" s="6">
        <v>40101010</v>
      </c>
      <c r="Y189" s="7" t="s">
        <v>53</v>
      </c>
      <c r="Z189" s="7" t="s">
        <v>76</v>
      </c>
      <c r="AA189" s="7" t="s">
        <v>77</v>
      </c>
      <c r="AB189" s="6">
        <v>55.135299682617188</v>
      </c>
      <c r="AC189" s="6">
        <v>0.31115564848320104</v>
      </c>
      <c r="AD189" s="6">
        <v>10.800098950009174</v>
      </c>
      <c r="AE189" s="6">
        <v>59258</v>
      </c>
      <c r="AF189" s="6">
        <v>58023</v>
      </c>
    </row>
    <row r="190" spans="1:32" s="4" customFormat="1" ht="12.75" x14ac:dyDescent="0.2">
      <c r="A190" s="7" t="s">
        <v>695</v>
      </c>
      <c r="B190" s="7" t="s">
        <v>696</v>
      </c>
      <c r="C190" s="7" t="s">
        <v>697</v>
      </c>
      <c r="D190" s="6">
        <v>-0.82739710807800304</v>
      </c>
      <c r="E190" s="6">
        <v>-2.0673573017120361</v>
      </c>
      <c r="F190" s="6">
        <v>0.348202794790268</v>
      </c>
      <c r="G190" s="6">
        <v>-0.80027914047241211</v>
      </c>
      <c r="H190" s="6">
        <v>1.756887674331665</v>
      </c>
      <c r="I190" s="6">
        <v>0.64663583040237405</v>
      </c>
      <c r="J190" s="6">
        <v>-1.0315902233123779</v>
      </c>
      <c r="K190" s="6">
        <v>-1.3685756362975001E-2</v>
      </c>
      <c r="L190" s="6">
        <v>-0.81727248430252109</v>
      </c>
      <c r="M190" s="6">
        <v>-0.38055902719497703</v>
      </c>
      <c r="N190" s="6">
        <v>0.8186695293656111</v>
      </c>
      <c r="O190" s="6">
        <v>0.85350912089094011</v>
      </c>
      <c r="P190" s="6">
        <v>1.507649908755802</v>
      </c>
      <c r="Q190" s="6">
        <v>1.57935333565504</v>
      </c>
      <c r="R190" s="6"/>
      <c r="S190" s="6">
        <v>100.42212680080758</v>
      </c>
      <c r="T190" s="6">
        <v>-37.647640228271484</v>
      </c>
      <c r="U190" s="6">
        <f>_xll.BDP($A190,"TRAILING_12M_R&amp;D_%_SALES",$A$1,$A$2)</f>
        <v>0.29354822129195485</v>
      </c>
      <c r="V190" s="6">
        <v>20</v>
      </c>
      <c r="W190" s="6">
        <v>203020</v>
      </c>
      <c r="X190" s="6">
        <v>20302010</v>
      </c>
      <c r="Y190" s="7" t="s">
        <v>43</v>
      </c>
      <c r="Z190" s="7" t="s">
        <v>62</v>
      </c>
      <c r="AA190" s="7" t="s">
        <v>62</v>
      </c>
      <c r="AB190" s="6">
        <v>52.660697937011719</v>
      </c>
      <c r="AC190" s="6">
        <v>0.45661566452574304</v>
      </c>
      <c r="AD190" s="6">
        <v>4.8166610870098658</v>
      </c>
      <c r="AE190" s="6">
        <v>98098</v>
      </c>
      <c r="AF190" s="6">
        <v>93132</v>
      </c>
    </row>
    <row r="191" spans="1:32" s="4" customFormat="1" ht="12.75" x14ac:dyDescent="0.2">
      <c r="A191" s="7" t="s">
        <v>698</v>
      </c>
      <c r="B191" s="7" t="s">
        <v>699</v>
      </c>
      <c r="C191" s="7" t="s">
        <v>700</v>
      </c>
      <c r="D191" s="6">
        <v>0.16995985805988301</v>
      </c>
      <c r="E191" s="6">
        <v>0.10947891324758501</v>
      </c>
      <c r="F191" s="6">
        <v>-0.62101209163665805</v>
      </c>
      <c r="G191" s="6">
        <v>0.25771316885948203</v>
      </c>
      <c r="H191" s="6">
        <v>2.1788203716278081</v>
      </c>
      <c r="I191" s="6">
        <v>-1.4890109300613401</v>
      </c>
      <c r="J191" s="6">
        <v>0.8223019242286681</v>
      </c>
      <c r="K191" s="6">
        <v>-0.91344243288040206</v>
      </c>
      <c r="L191" s="6">
        <v>-0.81727248430252109</v>
      </c>
      <c r="M191" s="6">
        <v>-0.72674649953842207</v>
      </c>
      <c r="N191" s="6">
        <v>1.055637426978365</v>
      </c>
      <c r="O191" s="6">
        <v>1.106690728145467</v>
      </c>
      <c r="P191" s="6">
        <v>5.9386289122865898</v>
      </c>
      <c r="Q191" s="6">
        <v>3.9243217068232061</v>
      </c>
      <c r="R191" s="6">
        <v>10.006602821168567</v>
      </c>
      <c r="S191" s="6">
        <v>9.6093591020208891</v>
      </c>
      <c r="T191" s="6">
        <v>42.200702667236328</v>
      </c>
      <c r="U191" s="6">
        <f>_xll.BDP($A191,"TRAILING_12M_R&amp;D_%_SALES",$A$1,$A$2)</f>
        <v>0</v>
      </c>
      <c r="V191" s="6">
        <v>50</v>
      </c>
      <c r="W191" s="6">
        <v>502010</v>
      </c>
      <c r="X191" s="6">
        <v>50201030</v>
      </c>
      <c r="Y191" s="7" t="s">
        <v>367</v>
      </c>
      <c r="Z191" s="7" t="s">
        <v>701</v>
      </c>
      <c r="AA191" s="7" t="s">
        <v>702</v>
      </c>
      <c r="AB191" s="6">
        <v>39.865203857421875</v>
      </c>
      <c r="AC191" s="6">
        <v>0.91870303123491404</v>
      </c>
      <c r="AD191" s="6">
        <v>-48.404665614666186</v>
      </c>
      <c r="AE191" s="6">
        <v>93700</v>
      </c>
      <c r="AF191" s="6">
        <v>91500</v>
      </c>
    </row>
    <row r="192" spans="1:32" s="4" customFormat="1" ht="12.75" x14ac:dyDescent="0.2">
      <c r="A192" s="7" t="s">
        <v>703</v>
      </c>
      <c r="B192" s="7" t="s">
        <v>704</v>
      </c>
      <c r="C192" s="7" t="s">
        <v>705</v>
      </c>
      <c r="D192" s="6">
        <v>0.188314184546471</v>
      </c>
      <c r="E192" s="6">
        <v>-0.7516786456108091</v>
      </c>
      <c r="F192" s="6">
        <v>3.0001339912414551</v>
      </c>
      <c r="G192" s="6">
        <v>-0.23295040428638503</v>
      </c>
      <c r="H192" s="6">
        <v>0.5856769680976871</v>
      </c>
      <c r="I192" s="6">
        <v>0.322124123573303</v>
      </c>
      <c r="J192" s="6">
        <v>1.298521876335144</v>
      </c>
      <c r="K192" s="6">
        <v>-0.61201119422912609</v>
      </c>
      <c r="L192" s="6">
        <v>2.6736776828765869</v>
      </c>
      <c r="M192" s="6">
        <v>-0.80928385257720903</v>
      </c>
      <c r="N192" s="6">
        <v>0.31237284272549704</v>
      </c>
      <c r="O192" s="6"/>
      <c r="P192" s="6">
        <v>0.66971881839614911</v>
      </c>
      <c r="Q192" s="6"/>
      <c r="R192" s="6">
        <v>7.0860367493124743</v>
      </c>
      <c r="S192" s="6"/>
      <c r="T192" s="6">
        <v>9.7771749496459961</v>
      </c>
      <c r="U192" s="6">
        <f>_xll.BDP($A192,"TRAILING_12M_R&amp;D_%_SALES",$A$1,$A$2)</f>
        <v>0</v>
      </c>
      <c r="V192" s="6">
        <v>60</v>
      </c>
      <c r="W192" s="6">
        <v>602010</v>
      </c>
      <c r="X192" s="6">
        <v>60201030</v>
      </c>
      <c r="Y192" s="7" t="s">
        <v>307</v>
      </c>
      <c r="Z192" s="7" t="s">
        <v>615</v>
      </c>
      <c r="AA192" s="7" t="s">
        <v>616</v>
      </c>
      <c r="AB192" s="6">
        <v>54.038829803466797</v>
      </c>
      <c r="AC192" s="6">
        <v>0.159146320894855</v>
      </c>
      <c r="AD192" s="6"/>
      <c r="AE192" s="6">
        <v>139494</v>
      </c>
      <c r="AF192" s="6">
        <v>58280</v>
      </c>
    </row>
    <row r="193" spans="1:32" s="4" customFormat="1" ht="12.75" x14ac:dyDescent="0.2">
      <c r="A193" s="7" t="s">
        <v>706</v>
      </c>
      <c r="B193" s="7" t="s">
        <v>707</v>
      </c>
      <c r="C193" s="7" t="s">
        <v>708</v>
      </c>
      <c r="D193" s="6">
        <v>0.59445267915725708</v>
      </c>
      <c r="E193" s="6">
        <v>-0.65089923143386808</v>
      </c>
      <c r="F193" s="6">
        <v>-0.52104675769805908</v>
      </c>
      <c r="G193" s="6">
        <v>-0.18514329195022602</v>
      </c>
      <c r="H193" s="6">
        <v>-0.11931389570236201</v>
      </c>
      <c r="I193" s="6">
        <v>1.4750715494155879</v>
      </c>
      <c r="J193" s="6">
        <v>0.366187244653702</v>
      </c>
      <c r="K193" s="6">
        <v>0.608442723751068</v>
      </c>
      <c r="L193" s="6">
        <v>-0.16239123046398202</v>
      </c>
      <c r="M193" s="6">
        <v>2.1334547549486001E-2</v>
      </c>
      <c r="N193" s="6">
        <v>0.58265841687078102</v>
      </c>
      <c r="O193" s="6">
        <v>0.533644716325538</v>
      </c>
      <c r="P193" s="6">
        <v>2.247853665848464</v>
      </c>
      <c r="Q193" s="6">
        <v>2.134321025092595</v>
      </c>
      <c r="R193" s="6">
        <v>17.088618784226036</v>
      </c>
      <c r="S193" s="6">
        <v>13.378831329919244</v>
      </c>
      <c r="T193" s="6">
        <v>14.335468292236328</v>
      </c>
      <c r="U193" s="6">
        <f>_xll.BDP($A193,"TRAILING_12M_R&amp;D_%_SALES",$A$1,$A$2)</f>
        <v>0</v>
      </c>
      <c r="V193" s="6">
        <v>35</v>
      </c>
      <c r="W193" s="6">
        <v>351020</v>
      </c>
      <c r="X193" s="6">
        <v>35102015</v>
      </c>
      <c r="Y193" s="7" t="s">
        <v>86</v>
      </c>
      <c r="Z193" s="7" t="s">
        <v>601</v>
      </c>
      <c r="AA193" s="7" t="s">
        <v>709</v>
      </c>
      <c r="AB193" s="6">
        <v>63.041946411132813</v>
      </c>
      <c r="AC193" s="6">
        <v>0.70855679487464407</v>
      </c>
      <c r="AD193" s="6">
        <v>45.977443667149601</v>
      </c>
      <c r="AE193" s="6">
        <v>73700</v>
      </c>
      <c r="AF193" s="6">
        <v>41000</v>
      </c>
    </row>
    <row r="194" spans="1:32" s="4" customFormat="1" ht="12.75" x14ac:dyDescent="0.2">
      <c r="A194" s="7" t="s">
        <v>710</v>
      </c>
      <c r="B194" s="7" t="s">
        <v>711</v>
      </c>
      <c r="C194" s="7" t="s">
        <v>712</v>
      </c>
      <c r="D194" s="6">
        <v>-0.27682232856750499</v>
      </c>
      <c r="E194" s="6">
        <v>1.0901346206665039</v>
      </c>
      <c r="F194" s="6">
        <v>0.143215522170067</v>
      </c>
      <c r="G194" s="6">
        <v>1.3262073993682861</v>
      </c>
      <c r="H194" s="6">
        <v>-0.19909961521625502</v>
      </c>
      <c r="I194" s="6">
        <v>-0.42801710963249201</v>
      </c>
      <c r="J194" s="6">
        <v>3.000007152557373</v>
      </c>
      <c r="K194" s="6">
        <v>0.76931750774383501</v>
      </c>
      <c r="L194" s="6">
        <v>3.00003981590271</v>
      </c>
      <c r="M194" s="6">
        <v>3.0000665187835689</v>
      </c>
      <c r="N194" s="6">
        <v>0.26934238926475701</v>
      </c>
      <c r="O194" s="6">
        <v>0.60676655493421305</v>
      </c>
      <c r="P194" s="6">
        <v>0.51112861470051307</v>
      </c>
      <c r="Q194" s="6">
        <v>0.50107421061709601</v>
      </c>
      <c r="R194" s="6">
        <v>0.94907078947154411</v>
      </c>
      <c r="S194" s="6">
        <v>3.0453789991494782</v>
      </c>
      <c r="T194" s="6">
        <v>71.366325378417969</v>
      </c>
      <c r="U194" s="6">
        <f>_xll.BDP($A194,"TRAILING_12M_R&amp;D_%_SALES",$A$1,$A$2)</f>
        <v>0.51631454303082891</v>
      </c>
      <c r="V194" s="6">
        <v>20</v>
      </c>
      <c r="W194" s="6">
        <v>203030</v>
      </c>
      <c r="X194" s="6">
        <v>20303010</v>
      </c>
      <c r="Y194" s="7" t="s">
        <v>43</v>
      </c>
      <c r="Z194" s="7" t="s">
        <v>288</v>
      </c>
      <c r="AA194" s="7" t="s">
        <v>288</v>
      </c>
      <c r="AB194" s="6">
        <v>61.653755187988281</v>
      </c>
      <c r="AC194" s="6">
        <v>0.51042230770820607</v>
      </c>
      <c r="AD194" s="6">
        <v>-28.540315997920771</v>
      </c>
      <c r="AE194" s="6">
        <v>30980</v>
      </c>
      <c r="AF194" s="6">
        <v>20790</v>
      </c>
    </row>
    <row r="195" spans="1:32" s="4" customFormat="1" ht="12.75" x14ac:dyDescent="0.2">
      <c r="A195" s="7" t="s">
        <v>713</v>
      </c>
      <c r="B195" s="7" t="s">
        <v>714</v>
      </c>
      <c r="C195" s="7" t="s">
        <v>715</v>
      </c>
      <c r="D195" s="6">
        <v>-0.27682232856750499</v>
      </c>
      <c r="E195" s="6">
        <v>1.0901346206665039</v>
      </c>
      <c r="F195" s="6">
        <v>0.143215522170067</v>
      </c>
      <c r="G195" s="6">
        <v>1.3262073993682861</v>
      </c>
      <c r="H195" s="6">
        <v>-0.19909961521625502</v>
      </c>
      <c r="I195" s="6">
        <v>-0.42801710963249201</v>
      </c>
      <c r="J195" s="6">
        <v>3.000007152557373</v>
      </c>
      <c r="K195" s="6">
        <v>0.76931750774383501</v>
      </c>
      <c r="L195" s="6">
        <v>3.00003981590271</v>
      </c>
      <c r="M195" s="6">
        <v>3.0000665187835689</v>
      </c>
      <c r="N195" s="6">
        <v>0.26934238926475701</v>
      </c>
      <c r="O195" s="6"/>
      <c r="P195" s="6">
        <v>0.51112861470051307</v>
      </c>
      <c r="Q195" s="6"/>
      <c r="R195" s="6">
        <v>0.94907078947154411</v>
      </c>
      <c r="S195" s="6"/>
      <c r="T195" s="6">
        <v>71.366325378417969</v>
      </c>
      <c r="U195" s="6">
        <f>_xll.BDP($A195,"TRAILING_12M_R&amp;D_%_SALES",$A$1,$A$2)</f>
        <v>0.51631454303082891</v>
      </c>
      <c r="V195" s="6">
        <v>20</v>
      </c>
      <c r="W195" s="6">
        <v>203030</v>
      </c>
      <c r="X195" s="6">
        <v>20303010</v>
      </c>
      <c r="Y195" s="7" t="s">
        <v>43</v>
      </c>
      <c r="Z195" s="7" t="s">
        <v>288</v>
      </c>
      <c r="AA195" s="7" t="s">
        <v>288</v>
      </c>
      <c r="AB195" s="6">
        <v>61.653755187988281</v>
      </c>
      <c r="AC195" s="6">
        <v>0.69825437442574001</v>
      </c>
      <c r="AD195" s="6">
        <v>-25.709260523629762</v>
      </c>
      <c r="AE195" s="6">
        <v>30980</v>
      </c>
      <c r="AF195" s="6">
        <v>20790</v>
      </c>
    </row>
    <row r="196" spans="1:32" s="4" customFormat="1" ht="12.75" x14ac:dyDescent="0.2">
      <c r="A196" s="7" t="s">
        <v>716</v>
      </c>
      <c r="B196" s="7" t="s">
        <v>717</v>
      </c>
      <c r="C196" s="7" t="s">
        <v>718</v>
      </c>
      <c r="D196" s="6">
        <v>-0.7225567102432251</v>
      </c>
      <c r="E196" s="6">
        <v>-0.92110174894332908</v>
      </c>
      <c r="F196" s="6">
        <v>0.97887998819351207</v>
      </c>
      <c r="G196" s="6">
        <v>-0.98045879602432306</v>
      </c>
      <c r="H196" s="6">
        <v>0.86320644617080711</v>
      </c>
      <c r="I196" s="6">
        <v>-0.95081245899200406</v>
      </c>
      <c r="J196" s="6">
        <v>1.516135692596436</v>
      </c>
      <c r="K196" s="6">
        <v>-6.2656372785568001E-2</v>
      </c>
      <c r="L196" s="6">
        <v>1.890141606330872</v>
      </c>
      <c r="M196" s="6">
        <v>-0.67679542303085305</v>
      </c>
      <c r="N196" s="6">
        <v>0.11347166670489101</v>
      </c>
      <c r="O196" s="6">
        <v>6.6267483688112E-2</v>
      </c>
      <c r="P196" s="6">
        <v>0.41754927471609804</v>
      </c>
      <c r="Q196" s="6"/>
      <c r="R196" s="6">
        <v>6.8351212417468545</v>
      </c>
      <c r="S196" s="6"/>
      <c r="T196" s="6">
        <v>5.8225178718566895</v>
      </c>
      <c r="U196" s="6" t="str">
        <f>_xll.BDP($A196,"TRAILING_12M_R&amp;D_%_SALES",$A$1,$A$2)</f>
        <v>#N/A N/A</v>
      </c>
      <c r="V196" s="6">
        <v>40</v>
      </c>
      <c r="W196" s="6">
        <v>403010</v>
      </c>
      <c r="X196" s="6">
        <v>40301020</v>
      </c>
      <c r="Y196" s="7" t="s">
        <v>53</v>
      </c>
      <c r="Z196" s="7" t="s">
        <v>54</v>
      </c>
      <c r="AA196" s="7" t="s">
        <v>55</v>
      </c>
      <c r="AB196" s="6">
        <v>51.815711975097656</v>
      </c>
      <c r="AC196" s="6">
        <v>0.29954614622749104</v>
      </c>
      <c r="AD196" s="6"/>
      <c r="AE196" s="6">
        <v>68446</v>
      </c>
      <c r="AF196" s="6">
        <v>60270</v>
      </c>
    </row>
    <row r="197" spans="1:32" s="4" customFormat="1" ht="12.75" x14ac:dyDescent="0.2">
      <c r="A197" s="7" t="s">
        <v>719</v>
      </c>
      <c r="B197" s="7" t="s">
        <v>720</v>
      </c>
      <c r="C197" s="7" t="s">
        <v>721</v>
      </c>
      <c r="D197" s="6">
        <v>0.100347265601158</v>
      </c>
      <c r="E197" s="6">
        <v>-0.93718320131301902</v>
      </c>
      <c r="F197" s="6">
        <v>2.5948948860168461</v>
      </c>
      <c r="G197" s="6">
        <v>-0.90517634153366111</v>
      </c>
      <c r="H197" s="6">
        <v>0.75240814685821511</v>
      </c>
      <c r="I197" s="6">
        <v>1.4809972047805791</v>
      </c>
      <c r="J197" s="6">
        <v>1.847899913787842</v>
      </c>
      <c r="K197" s="6">
        <v>-0.29236060380935702</v>
      </c>
      <c r="L197" s="6">
        <v>0.75636988878250111</v>
      </c>
      <c r="M197" s="6">
        <v>-0.41912227869033802</v>
      </c>
      <c r="N197" s="6">
        <v>2.2733012746327068</v>
      </c>
      <c r="O197" s="6">
        <v>2.320951164920432</v>
      </c>
      <c r="P197" s="6">
        <v>0.81541234976548604</v>
      </c>
      <c r="Q197" s="6">
        <v>0.7709236627987851</v>
      </c>
      <c r="R197" s="6">
        <v>10.233571384907336</v>
      </c>
      <c r="S197" s="6">
        <v>8.8054183996805495</v>
      </c>
      <c r="T197" s="6">
        <v>8.3130216598510742</v>
      </c>
      <c r="U197" s="6" t="str">
        <f>_xll.BDP($A197,"TRAILING_12M_R&amp;D_%_SALES",$A$1,$A$2)</f>
        <v>#N/A N/A</v>
      </c>
      <c r="V197" s="6">
        <v>40</v>
      </c>
      <c r="W197" s="6">
        <v>401010</v>
      </c>
      <c r="X197" s="6">
        <v>40101010</v>
      </c>
      <c r="Y197" s="7" t="s">
        <v>53</v>
      </c>
      <c r="Z197" s="7" t="s">
        <v>76</v>
      </c>
      <c r="AA197" s="7" t="s">
        <v>77</v>
      </c>
      <c r="AB197" s="6">
        <v>72.910171508789063</v>
      </c>
      <c r="AC197" s="6">
        <v>0.31232065805067105</v>
      </c>
      <c r="AD197" s="6">
        <v>54.012615306538066</v>
      </c>
      <c r="AE197" s="6">
        <v>49762</v>
      </c>
      <c r="AF197" s="6">
        <v>29861</v>
      </c>
    </row>
    <row r="198" spans="1:32" s="4" customFormat="1" ht="12.75" x14ac:dyDescent="0.2">
      <c r="A198" s="7" t="s">
        <v>722</v>
      </c>
      <c r="B198" s="7" t="s">
        <v>723</v>
      </c>
      <c r="C198" s="7" t="s">
        <v>724</v>
      </c>
      <c r="D198" s="6">
        <v>-0.98098546266555808</v>
      </c>
      <c r="E198" s="6">
        <v>-0.520013928413391</v>
      </c>
      <c r="F198" s="6">
        <v>-0.79158347845077504</v>
      </c>
      <c r="G198" s="6">
        <v>-0.98933774232864413</v>
      </c>
      <c r="H198" s="6">
        <v>0.85798168182373002</v>
      </c>
      <c r="I198" s="6">
        <v>0.43071228265762301</v>
      </c>
      <c r="J198" s="6">
        <v>1.2341659069061279</v>
      </c>
      <c r="K198" s="6">
        <v>0.53412252664566007</v>
      </c>
      <c r="L198" s="6">
        <v>0.7255001068115231</v>
      </c>
      <c r="M198" s="6">
        <v>-0.14180004596710202</v>
      </c>
      <c r="N198" s="6">
        <v>0.20861807938890803</v>
      </c>
      <c r="O198" s="6"/>
      <c r="P198" s="6">
        <v>0.369322330328889</v>
      </c>
      <c r="Q198" s="6"/>
      <c r="R198" s="6">
        <v>6.3686612592707927</v>
      </c>
      <c r="S198" s="6"/>
      <c r="T198" s="6">
        <v>5.8681831359863281</v>
      </c>
      <c r="U198" s="6">
        <f>_xll.BDP($A198,"TRAILING_12M_R&amp;D_%_SALES",$A$1,$A$2)</f>
        <v>0</v>
      </c>
      <c r="V198" s="6">
        <v>60</v>
      </c>
      <c r="W198" s="6">
        <v>602010</v>
      </c>
      <c r="X198" s="6">
        <v>60201030</v>
      </c>
      <c r="Y198" s="7" t="s">
        <v>307</v>
      </c>
      <c r="Z198" s="7" t="s">
        <v>615</v>
      </c>
      <c r="AA198" s="7" t="s">
        <v>616</v>
      </c>
      <c r="AB198" s="6">
        <v>53.213962554931641</v>
      </c>
      <c r="AC198" s="6"/>
      <c r="AD198" s="6"/>
      <c r="AE198" s="6">
        <v>12825</v>
      </c>
      <c r="AF198" s="6">
        <v>9736</v>
      </c>
    </row>
    <row r="199" spans="1:32" s="4" customFormat="1" ht="12.75" x14ac:dyDescent="0.2">
      <c r="A199" s="7" t="s">
        <v>725</v>
      </c>
      <c r="B199" s="7" t="s">
        <v>726</v>
      </c>
      <c r="C199" s="7" t="s">
        <v>727</v>
      </c>
      <c r="D199" s="6">
        <v>-0.69000780582428001</v>
      </c>
      <c r="E199" s="6">
        <v>-0.8871796727180481</v>
      </c>
      <c r="F199" s="6">
        <v>2.0498998463154002E-2</v>
      </c>
      <c r="G199" s="6">
        <v>-0.67895364761352506</v>
      </c>
      <c r="H199" s="6">
        <v>1.3086645603179929</v>
      </c>
      <c r="I199" s="6">
        <v>0.29134339094162004</v>
      </c>
      <c r="J199" s="6">
        <v>0.38034060597419705</v>
      </c>
      <c r="K199" s="6">
        <v>-0.97282147407531705</v>
      </c>
      <c r="L199" s="6">
        <v>-0.42847907543182401</v>
      </c>
      <c r="M199" s="6">
        <v>-0.50079131126403809</v>
      </c>
      <c r="N199" s="6">
        <v>2.69732892399582</v>
      </c>
      <c r="O199" s="6">
        <v>2.1799861025749552</v>
      </c>
      <c r="P199" s="6">
        <v>0.8753685280233221</v>
      </c>
      <c r="Q199" s="6">
        <v>0.80971441529761712</v>
      </c>
      <c r="R199" s="6">
        <v>35.642017924328137</v>
      </c>
      <c r="S199" s="6">
        <v>12.275390374363283</v>
      </c>
      <c r="T199" s="6">
        <v>2.475877046585083</v>
      </c>
      <c r="U199" s="6" t="str">
        <f>_xll.BDP($A199,"TRAILING_12M_R&amp;D_%_SALES",$A$1,$A$2)</f>
        <v>#N/A N/A</v>
      </c>
      <c r="V199" s="6">
        <v>20</v>
      </c>
      <c r="W199" s="6">
        <v>203040</v>
      </c>
      <c r="X199" s="6">
        <v>20304010</v>
      </c>
      <c r="Y199" s="7" t="s">
        <v>43</v>
      </c>
      <c r="Z199" s="7" t="s">
        <v>728</v>
      </c>
      <c r="AA199" s="7" t="s">
        <v>729</v>
      </c>
      <c r="AB199" s="6">
        <v>34.030780792236328</v>
      </c>
      <c r="AC199" s="6">
        <v>0.36195430151087804</v>
      </c>
      <c r="AD199" s="6">
        <v>-8.1646014545756707</v>
      </c>
      <c r="AE199" s="6">
        <v>30323</v>
      </c>
      <c r="AF199" s="6">
        <v>28593</v>
      </c>
    </row>
    <row r="200" spans="1:32" s="4" customFormat="1" ht="12.75" x14ac:dyDescent="0.2">
      <c r="A200" s="7" t="s">
        <v>730</v>
      </c>
      <c r="B200" s="7" t="s">
        <v>731</v>
      </c>
      <c r="C200" s="7" t="s">
        <v>732</v>
      </c>
      <c r="D200" s="6">
        <v>-0.69000780582428001</v>
      </c>
      <c r="E200" s="6">
        <v>-0.8871796727180481</v>
      </c>
      <c r="F200" s="6">
        <v>2.0498998463154002E-2</v>
      </c>
      <c r="G200" s="6">
        <v>-0.67895364761352506</v>
      </c>
      <c r="H200" s="6">
        <v>1.3086645603179929</v>
      </c>
      <c r="I200" s="6">
        <v>0.29134339094162004</v>
      </c>
      <c r="J200" s="6">
        <v>0.38034060597419705</v>
      </c>
      <c r="K200" s="6">
        <v>-0.97282147407531705</v>
      </c>
      <c r="L200" s="6">
        <v>-0.42847907543182401</v>
      </c>
      <c r="M200" s="6">
        <v>-0.50079131126403809</v>
      </c>
      <c r="N200" s="6">
        <v>2.69732892399582</v>
      </c>
      <c r="O200" s="6"/>
      <c r="P200" s="6">
        <v>0.8753685280233221</v>
      </c>
      <c r="Q200" s="6"/>
      <c r="R200" s="6">
        <v>35.642017924328137</v>
      </c>
      <c r="S200" s="6"/>
      <c r="T200" s="6">
        <v>2.475877046585083</v>
      </c>
      <c r="U200" s="6" t="str">
        <f>_xll.BDP($A200,"TRAILING_12M_R&amp;D_%_SALES",$A$1,$A$2)</f>
        <v>#N/A N/A</v>
      </c>
      <c r="V200" s="6">
        <v>20</v>
      </c>
      <c r="W200" s="6">
        <v>203040</v>
      </c>
      <c r="X200" s="6">
        <v>20304010</v>
      </c>
      <c r="Y200" s="7" t="s">
        <v>43</v>
      </c>
      <c r="Z200" s="7" t="s">
        <v>728</v>
      </c>
      <c r="AA200" s="7" t="s">
        <v>729</v>
      </c>
      <c r="AB200" s="6">
        <v>34.030780792236328</v>
      </c>
      <c r="AC200" s="6">
        <v>0.58263684368312507</v>
      </c>
      <c r="AD200" s="6">
        <v>-7.5766802417978401</v>
      </c>
      <c r="AE200" s="6">
        <v>30323</v>
      </c>
      <c r="AF200" s="6">
        <v>28593</v>
      </c>
    </row>
    <row r="201" spans="1:32" s="4" customFormat="1" ht="12.75" x14ac:dyDescent="0.2">
      <c r="A201" s="7" t="s">
        <v>733</v>
      </c>
      <c r="B201" s="7" t="s">
        <v>734</v>
      </c>
      <c r="C201" s="7" t="s">
        <v>735</v>
      </c>
      <c r="D201" s="6">
        <v>-0.62987089157104503</v>
      </c>
      <c r="E201" s="6">
        <v>0.96768110990524303</v>
      </c>
      <c r="F201" s="6">
        <v>-0.50207960605621305</v>
      </c>
      <c r="G201" s="6">
        <v>-0.27131676673889205</v>
      </c>
      <c r="H201" s="6">
        <v>0.94918376207351707</v>
      </c>
      <c r="I201" s="6">
        <v>0.27665522694587702</v>
      </c>
      <c r="J201" s="6">
        <v>-0.39282423257827803</v>
      </c>
      <c r="K201" s="6">
        <v>-0.59338146448135409</v>
      </c>
      <c r="L201" s="6">
        <v>0.339765965938568</v>
      </c>
      <c r="M201" s="6">
        <v>-0.59796679019928001</v>
      </c>
      <c r="N201" s="6">
        <v>3.7250963244088551</v>
      </c>
      <c r="O201" s="6">
        <v>3.5950953435949833</v>
      </c>
      <c r="P201" s="6">
        <v>105.79829157459811</v>
      </c>
      <c r="Q201" s="6">
        <v>84.053350689367022</v>
      </c>
      <c r="R201" s="6">
        <v>25.892330756799907</v>
      </c>
      <c r="S201" s="6">
        <v>24.940995167627573</v>
      </c>
      <c r="T201" s="6">
        <v>317.8895263671875</v>
      </c>
      <c r="U201" s="6" t="str">
        <f>_xll.BDP($A201,"TRAILING_12M_R&amp;D_%_SALES",$A$1,$A$2)</f>
        <v>#N/A N/A</v>
      </c>
      <c r="V201" s="6">
        <v>30</v>
      </c>
      <c r="W201" s="6">
        <v>303010</v>
      </c>
      <c r="X201" s="6">
        <v>30301010</v>
      </c>
      <c r="Y201" s="7" t="s">
        <v>91</v>
      </c>
      <c r="Z201" s="7" t="s">
        <v>736</v>
      </c>
      <c r="AA201" s="7" t="s">
        <v>736</v>
      </c>
      <c r="AB201" s="6">
        <v>78.603759765625</v>
      </c>
      <c r="AC201" s="6">
        <v>0.591396048459357</v>
      </c>
      <c r="AD201" s="6">
        <v>-4.5963033244619584</v>
      </c>
      <c r="AE201" s="6">
        <v>33800</v>
      </c>
      <c r="AF201" s="6">
        <v>35900</v>
      </c>
    </row>
    <row r="202" spans="1:32" s="4" customFormat="1" ht="12.75" x14ac:dyDescent="0.2">
      <c r="A202" s="7" t="s">
        <v>737</v>
      </c>
      <c r="B202" s="7" t="s">
        <v>738</v>
      </c>
      <c r="C202" s="7" t="s">
        <v>739</v>
      </c>
      <c r="D202" s="6">
        <v>0.27244323492050204</v>
      </c>
      <c r="E202" s="6">
        <v>-0.82474219799041704</v>
      </c>
      <c r="F202" s="6">
        <v>0.34088197350502003</v>
      </c>
      <c r="G202" s="6">
        <v>-0.253304332494736</v>
      </c>
      <c r="H202" s="6">
        <v>-1.011481046676636</v>
      </c>
      <c r="I202" s="6">
        <v>-0.31114232540130604</v>
      </c>
      <c r="J202" s="6">
        <v>1.6082272529602051</v>
      </c>
      <c r="K202" s="6">
        <v>-0.55829811096191406</v>
      </c>
      <c r="L202" s="6">
        <v>2.2500910758972168</v>
      </c>
      <c r="M202" s="6">
        <v>-0.97926741838455211</v>
      </c>
      <c r="N202" s="6">
        <v>1.577506380837381</v>
      </c>
      <c r="O202" s="6">
        <v>2.130750673776451</v>
      </c>
      <c r="P202" s="6">
        <v>1.0964059736816021</v>
      </c>
      <c r="Q202" s="6">
        <v>1.0244465116137369</v>
      </c>
      <c r="R202" s="6">
        <v>8.0584789509968164</v>
      </c>
      <c r="S202" s="6">
        <v>7.944351725185971</v>
      </c>
      <c r="T202" s="6">
        <v>13.973043441772461</v>
      </c>
      <c r="U202" s="6" t="str">
        <f>_xll.BDP($A202,"TRAILING_12M_R&amp;D_%_SALES",$A$1,$A$2)</f>
        <v>#N/A N/A</v>
      </c>
      <c r="V202" s="6">
        <v>40</v>
      </c>
      <c r="W202" s="6">
        <v>401010</v>
      </c>
      <c r="X202" s="6">
        <v>40101010</v>
      </c>
      <c r="Y202" s="7" t="s">
        <v>53</v>
      </c>
      <c r="Z202" s="7" t="s">
        <v>76</v>
      </c>
      <c r="AA202" s="7" t="s">
        <v>77</v>
      </c>
      <c r="AB202" s="6">
        <v>68.574592590332031</v>
      </c>
      <c r="AC202" s="6">
        <v>0.82048000285263112</v>
      </c>
      <c r="AD202" s="6">
        <v>-26.318873558407073</v>
      </c>
      <c r="AE202" s="6">
        <v>50427</v>
      </c>
      <c r="AF202" s="6">
        <v>44928</v>
      </c>
    </row>
    <row r="203" spans="1:32" s="4" customFormat="1" ht="12.75" x14ac:dyDescent="0.2">
      <c r="A203" s="7" t="s">
        <v>740</v>
      </c>
      <c r="B203" s="7" t="s">
        <v>741</v>
      </c>
      <c r="C203" s="7" t="s">
        <v>742</v>
      </c>
      <c r="D203" s="6">
        <v>0.79089438915252708</v>
      </c>
      <c r="E203" s="6">
        <v>-0.82981568574905407</v>
      </c>
      <c r="F203" s="6">
        <v>-0.26638358831405601</v>
      </c>
      <c r="G203" s="6">
        <v>-0.29255008697509804</v>
      </c>
      <c r="H203" s="6">
        <v>0.72582352161407504</v>
      </c>
      <c r="I203" s="6">
        <v>-0.56924682855606101</v>
      </c>
      <c r="J203" s="6">
        <v>0.67097675800323509</v>
      </c>
      <c r="K203" s="6">
        <v>-0.94583034515380904</v>
      </c>
      <c r="L203" s="6">
        <v>0.69602072238922108</v>
      </c>
      <c r="M203" s="6">
        <v>-0.73819196224212602</v>
      </c>
      <c r="N203" s="6">
        <v>1.2950380771250511</v>
      </c>
      <c r="O203" s="6">
        <v>1.2594279430582529</v>
      </c>
      <c r="P203" s="6">
        <v>1.882903209706039</v>
      </c>
      <c r="Q203" s="6">
        <v>1.7260631135970459</v>
      </c>
      <c r="R203" s="6">
        <v>10.926647019039525</v>
      </c>
      <c r="S203" s="6">
        <v>9.3535556497928098</v>
      </c>
      <c r="T203" s="6">
        <v>6.1393251419067383</v>
      </c>
      <c r="U203" s="6" t="str">
        <f>_xll.BDP($A203,"TRAILING_12M_R&amp;D_%_SALES",$A$1,$A$2)</f>
        <v>#N/A N/A</v>
      </c>
      <c r="V203" s="6">
        <v>50</v>
      </c>
      <c r="W203" s="6">
        <v>502010</v>
      </c>
      <c r="X203" s="6">
        <v>50201030</v>
      </c>
      <c r="Y203" s="7" t="s">
        <v>367</v>
      </c>
      <c r="Z203" s="7" t="s">
        <v>701</v>
      </c>
      <c r="AA203" s="7" t="s">
        <v>702</v>
      </c>
      <c r="AB203" s="6">
        <v>55.799213409423828</v>
      </c>
      <c r="AC203" s="6">
        <v>0.83959870873807907</v>
      </c>
      <c r="AD203" s="6">
        <v>-29.05317643657207</v>
      </c>
      <c r="AE203" s="6">
        <v>189000</v>
      </c>
      <c r="AF203" s="6">
        <v>159000</v>
      </c>
    </row>
    <row r="204" spans="1:32" s="4" customFormat="1" ht="12.75" x14ac:dyDescent="0.2">
      <c r="A204" s="7" t="s">
        <v>743</v>
      </c>
      <c r="B204" s="7" t="s">
        <v>744</v>
      </c>
      <c r="C204" s="7" t="s">
        <v>745</v>
      </c>
      <c r="D204" s="6">
        <v>-0.267769634723663</v>
      </c>
      <c r="E204" s="6">
        <v>0.15437488257885001</v>
      </c>
      <c r="F204" s="6">
        <v>-0.8863055706024171</v>
      </c>
      <c r="G204" s="6">
        <v>-0.41973745822906505</v>
      </c>
      <c r="H204" s="6">
        <v>-1.0900049209594731</v>
      </c>
      <c r="I204" s="6">
        <v>-0.46490874886512806</v>
      </c>
      <c r="J204" s="6">
        <v>-0.14569894969463301</v>
      </c>
      <c r="K204" s="6">
        <v>-0.30310982465744002</v>
      </c>
      <c r="L204" s="6">
        <v>0.33812713623046903</v>
      </c>
      <c r="M204" s="6">
        <v>-1.0324563980102539</v>
      </c>
      <c r="N204" s="6">
        <v>12.161647933800307</v>
      </c>
      <c r="O204" s="6">
        <v>11.713887242436286</v>
      </c>
      <c r="P204" s="6">
        <v>2.1361964732562422</v>
      </c>
      <c r="Q204" s="6">
        <v>2.1441463688901519</v>
      </c>
      <c r="R204" s="6">
        <v>22.766951333916243</v>
      </c>
      <c r="S204" s="6">
        <v>20.32491568811027</v>
      </c>
      <c r="T204" s="6">
        <v>9.6152009963989258</v>
      </c>
      <c r="U204" s="6" t="str">
        <f>_xll.BDP($A204,"TRAILING_12M_R&amp;D_%_SALES",$A$1,$A$2)</f>
        <v>#N/A N/A</v>
      </c>
      <c r="V204" s="6">
        <v>40</v>
      </c>
      <c r="W204" s="6">
        <v>402030</v>
      </c>
      <c r="X204" s="6">
        <v>40203040</v>
      </c>
      <c r="Y204" s="7" t="s">
        <v>53</v>
      </c>
      <c r="Z204" s="7" t="s">
        <v>298</v>
      </c>
      <c r="AA204" s="7" t="s">
        <v>746</v>
      </c>
      <c r="AB204" s="6">
        <v>40.549240112304688</v>
      </c>
      <c r="AC204" s="6">
        <v>0.6720303968512471</v>
      </c>
      <c r="AD204" s="6">
        <v>-22.963798374572963</v>
      </c>
      <c r="AE204" s="6">
        <v>3480</v>
      </c>
      <c r="AF204" s="6">
        <v>2700</v>
      </c>
    </row>
    <row r="205" spans="1:32" s="4" customFormat="1" ht="12.75" x14ac:dyDescent="0.2">
      <c r="A205" s="7" t="s">
        <v>747</v>
      </c>
      <c r="B205" s="7" t="s">
        <v>748</v>
      </c>
      <c r="C205" s="7" t="s">
        <v>749</v>
      </c>
      <c r="D205" s="6">
        <v>-0.59364628791809104</v>
      </c>
      <c r="E205" s="6">
        <v>-0.50890737771987904</v>
      </c>
      <c r="F205" s="6">
        <v>-0.44508543610572804</v>
      </c>
      <c r="G205" s="6">
        <v>3.9106652140617003E-2</v>
      </c>
      <c r="H205" s="6">
        <v>-0.23372597992420202</v>
      </c>
      <c r="I205" s="6">
        <v>0.50604712963104204</v>
      </c>
      <c r="J205" s="6">
        <v>0.12072496116161301</v>
      </c>
      <c r="K205" s="6">
        <v>-0.17023846507072402</v>
      </c>
      <c r="L205" s="6">
        <v>0.44521975517272905</v>
      </c>
      <c r="M205" s="6">
        <v>-0.43526977300643904</v>
      </c>
      <c r="N205" s="6">
        <v>1.313562672911502</v>
      </c>
      <c r="O205" s="6">
        <v>1.124314735751375</v>
      </c>
      <c r="P205" s="6">
        <v>4.0767170225545648</v>
      </c>
      <c r="Q205" s="6">
        <v>3.4251316465685382</v>
      </c>
      <c r="R205" s="6">
        <v>17.689062351202317</v>
      </c>
      <c r="S205" s="6">
        <v>12.279763211549563</v>
      </c>
      <c r="T205" s="6">
        <v>23.25355339050293</v>
      </c>
      <c r="U205" s="6">
        <f>_xll.BDP($A205,"TRAILING_12M_R&amp;D_%_SALES",$A$1,$A$2)</f>
        <v>4.2900709635798489</v>
      </c>
      <c r="V205" s="6">
        <v>20</v>
      </c>
      <c r="W205" s="6">
        <v>201060</v>
      </c>
      <c r="X205" s="6">
        <v>20106010</v>
      </c>
      <c r="Y205" s="7" t="s">
        <v>43</v>
      </c>
      <c r="Z205" s="7" t="s">
        <v>630</v>
      </c>
      <c r="AA205" s="7" t="s">
        <v>631</v>
      </c>
      <c r="AB205" s="6">
        <v>68.232574462890625</v>
      </c>
      <c r="AC205" s="6">
        <v>0.85945851366675208</v>
      </c>
      <c r="AD205" s="6">
        <v>14.252174924139926</v>
      </c>
      <c r="AE205" s="6">
        <v>59900</v>
      </c>
      <c r="AF205" s="6">
        <v>55400</v>
      </c>
    </row>
    <row r="206" spans="1:32" s="4" customFormat="1" ht="12.75" x14ac:dyDescent="0.2">
      <c r="A206" s="7" t="s">
        <v>750</v>
      </c>
      <c r="B206" s="7" t="s">
        <v>751</v>
      </c>
      <c r="C206" s="7" t="s">
        <v>752</v>
      </c>
      <c r="D206" s="6">
        <v>-0.37310564517974903</v>
      </c>
      <c r="E206" s="6">
        <v>-0.99119895696640004</v>
      </c>
      <c r="F206" s="6">
        <v>5.6631471961740001E-3</v>
      </c>
      <c r="G206" s="6">
        <v>-0.67854541540145907</v>
      </c>
      <c r="H206" s="6">
        <v>1.2561957836151121</v>
      </c>
      <c r="I206" s="6">
        <v>0.57188981771469105</v>
      </c>
      <c r="J206" s="6">
        <v>0.59633910655975308</v>
      </c>
      <c r="K206" s="6">
        <v>-1.122755289077759</v>
      </c>
      <c r="L206" s="6">
        <v>1.2548955678939819</v>
      </c>
      <c r="M206" s="6">
        <v>-0.88141620159149203</v>
      </c>
      <c r="N206" s="6">
        <v>1.5574149649490541</v>
      </c>
      <c r="O206" s="6">
        <v>2.2177894381423231</v>
      </c>
      <c r="P206" s="6">
        <v>0.61920629872525401</v>
      </c>
      <c r="Q206" s="6">
        <v>0.58481082007997609</v>
      </c>
      <c r="R206" s="6">
        <v>10.563250606612188</v>
      </c>
      <c r="S206" s="6">
        <v>8.432172543630049</v>
      </c>
      <c r="T206" s="6">
        <v>5.9070339202880859</v>
      </c>
      <c r="U206" s="6" t="str">
        <f>_xll.BDP($A206,"TRAILING_12M_R&amp;D_%_SALES",$A$1,$A$2)</f>
        <v>#N/A N/A</v>
      </c>
      <c r="V206" s="6">
        <v>40</v>
      </c>
      <c r="W206" s="6">
        <v>401010</v>
      </c>
      <c r="X206" s="6">
        <v>40101010</v>
      </c>
      <c r="Y206" s="7" t="s">
        <v>53</v>
      </c>
      <c r="Z206" s="7" t="s">
        <v>76</v>
      </c>
      <c r="AA206" s="7" t="s">
        <v>77</v>
      </c>
      <c r="AB206" s="6">
        <v>54.944171905517578</v>
      </c>
      <c r="AC206" s="6">
        <v>0.41166865267457303</v>
      </c>
      <c r="AD206" s="6">
        <v>7.2206324552342771</v>
      </c>
      <c r="AE206" s="6">
        <v>22024</v>
      </c>
      <c r="AF206" s="6">
        <v>22143</v>
      </c>
    </row>
    <row r="207" spans="1:32" s="4" customFormat="1" ht="12.75" x14ac:dyDescent="0.2">
      <c r="A207" s="7" t="s">
        <v>753</v>
      </c>
      <c r="B207" s="7" t="s">
        <v>754</v>
      </c>
      <c r="C207" s="7" t="s">
        <v>755</v>
      </c>
      <c r="D207" s="6">
        <v>0.67389547824859608</v>
      </c>
      <c r="E207" s="6">
        <v>-0.82933688163757302</v>
      </c>
      <c r="F207" s="6">
        <v>0.148415982723236</v>
      </c>
      <c r="G207" s="6">
        <v>-0.95647853612899802</v>
      </c>
      <c r="H207" s="6">
        <v>0.59458059072494507</v>
      </c>
      <c r="I207" s="6">
        <v>0.517805695533752</v>
      </c>
      <c r="J207" s="6">
        <v>3.7275727838278004E-2</v>
      </c>
      <c r="K207" s="6">
        <v>-0.77399492263793901</v>
      </c>
      <c r="L207" s="6">
        <v>0.99418616294860807</v>
      </c>
      <c r="M207" s="6">
        <v>-0.97004747390747104</v>
      </c>
      <c r="N207" s="6">
        <v>6.1009994717535596</v>
      </c>
      <c r="O207" s="6"/>
      <c r="P207" s="6">
        <v>2.3947061059900649</v>
      </c>
      <c r="Q207" s="6"/>
      <c r="R207" s="6">
        <v>18.258287454852873</v>
      </c>
      <c r="S207" s="6">
        <v>18.641729461318242</v>
      </c>
      <c r="T207" s="6">
        <v>14.217639923095703</v>
      </c>
      <c r="U207" s="6" t="str">
        <f>_xll.BDP($A207,"TRAILING_12M_R&amp;D_%_SALES",$A$1,$A$2)</f>
        <v>#N/A N/A</v>
      </c>
      <c r="V207" s="6">
        <v>40</v>
      </c>
      <c r="W207" s="6">
        <v>401010</v>
      </c>
      <c r="X207" s="6">
        <v>40101010</v>
      </c>
      <c r="Y207" s="7" t="s">
        <v>53</v>
      </c>
      <c r="Z207" s="7" t="s">
        <v>76</v>
      </c>
      <c r="AA207" s="7" t="s">
        <v>77</v>
      </c>
      <c r="AB207" s="6">
        <v>66.562721252441406</v>
      </c>
      <c r="AC207" s="6">
        <v>0.89837017412195208</v>
      </c>
      <c r="AD207" s="6">
        <v>-3.8068430590672002</v>
      </c>
      <c r="AE207" s="6">
        <v>49245</v>
      </c>
      <c r="AF207" s="6">
        <v>45614</v>
      </c>
    </row>
    <row r="208" spans="1:32" s="4" customFormat="1" ht="12.75" x14ac:dyDescent="0.2">
      <c r="A208" s="7" t="s">
        <v>756</v>
      </c>
      <c r="B208" s="7" t="s">
        <v>757</v>
      </c>
      <c r="C208" s="7" t="s">
        <v>758</v>
      </c>
      <c r="D208" s="6">
        <v>-0.47599476575851402</v>
      </c>
      <c r="E208" s="6">
        <v>-0.45242100954055803</v>
      </c>
      <c r="F208" s="6">
        <v>-1.8247523307800291</v>
      </c>
      <c r="G208" s="6">
        <v>-0.93471074104309104</v>
      </c>
      <c r="H208" s="6">
        <v>-0.63717859983444203</v>
      </c>
      <c r="I208" s="6">
        <v>0.14561453461647</v>
      </c>
      <c r="J208" s="6">
        <v>-0.48808497190475503</v>
      </c>
      <c r="K208" s="6">
        <v>0.34353736042976402</v>
      </c>
      <c r="L208" s="6">
        <v>-0.278510332107544</v>
      </c>
      <c r="M208" s="6">
        <v>-0.34829673171043402</v>
      </c>
      <c r="N208" s="6">
        <v>8.6710548024750995</v>
      </c>
      <c r="O208" s="6">
        <v>6.7960673065391273</v>
      </c>
      <c r="P208" s="6">
        <v>6.4841101017904954</v>
      </c>
      <c r="Q208" s="6">
        <v>5.536485807156553</v>
      </c>
      <c r="R208" s="6">
        <v>40.223139706434864</v>
      </c>
      <c r="S208" s="6">
        <v>33.03917502012176</v>
      </c>
      <c r="T208" s="6">
        <v>19.641269683837891</v>
      </c>
      <c r="U208" s="6">
        <f>_xll.BDP($A208,"TRAILING_12M_R&amp;D_%_SALES",$A$1,$A$2)</f>
        <v>9.2317793827971109</v>
      </c>
      <c r="V208" s="6">
        <v>35</v>
      </c>
      <c r="W208" s="6">
        <v>352010</v>
      </c>
      <c r="X208" s="6">
        <v>35201010</v>
      </c>
      <c r="Y208" s="7" t="s">
        <v>86</v>
      </c>
      <c r="Z208" s="7" t="s">
        <v>87</v>
      </c>
      <c r="AA208" s="7" t="s">
        <v>87</v>
      </c>
      <c r="AB208" s="6">
        <v>61.583343505859375</v>
      </c>
      <c r="AC208" s="6">
        <v>0.48223262869568206</v>
      </c>
      <c r="AD208" s="6">
        <v>-5.4949948790344649</v>
      </c>
      <c r="AE208" s="6">
        <v>30000</v>
      </c>
      <c r="AF208" s="6"/>
    </row>
    <row r="209" spans="1:32" s="4" customFormat="1" ht="12.75" x14ac:dyDescent="0.2">
      <c r="A209" s="7" t="s">
        <v>759</v>
      </c>
      <c r="B209" s="7" t="s">
        <v>760</v>
      </c>
      <c r="C209" s="7" t="s">
        <v>761</v>
      </c>
      <c r="D209" s="6">
        <v>0.13420468568801902</v>
      </c>
      <c r="E209" s="6">
        <v>-0.78036600351333607</v>
      </c>
      <c r="F209" s="6">
        <v>-0.41655215620994601</v>
      </c>
      <c r="G209" s="6">
        <v>-0.152633652091026</v>
      </c>
      <c r="H209" s="6">
        <v>0.26108929514884904</v>
      </c>
      <c r="I209" s="6">
        <v>0.56844598054885909</v>
      </c>
      <c r="J209" s="6">
        <v>0.48657718300819403</v>
      </c>
      <c r="K209" s="6">
        <v>1.466504573822021</v>
      </c>
      <c r="L209" s="6">
        <v>-0.81727248430252109</v>
      </c>
      <c r="M209" s="6">
        <v>0.65616559982299805</v>
      </c>
      <c r="N209" s="6">
        <v>0.33660571382798704</v>
      </c>
      <c r="O209" s="6">
        <v>0.32580477196076002</v>
      </c>
      <c r="P209" s="6">
        <v>1.8422713728511981</v>
      </c>
      <c r="Q209" s="6">
        <v>1.5894333734390922</v>
      </c>
      <c r="R209" s="6">
        <v>16.178204459958259</v>
      </c>
      <c r="S209" s="6">
        <v>12.95615957204325</v>
      </c>
      <c r="T209" s="6">
        <v>7.7694621086120614</v>
      </c>
      <c r="U209" s="6" t="str">
        <f>_xll.BDP($A209,"TRAILING_12M_R&amp;D_%_SALES",$A$1,$A$2)</f>
        <v>#N/A N/A</v>
      </c>
      <c r="V209" s="6">
        <v>35</v>
      </c>
      <c r="W209" s="6">
        <v>351020</v>
      </c>
      <c r="X209" s="6">
        <v>35102030</v>
      </c>
      <c r="Y209" s="7" t="s">
        <v>86</v>
      </c>
      <c r="Z209" s="7" t="s">
        <v>601</v>
      </c>
      <c r="AA209" s="7" t="s">
        <v>762</v>
      </c>
      <c r="AB209" s="6">
        <v>46.162357330322266</v>
      </c>
      <c r="AC209" s="6">
        <v>0.73135878922854602</v>
      </c>
      <c r="AD209" s="6">
        <v>-2.35741847588874</v>
      </c>
      <c r="AE209" s="6">
        <v>72500</v>
      </c>
      <c r="AF209" s="6">
        <v>30500</v>
      </c>
    </row>
    <row r="210" spans="1:32" s="4" customFormat="1" ht="12.75" x14ac:dyDescent="0.2">
      <c r="A210" s="7" t="s">
        <v>763</v>
      </c>
      <c r="B210" s="7" t="s">
        <v>764</v>
      </c>
      <c r="C210" s="7" t="s">
        <v>765</v>
      </c>
      <c r="D210" s="6">
        <v>-0.69365853071212802</v>
      </c>
      <c r="E210" s="6">
        <v>-0.59362280368804909</v>
      </c>
      <c r="F210" s="6">
        <v>1.8631598949432371</v>
      </c>
      <c r="G210" s="6">
        <v>-0.7075614333152771</v>
      </c>
      <c r="H210" s="6">
        <v>1.586861252784729</v>
      </c>
      <c r="I210" s="6">
        <v>0.47967964410781905</v>
      </c>
      <c r="J210" s="6">
        <v>0.23592151701450301</v>
      </c>
      <c r="K210" s="6">
        <v>-1.0299949645996089</v>
      </c>
      <c r="L210" s="6">
        <v>0.100938260555267</v>
      </c>
      <c r="M210" s="6">
        <v>-0.303298979997635</v>
      </c>
      <c r="N210" s="6">
        <v>0.84655683824320105</v>
      </c>
      <c r="O210" s="6">
        <v>0.94810163108459611</v>
      </c>
      <c r="P210" s="6">
        <v>3.404671500764175</v>
      </c>
      <c r="Q210" s="6">
        <v>2.9920358322113292</v>
      </c>
      <c r="R210" s="6">
        <v>11.940218450158403</v>
      </c>
      <c r="S210" s="6">
        <v>10.285201285792088</v>
      </c>
      <c r="T210" s="6">
        <v>27.631683349609375</v>
      </c>
      <c r="U210" s="6">
        <f>_xll.BDP($A210,"TRAILING_12M_R&amp;D_%_SALES",$A$1,$A$2)</f>
        <v>5.8076225045372052</v>
      </c>
      <c r="V210" s="6">
        <v>20</v>
      </c>
      <c r="W210" s="6">
        <v>201060</v>
      </c>
      <c r="X210" s="6">
        <v>20106015</v>
      </c>
      <c r="Y210" s="7" t="s">
        <v>43</v>
      </c>
      <c r="Z210" s="7" t="s">
        <v>630</v>
      </c>
      <c r="AA210" s="7" t="s">
        <v>766</v>
      </c>
      <c r="AB210" s="6">
        <v>78.996078491210938</v>
      </c>
      <c r="AC210" s="6">
        <v>1.0521244103126981</v>
      </c>
      <c r="AD210" s="6">
        <v>-1.9490560573414251</v>
      </c>
      <c r="AE210" s="6">
        <v>71895</v>
      </c>
      <c r="AF210" s="6">
        <v>62828</v>
      </c>
    </row>
    <row r="211" spans="1:32" s="4" customFormat="1" ht="12.75" x14ac:dyDescent="0.2">
      <c r="A211" s="7" t="s">
        <v>767</v>
      </c>
      <c r="B211" s="7" t="s">
        <v>768</v>
      </c>
      <c r="C211" s="7" t="s">
        <v>769</v>
      </c>
      <c r="D211" s="6">
        <v>-0.40629628300666804</v>
      </c>
      <c r="E211" s="6">
        <v>-0.18537646532058702</v>
      </c>
      <c r="F211" s="6">
        <v>5.6814420968290006E-3</v>
      </c>
      <c r="G211" s="6">
        <v>-0.78230613470077504</v>
      </c>
      <c r="H211" s="6">
        <v>-0.10030718147754701</v>
      </c>
      <c r="I211" s="6">
        <v>0.32899680733680703</v>
      </c>
      <c r="J211" s="6">
        <v>-0.159559026360512</v>
      </c>
      <c r="K211" s="6">
        <v>-0.74642395973205611</v>
      </c>
      <c r="L211" s="6">
        <v>5.7928860187531003E-2</v>
      </c>
      <c r="M211" s="6">
        <v>-0.73644638061523404</v>
      </c>
      <c r="N211" s="6">
        <v>6.8324912008659222</v>
      </c>
      <c r="O211" s="6">
        <v>6.1270305188246486</v>
      </c>
      <c r="P211" s="6">
        <v>4.9626447263063405</v>
      </c>
      <c r="Q211" s="6">
        <v>5.0291300682906943</v>
      </c>
      <c r="R211" s="6">
        <v>22.693012143256325</v>
      </c>
      <c r="S211" s="6">
        <v>19.985488550655901</v>
      </c>
      <c r="T211" s="6">
        <v>22.441593170166016</v>
      </c>
      <c r="U211" s="6" t="str">
        <f>_xll.BDP($A211,"TRAILING_12M_R&amp;D_%_SALES",$A$1,$A$2)</f>
        <v>#N/A N/A</v>
      </c>
      <c r="V211" s="6">
        <v>20</v>
      </c>
      <c r="W211" s="6">
        <v>203040</v>
      </c>
      <c r="X211" s="6">
        <v>20304010</v>
      </c>
      <c r="Y211" s="7" t="s">
        <v>43</v>
      </c>
      <c r="Z211" s="7" t="s">
        <v>728</v>
      </c>
      <c r="AA211" s="7" t="s">
        <v>729</v>
      </c>
      <c r="AB211" s="6">
        <v>71.26043701171875</v>
      </c>
      <c r="AC211" s="6">
        <v>0.8673492225901811</v>
      </c>
      <c r="AD211" s="6">
        <v>-0.51120859890342307</v>
      </c>
      <c r="AE211" s="6">
        <v>22604</v>
      </c>
      <c r="AF211" s="6">
        <v>22249</v>
      </c>
    </row>
    <row r="212" spans="1:32" s="4" customFormat="1" ht="12.75" x14ac:dyDescent="0.2">
      <c r="A212" s="7" t="s">
        <v>770</v>
      </c>
      <c r="B212" s="7" t="s">
        <v>771</v>
      </c>
      <c r="C212" s="7" t="s">
        <v>772</v>
      </c>
      <c r="D212" s="6">
        <v>-0.94462013244628906</v>
      </c>
      <c r="E212" s="6">
        <v>-0.79317939281463601</v>
      </c>
      <c r="F212" s="6">
        <v>-0.65550184249877907</v>
      </c>
      <c r="G212" s="6">
        <v>0.10462507605552701</v>
      </c>
      <c r="H212" s="6">
        <v>1.033839344978333</v>
      </c>
      <c r="I212" s="6">
        <v>0.55990833044052102</v>
      </c>
      <c r="J212" s="6">
        <v>0.111032612621784</v>
      </c>
      <c r="K212" s="6">
        <v>-0.7152379155159001</v>
      </c>
      <c r="L212" s="6">
        <v>0.39069551229476901</v>
      </c>
      <c r="M212" s="6">
        <v>-0.60103231668472301</v>
      </c>
      <c r="N212" s="6">
        <v>2.1145335698019601</v>
      </c>
      <c r="O212" s="6">
        <v>2.1761537393417361</v>
      </c>
      <c r="P212" s="6">
        <v>2.051914487843109</v>
      </c>
      <c r="Q212" s="6">
        <v>1.9187868042007801</v>
      </c>
      <c r="R212" s="6">
        <v>25.843957312545111</v>
      </c>
      <c r="S212" s="6">
        <v>20.097676611844857</v>
      </c>
      <c r="T212" s="6">
        <v>17.676679611206055</v>
      </c>
      <c r="U212" s="6" t="str">
        <f>_xll.BDP($A212,"TRAILING_12M_R&amp;D_%_SALES",$A$1,$A$2)</f>
        <v>#N/A N/A</v>
      </c>
      <c r="V212" s="6">
        <v>55</v>
      </c>
      <c r="W212" s="6">
        <v>551030</v>
      </c>
      <c r="X212" s="6">
        <v>55103010</v>
      </c>
      <c r="Y212" s="7" t="s">
        <v>181</v>
      </c>
      <c r="Z212" s="7" t="s">
        <v>182</v>
      </c>
      <c r="AA212" s="7" t="s">
        <v>182</v>
      </c>
      <c r="AB212" s="6">
        <v>64.862693786621094</v>
      </c>
      <c r="AC212" s="6">
        <v>0.70925923805415703</v>
      </c>
      <c r="AD212" s="6">
        <v>10.31816828333465</v>
      </c>
      <c r="AE212" s="6">
        <v>9418</v>
      </c>
      <c r="AF212" s="6">
        <v>7727</v>
      </c>
    </row>
    <row r="213" spans="1:32" s="4" customFormat="1" ht="12.75" x14ac:dyDescent="0.2">
      <c r="A213" s="7" t="s">
        <v>773</v>
      </c>
      <c r="B213" s="7" t="s">
        <v>774</v>
      </c>
      <c r="C213" s="7" t="s">
        <v>775</v>
      </c>
      <c r="D213" s="6">
        <v>-0.18826924264431003</v>
      </c>
      <c r="E213" s="6">
        <v>0.20290245115757002</v>
      </c>
      <c r="F213" s="6">
        <v>0.61392736434936501</v>
      </c>
      <c r="G213" s="6">
        <v>9.9686920642853005E-2</v>
      </c>
      <c r="H213" s="6">
        <v>-0.48449817299842801</v>
      </c>
      <c r="I213" s="6">
        <v>1.391660690307617</v>
      </c>
      <c r="J213" s="6">
        <v>1.53403651714325</v>
      </c>
      <c r="K213" s="6">
        <v>-0.88474822044372603</v>
      </c>
      <c r="L213" s="6">
        <v>1.408532500267029</v>
      </c>
      <c r="M213" s="6">
        <v>0.37061953544616705</v>
      </c>
      <c r="N213" s="6">
        <v>2.0692844564734298</v>
      </c>
      <c r="O213" s="6">
        <v>2.2603747368448532</v>
      </c>
      <c r="P213" s="6">
        <v>2.1872445519205428</v>
      </c>
      <c r="Q213" s="6">
        <v>1.9515467649243492</v>
      </c>
      <c r="R213" s="6">
        <v>7.3476019100007104</v>
      </c>
      <c r="S213" s="6">
        <v>7.7529184697638645</v>
      </c>
      <c r="T213" s="6">
        <v>32.446887969970703</v>
      </c>
      <c r="U213" s="6" t="str">
        <f>_xll.BDP($A213,"TRAILING_12M_R&amp;D_%_SALES",$A$1,$A$2)</f>
        <v>#N/A N/A</v>
      </c>
      <c r="V213" s="6">
        <v>10</v>
      </c>
      <c r="W213" s="6">
        <v>101020</v>
      </c>
      <c r="X213" s="6">
        <v>10102020</v>
      </c>
      <c r="Y213" s="7" t="s">
        <v>505</v>
      </c>
      <c r="Z213" s="7" t="s">
        <v>556</v>
      </c>
      <c r="AA213" s="7" t="s">
        <v>776</v>
      </c>
      <c r="AB213" s="6">
        <v>57.690372467041016</v>
      </c>
      <c r="AC213" s="6">
        <v>0.83535537477890009</v>
      </c>
      <c r="AD213" s="6">
        <v>41.26665142417059</v>
      </c>
      <c r="AE213" s="6"/>
      <c r="AF213" s="6">
        <v>7270</v>
      </c>
    </row>
    <row r="214" spans="1:32" s="4" customFormat="1" ht="12.75" x14ac:dyDescent="0.2">
      <c r="A214" s="7" t="s">
        <v>777</v>
      </c>
      <c r="B214" s="7" t="s">
        <v>778</v>
      </c>
      <c r="C214" s="7" t="s">
        <v>779</v>
      </c>
      <c r="D214" s="6">
        <v>-0.35453614592552202</v>
      </c>
      <c r="E214" s="6">
        <v>-0.64710360765457209</v>
      </c>
      <c r="F214" s="6">
        <v>1.7095808982849121</v>
      </c>
      <c r="G214" s="6">
        <v>-0.82969450950622603</v>
      </c>
      <c r="H214" s="6">
        <v>-3.4516755491495001E-2</v>
      </c>
      <c r="I214" s="6">
        <v>-0.293502807617188</v>
      </c>
      <c r="J214" s="6">
        <v>1.4804285764694209</v>
      </c>
      <c r="K214" s="6">
        <v>-0.79617136716842707</v>
      </c>
      <c r="L214" s="6">
        <v>0.91331207752227805</v>
      </c>
      <c r="M214" s="6">
        <v>-0.51924943923950206</v>
      </c>
      <c r="N214" s="6">
        <v>0.49944258165327404</v>
      </c>
      <c r="O214" s="6">
        <v>0.46960898519501404</v>
      </c>
      <c r="P214" s="6">
        <v>1.0455292734242041</v>
      </c>
      <c r="Q214" s="6">
        <v>0.94735570498863308</v>
      </c>
      <c r="R214" s="6">
        <v>8.0410918432026008</v>
      </c>
      <c r="S214" s="6">
        <v>8.2204130849651218</v>
      </c>
      <c r="T214" s="6">
        <v>14.145147323608398</v>
      </c>
      <c r="U214" s="6">
        <f>_xll.BDP($A214,"TRAILING_12M_R&amp;D_%_SALES",$A$1,$A$2)</f>
        <v>1.2248676109699919</v>
      </c>
      <c r="V214" s="6">
        <v>20</v>
      </c>
      <c r="W214" s="6">
        <v>201020</v>
      </c>
      <c r="X214" s="6">
        <v>20102010</v>
      </c>
      <c r="Y214" s="7" t="s">
        <v>43</v>
      </c>
      <c r="Z214" s="7" t="s">
        <v>626</v>
      </c>
      <c r="AA214" s="7" t="s">
        <v>626</v>
      </c>
      <c r="AB214" s="6">
        <v>72.578208923339844</v>
      </c>
      <c r="AC214" s="6">
        <v>0.6561973947839701</v>
      </c>
      <c r="AD214" s="6">
        <v>-28.823400924075404</v>
      </c>
      <c r="AE214" s="6">
        <v>167816</v>
      </c>
      <c r="AF214" s="6">
        <v>172063</v>
      </c>
    </row>
    <row r="215" spans="1:32" s="4" customFormat="1" ht="12.75" x14ac:dyDescent="0.2">
      <c r="A215" s="7" t="s">
        <v>780</v>
      </c>
      <c r="B215" s="7" t="s">
        <v>781</v>
      </c>
      <c r="C215" s="7" t="s">
        <v>782</v>
      </c>
      <c r="D215" s="6">
        <v>-0.35453614592552202</v>
      </c>
      <c r="E215" s="6">
        <v>-0.64710360765457209</v>
      </c>
      <c r="F215" s="6">
        <v>1.7095808982849121</v>
      </c>
      <c r="G215" s="6">
        <v>-0.82969450950622603</v>
      </c>
      <c r="H215" s="6">
        <v>-3.4516755491495001E-2</v>
      </c>
      <c r="I215" s="6">
        <v>-0.293502807617188</v>
      </c>
      <c r="J215" s="6">
        <v>1.4804285764694209</v>
      </c>
      <c r="K215" s="6">
        <v>-0.79617136716842707</v>
      </c>
      <c r="L215" s="6">
        <v>0.91331207752227805</v>
      </c>
      <c r="M215" s="6">
        <v>-0.51924943923950206</v>
      </c>
      <c r="N215" s="6">
        <v>0.49944258165327404</v>
      </c>
      <c r="O215" s="6">
        <v>0.48563114950646602</v>
      </c>
      <c r="P215" s="6">
        <v>1.0455292734242041</v>
      </c>
      <c r="Q215" s="6"/>
      <c r="R215" s="6">
        <v>8.0410918432026008</v>
      </c>
      <c r="S215" s="6">
        <v>8.6532968783571391</v>
      </c>
      <c r="T215" s="6">
        <v>14.145147323608398</v>
      </c>
      <c r="U215" s="6">
        <f>_xll.BDP($A215,"TRAILING_12M_R&amp;D_%_SALES",$A$1,$A$2)</f>
        <v>1.2248676109699919</v>
      </c>
      <c r="V215" s="6">
        <v>20</v>
      </c>
      <c r="W215" s="6">
        <v>201020</v>
      </c>
      <c r="X215" s="6">
        <v>20102010</v>
      </c>
      <c r="Y215" s="7" t="s">
        <v>43</v>
      </c>
      <c r="Z215" s="7" t="s">
        <v>626</v>
      </c>
      <c r="AA215" s="7" t="s">
        <v>626</v>
      </c>
      <c r="AB215" s="6">
        <v>72.578208923339844</v>
      </c>
      <c r="AC215" s="6">
        <v>1.099221004946705</v>
      </c>
      <c r="AD215" s="6">
        <v>-28.238213100231157</v>
      </c>
      <c r="AE215" s="6">
        <v>167816</v>
      </c>
      <c r="AF215" s="6">
        <v>172063</v>
      </c>
    </row>
    <row r="216" spans="1:32" s="4" customFormat="1" ht="12.75" x14ac:dyDescent="0.2">
      <c r="A216" s="7" t="s">
        <v>783</v>
      </c>
      <c r="B216" s="7" t="s">
        <v>784</v>
      </c>
      <c r="C216" s="7" t="s">
        <v>785</v>
      </c>
      <c r="D216" s="6">
        <v>0.21686713397502902</v>
      </c>
      <c r="E216" s="6">
        <v>-0.32225713133812001</v>
      </c>
      <c r="F216" s="6">
        <v>0.31352192163467402</v>
      </c>
      <c r="G216" s="6">
        <v>5.4960783571005006E-2</v>
      </c>
      <c r="H216" s="6">
        <v>0.71554571390152011</v>
      </c>
      <c r="I216" s="6">
        <v>-0.79326528310775801</v>
      </c>
      <c r="J216" s="6">
        <v>2.3034260272979741</v>
      </c>
      <c r="K216" s="6">
        <v>-0.61712253093719505</v>
      </c>
      <c r="L216" s="6">
        <v>0.48063936829567006</v>
      </c>
      <c r="M216" s="6">
        <v>-0.97014993429184004</v>
      </c>
      <c r="N216" s="6">
        <v>1.037711189243157</v>
      </c>
      <c r="O216" s="6">
        <v>0.96768078886527409</v>
      </c>
      <c r="P216" s="6">
        <v>0.77165591049732207</v>
      </c>
      <c r="Q216" s="6">
        <v>0.60663803259624605</v>
      </c>
      <c r="R216" s="6">
        <v>4.6038564082082871</v>
      </c>
      <c r="S216" s="6">
        <v>5.794042767969712</v>
      </c>
      <c r="T216" s="6">
        <v>15.782262802124023</v>
      </c>
      <c r="U216" s="6" t="str">
        <f>_xll.BDP($A216,"TRAILING_12M_R&amp;D_%_SALES",$A$1,$A$2)</f>
        <v>#N/A N/A</v>
      </c>
      <c r="V216" s="6">
        <v>40</v>
      </c>
      <c r="W216" s="6">
        <v>402020</v>
      </c>
      <c r="X216" s="6">
        <v>40202010</v>
      </c>
      <c r="Y216" s="7" t="s">
        <v>53</v>
      </c>
      <c r="Z216" s="7" t="s">
        <v>264</v>
      </c>
      <c r="AA216" s="7" t="s">
        <v>264</v>
      </c>
      <c r="AB216" s="6">
        <v>52.43939208984375</v>
      </c>
      <c r="AC216" s="6">
        <v>1.1963247759001301</v>
      </c>
      <c r="AD216" s="6">
        <v>-34.822609508548432</v>
      </c>
      <c r="AE216" s="6">
        <v>50800</v>
      </c>
      <c r="AF216" s="6">
        <v>47300</v>
      </c>
    </row>
    <row r="217" spans="1:32" s="4" customFormat="1" ht="12.75" x14ac:dyDescent="0.2">
      <c r="A217" s="7" t="s">
        <v>786</v>
      </c>
      <c r="B217" s="7" t="s">
        <v>787</v>
      </c>
      <c r="C217" s="7" t="s">
        <v>788</v>
      </c>
      <c r="D217" s="6">
        <v>0.40630427002906805</v>
      </c>
      <c r="E217" s="6">
        <v>0.29005616903305104</v>
      </c>
      <c r="F217" s="6">
        <v>-0.18128362298011802</v>
      </c>
      <c r="G217" s="6">
        <v>-0.124190151691437</v>
      </c>
      <c r="H217" s="6">
        <v>-0.57771587371826205</v>
      </c>
      <c r="I217" s="6">
        <v>1.6014302968978882</v>
      </c>
      <c r="J217" s="6">
        <v>1.0608698129653931</v>
      </c>
      <c r="K217" s="6">
        <v>-0.36862525343895003</v>
      </c>
      <c r="L217" s="6">
        <v>-0.52279138565063499</v>
      </c>
      <c r="M217" s="6">
        <v>1.399653434753418</v>
      </c>
      <c r="N217" s="6">
        <v>2.0294149114207198</v>
      </c>
      <c r="O217" s="6">
        <v>2.0859128230158128</v>
      </c>
      <c r="P217" s="6">
        <v>2.9959125681048979</v>
      </c>
      <c r="Q217" s="6">
        <v>2.6955658471403581</v>
      </c>
      <c r="R217" s="6">
        <v>9.0398049017129551</v>
      </c>
      <c r="S217" s="6">
        <v>9.3040278977778996</v>
      </c>
      <c r="T217" s="6">
        <v>38.753566741943359</v>
      </c>
      <c r="U217" s="6" t="str">
        <f>_xll.BDP($A217,"TRAILING_12M_R&amp;D_%_SALES",$A$1,$A$2)</f>
        <v>#N/A N/A</v>
      </c>
      <c r="V217" s="6">
        <v>10</v>
      </c>
      <c r="W217" s="6">
        <v>101020</v>
      </c>
      <c r="X217" s="6">
        <v>10102020</v>
      </c>
      <c r="Y217" s="7" t="s">
        <v>505</v>
      </c>
      <c r="Z217" s="7" t="s">
        <v>556</v>
      </c>
      <c r="AA217" s="7" t="s">
        <v>776</v>
      </c>
      <c r="AB217" s="6">
        <v>68.152099609375</v>
      </c>
      <c r="AC217" s="6">
        <v>0.78798429208741705</v>
      </c>
      <c r="AD217" s="6">
        <v>71.69159867104797</v>
      </c>
      <c r="AE217" s="6">
        <v>9900</v>
      </c>
      <c r="AF217" s="6">
        <v>13300</v>
      </c>
    </row>
    <row r="218" spans="1:32" s="4" customFormat="1" ht="12.75" x14ac:dyDescent="0.2">
      <c r="A218" s="7" t="s">
        <v>789</v>
      </c>
      <c r="B218" s="7" t="s">
        <v>790</v>
      </c>
      <c r="C218" s="7" t="s">
        <v>791</v>
      </c>
      <c r="D218" s="6">
        <v>4.6919625252485005E-2</v>
      </c>
      <c r="E218" s="6">
        <v>0.84045767784118708</v>
      </c>
      <c r="F218" s="6">
        <v>-1.0879060029983521</v>
      </c>
      <c r="G218" s="6">
        <v>-0.19199730455875402</v>
      </c>
      <c r="H218" s="6">
        <v>0.40998429059982305</v>
      </c>
      <c r="I218" s="6">
        <v>1.036817789077759</v>
      </c>
      <c r="J218" s="6">
        <v>8.718535304069501E-2</v>
      </c>
      <c r="K218" s="6">
        <v>1.3305826187133789</v>
      </c>
      <c r="L218" s="6">
        <v>-0.25496160984039301</v>
      </c>
      <c r="M218" s="6">
        <v>0.86517697572708108</v>
      </c>
      <c r="N218" s="6">
        <v>0.14478547068855602</v>
      </c>
      <c r="O218" s="6">
        <v>0.13210208569453802</v>
      </c>
      <c r="P218" s="6"/>
      <c r="Q218" s="6">
        <v>24.012923210826745</v>
      </c>
      <c r="R218" s="6">
        <v>16.729745836634066</v>
      </c>
      <c r="S218" s="6">
        <v>14.118799052458201</v>
      </c>
      <c r="T218" s="6"/>
      <c r="U218" s="6">
        <f>_xll.BDP($A218,"TRAILING_12M_R&amp;D_%_SALES",$A$1,$A$2)</f>
        <v>0</v>
      </c>
      <c r="V218" s="6">
        <v>35</v>
      </c>
      <c r="W218" s="6">
        <v>351020</v>
      </c>
      <c r="X218" s="6">
        <v>35102010</v>
      </c>
      <c r="Y218" s="7" t="s">
        <v>86</v>
      </c>
      <c r="Z218" s="7" t="s">
        <v>601</v>
      </c>
      <c r="AA218" s="7" t="s">
        <v>602</v>
      </c>
      <c r="AB218" s="6">
        <v>59.259632110595703</v>
      </c>
      <c r="AC218" s="6">
        <v>0.65435470500511006</v>
      </c>
      <c r="AD218" s="6">
        <v>25.429328065441492</v>
      </c>
      <c r="AE218" s="6">
        <v>39000</v>
      </c>
      <c r="AF218" s="6">
        <v>20000</v>
      </c>
    </row>
    <row r="219" spans="1:32" s="4" customFormat="1" ht="12.75" x14ac:dyDescent="0.2">
      <c r="A219" s="7" t="s">
        <v>792</v>
      </c>
      <c r="B219" s="7" t="s">
        <v>793</v>
      </c>
      <c r="C219" s="7" t="s">
        <v>794</v>
      </c>
      <c r="D219" s="6">
        <v>0.63882339000701904</v>
      </c>
      <c r="E219" s="6">
        <v>-0.42249506711959806</v>
      </c>
      <c r="F219" s="6">
        <v>-9.8729126155376004E-2</v>
      </c>
      <c r="G219" s="6">
        <v>-0.26685476303100603</v>
      </c>
      <c r="H219" s="6">
        <v>-0.6705823540687561</v>
      </c>
      <c r="I219" s="6">
        <v>2.7039796113968003E-2</v>
      </c>
      <c r="J219" s="6">
        <v>-0.32798731327056901</v>
      </c>
      <c r="K219" s="6">
        <v>1.4143087863922119</v>
      </c>
      <c r="L219" s="6">
        <v>-0.43175840377807606</v>
      </c>
      <c r="M219" s="6">
        <v>0.69466841220855702</v>
      </c>
      <c r="N219" s="6">
        <v>0.87684472544739611</v>
      </c>
      <c r="O219" s="6">
        <v>0.81450638423269306</v>
      </c>
      <c r="P219" s="6">
        <v>9.4366084185655943</v>
      </c>
      <c r="Q219" s="6">
        <v>8.0536275277830196</v>
      </c>
      <c r="R219" s="6">
        <v>34.169161944946687</v>
      </c>
      <c r="S219" s="6">
        <v>30.77714817403902</v>
      </c>
      <c r="T219" s="6">
        <v>29.468622207641602</v>
      </c>
      <c r="U219" s="6">
        <f>_xll.BDP($A219,"TRAILING_12M_R&amp;D_%_SALES",$A$1,$A$2)</f>
        <v>0</v>
      </c>
      <c r="V219" s="6">
        <v>30</v>
      </c>
      <c r="W219" s="6">
        <v>301010</v>
      </c>
      <c r="X219" s="6">
        <v>30101040</v>
      </c>
      <c r="Y219" s="7" t="s">
        <v>91</v>
      </c>
      <c r="Z219" s="7" t="s">
        <v>133</v>
      </c>
      <c r="AA219" s="7" t="s">
        <v>329</v>
      </c>
      <c r="AB219" s="6">
        <v>50.347049713134766</v>
      </c>
      <c r="AC219" s="6">
        <v>0.94215669317833106</v>
      </c>
      <c r="AD219" s="6">
        <v>-18.511221124053947</v>
      </c>
      <c r="AE219" s="6">
        <v>304000</v>
      </c>
      <c r="AF219" s="6">
        <v>231000</v>
      </c>
    </row>
    <row r="220" spans="1:32" s="4" customFormat="1" ht="12.75" x14ac:dyDescent="0.2">
      <c r="A220" s="7" t="s">
        <v>795</v>
      </c>
      <c r="B220" s="7" t="s">
        <v>796</v>
      </c>
      <c r="C220" s="7" t="s">
        <v>797</v>
      </c>
      <c r="D220" s="6">
        <v>-0.49608597159385703</v>
      </c>
      <c r="E220" s="6">
        <v>-0.53848344087600708</v>
      </c>
      <c r="F220" s="6">
        <v>-3.4042808692900002E-3</v>
      </c>
      <c r="G220" s="6">
        <v>-0.77808344364166304</v>
      </c>
      <c r="H220" s="6">
        <v>-0.11501418799161901</v>
      </c>
      <c r="I220" s="6">
        <v>0.62808084487915006</v>
      </c>
      <c r="J220" s="6">
        <v>-0.30027574300766002</v>
      </c>
      <c r="K220" s="6">
        <v>0.25812894105911299</v>
      </c>
      <c r="L220" s="6">
        <v>-0.45293629169464106</v>
      </c>
      <c r="M220" s="6">
        <v>-0.65522563457489003</v>
      </c>
      <c r="N220" s="6">
        <v>10.448114078862892</v>
      </c>
      <c r="O220" s="6">
        <v>9.7367030895725897</v>
      </c>
      <c r="P220" s="6">
        <v>2.4852517221141359</v>
      </c>
      <c r="Q220" s="6">
        <v>2.540422348260305</v>
      </c>
      <c r="R220" s="6">
        <v>28.091090523538099</v>
      </c>
      <c r="S220" s="6">
        <v>22.31426028748368</v>
      </c>
      <c r="T220" s="6">
        <v>14.555221557617188</v>
      </c>
      <c r="U220" s="6" t="str">
        <f>_xll.BDP($A220,"TRAILING_12M_R&amp;D_%_SALES",$A$1,$A$2)</f>
        <v>#N/A N/A</v>
      </c>
      <c r="V220" s="6">
        <v>20</v>
      </c>
      <c r="W220" s="6">
        <v>203040</v>
      </c>
      <c r="X220" s="6">
        <v>20304010</v>
      </c>
      <c r="Y220" s="7" t="s">
        <v>43</v>
      </c>
      <c r="Z220" s="7" t="s">
        <v>728</v>
      </c>
      <c r="AA220" s="7" t="s">
        <v>729</v>
      </c>
      <c r="AB220" s="6">
        <v>71.964591979980469</v>
      </c>
      <c r="AC220" s="6">
        <v>0.88397077960687209</v>
      </c>
      <c r="AD220" s="6">
        <v>5.0118844676575902</v>
      </c>
      <c r="AE220" s="6">
        <v>11834</v>
      </c>
      <c r="AF220" s="6">
        <v>11698</v>
      </c>
    </row>
    <row r="221" spans="1:32" s="4" customFormat="1" ht="12.75" x14ac:dyDescent="0.2">
      <c r="A221" s="7" t="s">
        <v>798</v>
      </c>
      <c r="B221" s="7" t="s">
        <v>799</v>
      </c>
      <c r="C221" s="7" t="s">
        <v>800</v>
      </c>
      <c r="D221" s="6">
        <v>-0.89559352397918712</v>
      </c>
      <c r="E221" s="6">
        <v>-0.82089352607727106</v>
      </c>
      <c r="F221" s="6">
        <v>-0.30805310606956504</v>
      </c>
      <c r="G221" s="6">
        <v>-0.76368242502212502</v>
      </c>
      <c r="H221" s="6">
        <v>1.2193905115127559</v>
      </c>
      <c r="I221" s="6">
        <v>0.50385403633117709</v>
      </c>
      <c r="J221" s="6">
        <v>-0.16330416500568401</v>
      </c>
      <c r="K221" s="6">
        <v>0.19260068237781502</v>
      </c>
      <c r="L221" s="6">
        <v>-0.42919683456420904</v>
      </c>
      <c r="M221" s="6">
        <v>-0.33405667543411305</v>
      </c>
      <c r="N221" s="6">
        <v>0.77533640775386303</v>
      </c>
      <c r="O221" s="6"/>
      <c r="P221" s="6">
        <v>6.2183630375126446</v>
      </c>
      <c r="Q221" s="6"/>
      <c r="R221" s="6">
        <v>36.665043819249782</v>
      </c>
      <c r="S221" s="6"/>
      <c r="T221" s="6">
        <v>17.322061538696289</v>
      </c>
      <c r="U221" s="6">
        <f>_xll.BDP($A221,"TRAILING_12M_R&amp;D_%_SALES",$A$1,$A$2)</f>
        <v>0</v>
      </c>
      <c r="V221" s="6">
        <v>30</v>
      </c>
      <c r="W221" s="6">
        <v>301010</v>
      </c>
      <c r="X221" s="6">
        <v>30101030</v>
      </c>
      <c r="Y221" s="7" t="s">
        <v>91</v>
      </c>
      <c r="Z221" s="7" t="s">
        <v>133</v>
      </c>
      <c r="AA221" s="7" t="s">
        <v>134</v>
      </c>
      <c r="AB221" s="6">
        <v>66.824264526367188</v>
      </c>
      <c r="AC221" s="6">
        <v>0.31677940556273104</v>
      </c>
      <c r="AD221" s="6">
        <v>9.1490971637566467</v>
      </c>
      <c r="AE221" s="6"/>
      <c r="AF221" s="6"/>
    </row>
    <row r="222" spans="1:32" s="4" customFormat="1" ht="12.75" x14ac:dyDescent="0.2">
      <c r="A222" s="7" t="s">
        <v>801</v>
      </c>
      <c r="B222" s="7" t="s">
        <v>802</v>
      </c>
      <c r="C222" s="7" t="s">
        <v>803</v>
      </c>
      <c r="D222" s="6">
        <v>0.56325644254684404</v>
      </c>
      <c r="E222" s="6">
        <v>-0.92672389745712302</v>
      </c>
      <c r="F222" s="6">
        <v>1.962454557418823</v>
      </c>
      <c r="G222" s="6">
        <v>-0.82640469074249301</v>
      </c>
      <c r="H222" s="6">
        <v>1.2557979822158809</v>
      </c>
      <c r="I222" s="6">
        <v>-9.5618233084679011E-2</v>
      </c>
      <c r="J222" s="6">
        <v>2.4590823650360112</v>
      </c>
      <c r="K222" s="6">
        <v>-0.84112077951431308</v>
      </c>
      <c r="L222" s="6">
        <v>3.00003981590271</v>
      </c>
      <c r="M222" s="6">
        <v>-1.0484001636505129</v>
      </c>
      <c r="N222" s="6">
        <v>1.2540243447516479</v>
      </c>
      <c r="O222" s="6">
        <v>1.2367387137165251</v>
      </c>
      <c r="P222" s="6">
        <v>0.46471735938520703</v>
      </c>
      <c r="Q222" s="6">
        <v>0.47652606829207406</v>
      </c>
      <c r="R222" s="6">
        <v>6.2126206698866646</v>
      </c>
      <c r="S222" s="6">
        <v>6.9965542428612872</v>
      </c>
      <c r="T222" s="6">
        <v>7.0129671096801758</v>
      </c>
      <c r="U222" s="6" t="str">
        <f>_xll.BDP($A222,"TRAILING_12M_R&amp;D_%_SALES",$A$1,$A$2)</f>
        <v>#N/A N/A</v>
      </c>
      <c r="V222" s="6">
        <v>40</v>
      </c>
      <c r="W222" s="6">
        <v>401010</v>
      </c>
      <c r="X222" s="6">
        <v>40101010</v>
      </c>
      <c r="Y222" s="7" t="s">
        <v>53</v>
      </c>
      <c r="Z222" s="7" t="s">
        <v>76</v>
      </c>
      <c r="AA222" s="7" t="s">
        <v>77</v>
      </c>
      <c r="AB222" s="6">
        <v>55.809276580810547</v>
      </c>
      <c r="AC222" s="6">
        <v>0.80433585776708305</v>
      </c>
      <c r="AD222" s="6">
        <v>-17.397074707830072</v>
      </c>
      <c r="AE222" s="6">
        <v>75975</v>
      </c>
      <c r="AF222" s="6">
        <v>73605</v>
      </c>
    </row>
    <row r="223" spans="1:32" s="4" customFormat="1" ht="12.75" x14ac:dyDescent="0.2">
      <c r="A223" s="7" t="s">
        <v>804</v>
      </c>
      <c r="B223" s="7" t="s">
        <v>805</v>
      </c>
      <c r="C223" s="7" t="s">
        <v>806</v>
      </c>
      <c r="D223" s="6">
        <v>0.56325644254684404</v>
      </c>
      <c r="E223" s="6">
        <v>-0.92672389745712302</v>
      </c>
      <c r="F223" s="6">
        <v>1.962454557418823</v>
      </c>
      <c r="G223" s="6">
        <v>-0.82640469074249301</v>
      </c>
      <c r="H223" s="6">
        <v>1.2557979822158809</v>
      </c>
      <c r="I223" s="6">
        <v>-9.5618233084679011E-2</v>
      </c>
      <c r="J223" s="6">
        <v>2.4590823650360112</v>
      </c>
      <c r="K223" s="6">
        <v>-0.84112077951431308</v>
      </c>
      <c r="L223" s="6">
        <v>3.00003981590271</v>
      </c>
      <c r="M223" s="6">
        <v>-1.0484001636505129</v>
      </c>
      <c r="N223" s="6">
        <v>1.2540243447516479</v>
      </c>
      <c r="O223" s="6"/>
      <c r="P223" s="6">
        <v>0.46471735938520703</v>
      </c>
      <c r="Q223" s="6"/>
      <c r="R223" s="6">
        <v>6.2126206698866646</v>
      </c>
      <c r="S223" s="6"/>
      <c r="T223" s="6">
        <v>7.0129671096801758</v>
      </c>
      <c r="U223" s="6" t="str">
        <f>_xll.BDP($A223,"TRAILING_12M_R&amp;D_%_SALES",$A$1,$A$2)</f>
        <v>#N/A N/A</v>
      </c>
      <c r="V223" s="6">
        <v>40</v>
      </c>
      <c r="W223" s="6">
        <v>401010</v>
      </c>
      <c r="X223" s="6">
        <v>40101010</v>
      </c>
      <c r="Y223" s="7" t="s">
        <v>53</v>
      </c>
      <c r="Z223" s="7" t="s">
        <v>76</v>
      </c>
      <c r="AA223" s="7" t="s">
        <v>77</v>
      </c>
      <c r="AB223" s="6">
        <v>55.809276580810547</v>
      </c>
      <c r="AC223" s="6">
        <v>0.94731888120036112</v>
      </c>
      <c r="AD223" s="6">
        <v>-19.076612308869144</v>
      </c>
      <c r="AE223" s="6">
        <v>75975</v>
      </c>
      <c r="AF223" s="6">
        <v>73605</v>
      </c>
    </row>
    <row r="224" spans="1:32" s="4" customFormat="1" ht="12.75" x14ac:dyDescent="0.2">
      <c r="A224" s="7" t="s">
        <v>807</v>
      </c>
      <c r="B224" s="7" t="s">
        <v>808</v>
      </c>
      <c r="C224" s="7" t="s">
        <v>809</v>
      </c>
      <c r="D224" s="6">
        <v>-0.12189701944589601</v>
      </c>
      <c r="E224" s="6">
        <v>-0.69414621591568004</v>
      </c>
      <c r="F224" s="6">
        <v>1.801852703094482</v>
      </c>
      <c r="G224" s="6">
        <v>-0.94538348913192705</v>
      </c>
      <c r="H224" s="6">
        <v>0.25578689575195301</v>
      </c>
      <c r="I224" s="6">
        <v>0.48617792129516602</v>
      </c>
      <c r="J224" s="6">
        <v>1.2258845567703249</v>
      </c>
      <c r="K224" s="6">
        <v>-8.6086586117744002E-2</v>
      </c>
      <c r="L224" s="6">
        <v>1.5412905216217041</v>
      </c>
      <c r="M224" s="6">
        <v>-0.75768381357193004</v>
      </c>
      <c r="N224" s="6">
        <v>1.0670286773060509</v>
      </c>
      <c r="O224" s="6">
        <v>0.86783536053242505</v>
      </c>
      <c r="P224" s="6">
        <v>1.0213926548811749</v>
      </c>
      <c r="Q224" s="6">
        <v>0.81960601399879907</v>
      </c>
      <c r="R224" s="6">
        <v>7.5389236735260612</v>
      </c>
      <c r="S224" s="6">
        <v>7.1537682765269279</v>
      </c>
      <c r="T224" s="6">
        <v>14.159514427185059</v>
      </c>
      <c r="U224" s="6">
        <f>_xll.BDP($A224,"TRAILING_12M_R&amp;D_%_SALES",$A$1,$A$2)</f>
        <v>0</v>
      </c>
      <c r="V224" s="6">
        <v>60</v>
      </c>
      <c r="W224" s="6">
        <v>602010</v>
      </c>
      <c r="X224" s="6">
        <v>60201030</v>
      </c>
      <c r="Y224" s="7" t="s">
        <v>307</v>
      </c>
      <c r="Z224" s="7" t="s">
        <v>615</v>
      </c>
      <c r="AA224" s="7" t="s">
        <v>616</v>
      </c>
      <c r="AB224" s="6">
        <v>55.276130676269531</v>
      </c>
      <c r="AC224" s="6">
        <v>0.33065619677797903</v>
      </c>
      <c r="AD224" s="6">
        <v>10.090287462782888</v>
      </c>
      <c r="AE224" s="6">
        <v>49478</v>
      </c>
      <c r="AF224" s="6">
        <v>33524</v>
      </c>
    </row>
    <row r="225" spans="1:32" s="4" customFormat="1" ht="12.75" x14ac:dyDescent="0.2">
      <c r="A225" s="7" t="s">
        <v>810</v>
      </c>
      <c r="B225" s="7" t="s">
        <v>811</v>
      </c>
      <c r="C225" s="7" t="s">
        <v>812</v>
      </c>
      <c r="D225" s="6">
        <v>-0.12189701944589601</v>
      </c>
      <c r="E225" s="6">
        <v>-0.69414621591568004</v>
      </c>
      <c r="F225" s="6">
        <v>1.801852703094482</v>
      </c>
      <c r="G225" s="6">
        <v>-0.94538348913192705</v>
      </c>
      <c r="H225" s="6">
        <v>0.25578689575195301</v>
      </c>
      <c r="I225" s="6">
        <v>0.48617792129516602</v>
      </c>
      <c r="J225" s="6">
        <v>1.2258845567703249</v>
      </c>
      <c r="K225" s="6">
        <v>-8.6086586117744002E-2</v>
      </c>
      <c r="L225" s="6">
        <v>1.5412905216217041</v>
      </c>
      <c r="M225" s="6">
        <v>-0.75768381357193004</v>
      </c>
      <c r="N225" s="6">
        <v>1.0670286773060509</v>
      </c>
      <c r="O225" s="6"/>
      <c r="P225" s="6">
        <v>1.0213926548811749</v>
      </c>
      <c r="Q225" s="6"/>
      <c r="R225" s="6">
        <v>7.5389236735260612</v>
      </c>
      <c r="S225" s="6"/>
      <c r="T225" s="6">
        <v>14.159514427185059</v>
      </c>
      <c r="U225" s="6">
        <f>_xll.BDP($A225,"TRAILING_12M_R&amp;D_%_SALES",$A$1,$A$2)</f>
        <v>0</v>
      </c>
      <c r="V225" s="6">
        <v>60</v>
      </c>
      <c r="W225" s="6">
        <v>602010</v>
      </c>
      <c r="X225" s="6">
        <v>60201030</v>
      </c>
      <c r="Y225" s="7" t="s">
        <v>307</v>
      </c>
      <c r="Z225" s="7" t="s">
        <v>615</v>
      </c>
      <c r="AA225" s="7" t="s">
        <v>616</v>
      </c>
      <c r="AB225" s="6">
        <v>55.276130676269531</v>
      </c>
      <c r="AC225" s="6">
        <v>0.23728512741005403</v>
      </c>
      <c r="AD225" s="6">
        <v>8.5796398997217693</v>
      </c>
      <c r="AE225" s="6">
        <v>49478</v>
      </c>
      <c r="AF225" s="6">
        <v>33524</v>
      </c>
    </row>
    <row r="226" spans="1:32" s="4" customFormat="1" ht="12.75" x14ac:dyDescent="0.2">
      <c r="A226" s="7" t="s">
        <v>813</v>
      </c>
      <c r="B226" s="7" t="s">
        <v>814</v>
      </c>
      <c r="C226" s="7" t="s">
        <v>815</v>
      </c>
      <c r="D226" s="6">
        <v>-0.90830922126770008</v>
      </c>
      <c r="E226" s="6">
        <v>-0.9667748808860781</v>
      </c>
      <c r="F226" s="6">
        <v>-0.46981325745582603</v>
      </c>
      <c r="G226" s="6">
        <v>-0.77309513092041005</v>
      </c>
      <c r="H226" s="6">
        <v>1.1804805994033809</v>
      </c>
      <c r="I226" s="6">
        <v>0.129982054233551</v>
      </c>
      <c r="J226" s="6">
        <v>3.0000185966491699</v>
      </c>
      <c r="K226" s="6">
        <v>-0.48786416649818404</v>
      </c>
      <c r="L226" s="6">
        <v>3.0000076293945308</v>
      </c>
      <c r="M226" s="6">
        <v>-0.615134418010712</v>
      </c>
      <c r="N226" s="6">
        <v>0.46932717893034903</v>
      </c>
      <c r="O226" s="6"/>
      <c r="P226" s="6">
        <v>0.50167584049893299</v>
      </c>
      <c r="Q226" s="6"/>
      <c r="R226" s="6">
        <v>2.7038474572574618</v>
      </c>
      <c r="S226" s="6"/>
      <c r="T226" s="6">
        <v>9.7085390090942383</v>
      </c>
      <c r="U226" s="6" t="str">
        <f>_xll.BDP($A226,"TRAILING_12M_R&amp;D_%_SALES",$A$1,$A$2)</f>
        <v>#N/A N/A</v>
      </c>
      <c r="V226" s="6">
        <v>40</v>
      </c>
      <c r="W226" s="6">
        <v>401010</v>
      </c>
      <c r="X226" s="6">
        <v>40101015</v>
      </c>
      <c r="Y226" s="7" t="s">
        <v>53</v>
      </c>
      <c r="Z226" s="7" t="s">
        <v>76</v>
      </c>
      <c r="AA226" s="7" t="s">
        <v>675</v>
      </c>
      <c r="AB226" s="6">
        <v>50.970726013183594</v>
      </c>
      <c r="AC226" s="6">
        <v>0.61486380018596909</v>
      </c>
      <c r="AD226" s="6"/>
      <c r="AE226" s="6">
        <v>14905</v>
      </c>
      <c r="AF226" s="6">
        <v>16245</v>
      </c>
    </row>
    <row r="227" spans="1:32" s="4" customFormat="1" ht="12.75" x14ac:dyDescent="0.2">
      <c r="A227" s="7" t="s">
        <v>816</v>
      </c>
      <c r="B227" s="7" t="s">
        <v>817</v>
      </c>
      <c r="C227" s="7" t="s">
        <v>818</v>
      </c>
      <c r="D227" s="6">
        <v>-0.47973072528839106</v>
      </c>
      <c r="E227" s="6">
        <v>-0.86336326599121105</v>
      </c>
      <c r="F227" s="6">
        <v>0.56693106889724709</v>
      </c>
      <c r="G227" s="6">
        <v>-0.63110268115997303</v>
      </c>
      <c r="H227" s="6">
        <v>1.0868350267410281</v>
      </c>
      <c r="I227" s="6">
        <v>0.42408928275108304</v>
      </c>
      <c r="J227" s="6">
        <v>1.55660080909729</v>
      </c>
      <c r="K227" s="6">
        <v>-0.68842834234237704</v>
      </c>
      <c r="L227" s="6">
        <v>0.78787642717361506</v>
      </c>
      <c r="M227" s="6">
        <v>-0.45863908529281605</v>
      </c>
      <c r="N227" s="6">
        <v>0.14895043069365402</v>
      </c>
      <c r="O227" s="6">
        <v>0.129503125671488</v>
      </c>
      <c r="P227" s="6">
        <v>1.122489210236395</v>
      </c>
      <c r="Q227" s="6">
        <v>1.0549705109390111</v>
      </c>
      <c r="R227" s="6">
        <v>11.935442110022715</v>
      </c>
      <c r="S227" s="6">
        <v>8.844118484380072</v>
      </c>
      <c r="T227" s="6">
        <v>10.837437629699707</v>
      </c>
      <c r="U227" s="6" t="str">
        <f>_xll.BDP($A227,"TRAILING_12M_R&amp;D_%_SALES",$A$1,$A$2)</f>
        <v>#N/A N/A</v>
      </c>
      <c r="V227" s="6">
        <v>30</v>
      </c>
      <c r="W227" s="6">
        <v>301010</v>
      </c>
      <c r="X227" s="6">
        <v>30101040</v>
      </c>
      <c r="Y227" s="7" t="s">
        <v>91</v>
      </c>
      <c r="Z227" s="7" t="s">
        <v>133</v>
      </c>
      <c r="AA227" s="7" t="s">
        <v>329</v>
      </c>
      <c r="AB227" s="6">
        <v>60.386280059814453</v>
      </c>
      <c r="AC227" s="6">
        <v>0.42486066098081804</v>
      </c>
      <c r="AD227" s="6">
        <v>-4.6479088709626364</v>
      </c>
      <c r="AE227" s="6">
        <v>319565</v>
      </c>
      <c r="AF227" s="6">
        <v>384151</v>
      </c>
    </row>
    <row r="228" spans="1:32" s="4" customFormat="1" ht="12.75" x14ac:dyDescent="0.2">
      <c r="A228" s="7" t="s">
        <v>819</v>
      </c>
      <c r="B228" s="7" t="s">
        <v>820</v>
      </c>
      <c r="C228" s="7" t="s">
        <v>821</v>
      </c>
      <c r="D228" s="6">
        <v>-0.48521026968956005</v>
      </c>
      <c r="E228" s="6">
        <v>-0.66825795173645008</v>
      </c>
      <c r="F228" s="6">
        <v>0.44590282440185502</v>
      </c>
      <c r="G228" s="6">
        <v>-0.86202716827392611</v>
      </c>
      <c r="H228" s="6">
        <v>-0.13940316438674902</v>
      </c>
      <c r="I228" s="6">
        <v>-0.104072518646717</v>
      </c>
      <c r="J228" s="6">
        <v>0.75386834144592307</v>
      </c>
      <c r="K228" s="6">
        <v>-0.87209224700927712</v>
      </c>
      <c r="L228" s="6">
        <v>0.65868961811065707</v>
      </c>
      <c r="M228" s="6">
        <v>-0.57889491319656405</v>
      </c>
      <c r="N228" s="6"/>
      <c r="O228" s="6">
        <v>0.8733705298044161</v>
      </c>
      <c r="P228" s="6"/>
      <c r="Q228" s="6">
        <v>1.333046655695719</v>
      </c>
      <c r="R228" s="6"/>
      <c r="S228" s="6">
        <v>11.638662052048268</v>
      </c>
      <c r="T228" s="6"/>
      <c r="U228" s="6">
        <f>_xll.BDP($A228,"TRAILING_12M_R&amp;D_%_SALES",$A$1,$A$2)</f>
        <v>0</v>
      </c>
      <c r="V228" s="6">
        <v>15</v>
      </c>
      <c r="W228" s="6">
        <v>151020</v>
      </c>
      <c r="X228" s="6">
        <v>15102010</v>
      </c>
      <c r="Y228" s="7" t="s">
        <v>38</v>
      </c>
      <c r="Z228" s="7" t="s">
        <v>39</v>
      </c>
      <c r="AA228" s="7" t="s">
        <v>39</v>
      </c>
      <c r="AB228" s="6">
        <v>75.857559204101563</v>
      </c>
      <c r="AC228" s="6">
        <v>1.0640702789508829</v>
      </c>
      <c r="AD228" s="6">
        <v>-22.085402479935745</v>
      </c>
      <c r="AE228" s="6">
        <v>77446</v>
      </c>
      <c r="AF228" s="6">
        <v>82889</v>
      </c>
    </row>
    <row r="229" spans="1:32" s="4" customFormat="1" ht="12.75" x14ac:dyDescent="0.2">
      <c r="A229" s="7" t="s">
        <v>822</v>
      </c>
      <c r="B229" s="7" t="s">
        <v>823</v>
      </c>
      <c r="C229" s="7" t="s">
        <v>824</v>
      </c>
      <c r="D229" s="6">
        <v>0.171268090605736</v>
      </c>
      <c r="E229" s="6">
        <v>-1.0416649580001831</v>
      </c>
      <c r="F229" s="6">
        <v>-0.17336870729923201</v>
      </c>
      <c r="G229" s="6">
        <v>0.11261089891195301</v>
      </c>
      <c r="H229" s="6">
        <v>-0.75222659111022905</v>
      </c>
      <c r="I229" s="6">
        <v>-1.3705558776855471</v>
      </c>
      <c r="J229" s="6">
        <v>-0.26233068108558705</v>
      </c>
      <c r="K229" s="6">
        <v>0.39587405323982205</v>
      </c>
      <c r="L229" s="6">
        <v>-0.81727248430252109</v>
      </c>
      <c r="M229" s="6">
        <v>-0.43337839841842701</v>
      </c>
      <c r="N229" s="6">
        <v>4.345483854089732</v>
      </c>
      <c r="O229" s="6">
        <v>3.8924475729860779</v>
      </c>
      <c r="P229" s="6">
        <v>2.2384656235336462</v>
      </c>
      <c r="Q229" s="6">
        <v>2.0127786640678118</v>
      </c>
      <c r="R229" s="6">
        <v>698.53697163470554</v>
      </c>
      <c r="S229" s="6">
        <v>24.000731400306829</v>
      </c>
      <c r="T229" s="6">
        <v>0.47764301300048806</v>
      </c>
      <c r="U229" s="6">
        <f>_xll.BDP($A229,"TRAILING_12M_R&amp;D_%_SALES",$A$1,$A$2)</f>
        <v>14.495316004749967</v>
      </c>
      <c r="V229" s="6">
        <v>45</v>
      </c>
      <c r="W229" s="6">
        <v>451030</v>
      </c>
      <c r="X229" s="6">
        <v>45103010</v>
      </c>
      <c r="Y229" s="7" t="s">
        <v>66</v>
      </c>
      <c r="Z229" s="7" t="s">
        <v>150</v>
      </c>
      <c r="AA229" s="7" t="s">
        <v>151</v>
      </c>
      <c r="AB229" s="6">
        <v>51.312744140625</v>
      </c>
      <c r="AC229" s="6">
        <v>1.3357117824346671</v>
      </c>
      <c r="AD229" s="6">
        <v>-48.071125450575906</v>
      </c>
      <c r="AE229" s="6">
        <v>73541</v>
      </c>
      <c r="AF229" s="6">
        <v>25000</v>
      </c>
    </row>
    <row r="230" spans="1:32" s="4" customFormat="1" ht="12.75" x14ac:dyDescent="0.2">
      <c r="A230" s="7" t="s">
        <v>825</v>
      </c>
      <c r="B230" s="7" t="s">
        <v>826</v>
      </c>
      <c r="C230" s="7" t="s">
        <v>827</v>
      </c>
      <c r="D230" s="6">
        <v>-0.47973072528839106</v>
      </c>
      <c r="E230" s="6">
        <v>-0.86336326599121105</v>
      </c>
      <c r="F230" s="6">
        <v>0.56693106889724709</v>
      </c>
      <c r="G230" s="6">
        <v>-0.63110268115997303</v>
      </c>
      <c r="H230" s="6">
        <v>1.0868350267410281</v>
      </c>
      <c r="I230" s="6">
        <v>0.42408928275108304</v>
      </c>
      <c r="J230" s="6">
        <v>1.55660080909729</v>
      </c>
      <c r="K230" s="6">
        <v>-0.68842834234237704</v>
      </c>
      <c r="L230" s="6">
        <v>0.78787642717361506</v>
      </c>
      <c r="M230" s="6">
        <v>-0.45863908529281605</v>
      </c>
      <c r="N230" s="6">
        <v>0.14895043069365402</v>
      </c>
      <c r="O230" s="6">
        <v>0.130927099663048</v>
      </c>
      <c r="P230" s="6">
        <v>1.122489210236395</v>
      </c>
      <c r="Q230" s="6">
        <v>0.21186030265187603</v>
      </c>
      <c r="R230" s="6">
        <v>11.935442110022715</v>
      </c>
      <c r="S230" s="6">
        <v>1.776085302253664</v>
      </c>
      <c r="T230" s="6">
        <v>10.837437629699707</v>
      </c>
      <c r="U230" s="6" t="str">
        <f>_xll.BDP($A230,"TRAILING_12M_R&amp;D_%_SALES",$A$1,$A$2)</f>
        <v>#N/A N/A</v>
      </c>
      <c r="V230" s="6">
        <v>30</v>
      </c>
      <c r="W230" s="6">
        <v>301010</v>
      </c>
      <c r="X230" s="6">
        <v>30101040</v>
      </c>
      <c r="Y230" s="7" t="s">
        <v>91</v>
      </c>
      <c r="Z230" s="7" t="s">
        <v>133</v>
      </c>
      <c r="AA230" s="7" t="s">
        <v>329</v>
      </c>
      <c r="AB230" s="6">
        <v>60.386280059814453</v>
      </c>
      <c r="AC230" s="6">
        <v>0.61823065050470405</v>
      </c>
      <c r="AD230" s="6">
        <v>-5.5861817108558753</v>
      </c>
      <c r="AE230" s="6">
        <v>319565</v>
      </c>
      <c r="AF230" s="6">
        <v>384151</v>
      </c>
    </row>
    <row r="231" spans="1:32" s="4" customFormat="1" ht="12.75" x14ac:dyDescent="0.2">
      <c r="A231" s="7" t="s">
        <v>828</v>
      </c>
      <c r="B231" s="7" t="s">
        <v>829</v>
      </c>
      <c r="C231" s="7" t="s">
        <v>830</v>
      </c>
      <c r="D231" s="6">
        <v>-0.27579692006111101</v>
      </c>
      <c r="E231" s="6">
        <v>-1.0283211469650271</v>
      </c>
      <c r="F231" s="6">
        <v>2.0050632953643799</v>
      </c>
      <c r="G231" s="6">
        <v>-0.20187547802925102</v>
      </c>
      <c r="H231" s="6">
        <v>1.3750126361846919</v>
      </c>
      <c r="I231" s="6">
        <v>0.99006670713424705</v>
      </c>
      <c r="J231" s="6">
        <v>0.250041574239731</v>
      </c>
      <c r="K231" s="6">
        <v>-0.85634750127792403</v>
      </c>
      <c r="L231" s="6">
        <v>-0.81727248430252109</v>
      </c>
      <c r="M231" s="6">
        <v>-0.79396331310272206</v>
      </c>
      <c r="N231" s="6"/>
      <c r="O231" s="6">
        <v>1.1116006655862369</v>
      </c>
      <c r="P231" s="6">
        <v>0.41578991583515101</v>
      </c>
      <c r="Q231" s="6">
        <v>0.39698978047465405</v>
      </c>
      <c r="R231" s="6">
        <v>7.9810827378259859</v>
      </c>
      <c r="S231" s="6">
        <v>7.1585691040761468</v>
      </c>
      <c r="T231" s="6">
        <v>4.7696638107299805</v>
      </c>
      <c r="U231" s="6" t="str">
        <f>_xll.BDP($A231,"TRAILING_12M_R&amp;D_%_SALES",$A$1,$A$2)</f>
        <v>#N/A N/A</v>
      </c>
      <c r="V231" s="6">
        <v>40</v>
      </c>
      <c r="W231" s="6">
        <v>401010</v>
      </c>
      <c r="X231" s="6">
        <v>40101010</v>
      </c>
      <c r="Y231" s="7" t="s">
        <v>53</v>
      </c>
      <c r="Z231" s="7" t="s">
        <v>76</v>
      </c>
      <c r="AA231" s="7" t="s">
        <v>77</v>
      </c>
      <c r="AB231" s="6">
        <v>54.813400268554688</v>
      </c>
      <c r="AC231" s="6">
        <v>0.41728069807575202</v>
      </c>
      <c r="AD231" s="6">
        <v>37.283235480653218</v>
      </c>
      <c r="AE231" s="6">
        <v>40181</v>
      </c>
      <c r="AF231" s="6">
        <v>49941</v>
      </c>
    </row>
    <row r="232" spans="1:32" s="4" customFormat="1" ht="12.75" x14ac:dyDescent="0.2">
      <c r="A232" s="7" t="s">
        <v>831</v>
      </c>
      <c r="B232" s="7" t="s">
        <v>832</v>
      </c>
      <c r="C232" s="7" t="s">
        <v>833</v>
      </c>
      <c r="D232" s="6">
        <v>-0.27579692006111101</v>
      </c>
      <c r="E232" s="6">
        <v>-1.0283211469650271</v>
      </c>
      <c r="F232" s="6">
        <v>2.0050632953643799</v>
      </c>
      <c r="G232" s="6">
        <v>-0.20187547802925102</v>
      </c>
      <c r="H232" s="6">
        <v>1.3750126361846919</v>
      </c>
      <c r="I232" s="6">
        <v>0.99006670713424705</v>
      </c>
      <c r="J232" s="6">
        <v>0.250041574239731</v>
      </c>
      <c r="K232" s="6">
        <v>-0.85634750127792403</v>
      </c>
      <c r="L232" s="6">
        <v>-0.81727248430252109</v>
      </c>
      <c r="M232" s="6">
        <v>-0.79396331310272206</v>
      </c>
      <c r="N232" s="6"/>
      <c r="O232" s="6"/>
      <c r="P232" s="6">
        <v>0.41578991583515101</v>
      </c>
      <c r="Q232" s="6"/>
      <c r="R232" s="6">
        <v>7.9810827378259859</v>
      </c>
      <c r="S232" s="6"/>
      <c r="T232" s="6">
        <v>4.7696638107299805</v>
      </c>
      <c r="U232" s="6" t="str">
        <f>_xll.BDP($A232,"TRAILING_12M_R&amp;D_%_SALES",$A$1,$A$2)</f>
        <v>#N/A N/A</v>
      </c>
      <c r="V232" s="6">
        <v>40</v>
      </c>
      <c r="W232" s="6">
        <v>401010</v>
      </c>
      <c r="X232" s="6">
        <v>40101010</v>
      </c>
      <c r="Y232" s="7" t="s">
        <v>53</v>
      </c>
      <c r="Z232" s="7" t="s">
        <v>76</v>
      </c>
      <c r="AA232" s="7" t="s">
        <v>77</v>
      </c>
      <c r="AB232" s="6">
        <v>54.813400268554688</v>
      </c>
      <c r="AC232" s="6">
        <v>1.02539972970552</v>
      </c>
      <c r="AD232" s="6">
        <v>23.19003360772458</v>
      </c>
      <c r="AE232" s="6">
        <v>40181</v>
      </c>
      <c r="AF232" s="6">
        <v>49941</v>
      </c>
    </row>
    <row r="233" spans="1:32" s="4" customFormat="1" ht="12.75" x14ac:dyDescent="0.2">
      <c r="A233" s="7" t="s">
        <v>834</v>
      </c>
      <c r="B233" s="7" t="s">
        <v>835</v>
      </c>
      <c r="C233" s="7" t="s">
        <v>836</v>
      </c>
      <c r="D233" s="6">
        <v>-9.5933660864830003E-2</v>
      </c>
      <c r="E233" s="6">
        <v>-1.551952004432678</v>
      </c>
      <c r="F233" s="6">
        <v>1.2724728584289551</v>
      </c>
      <c r="G233" s="6">
        <v>-0.311635822057724</v>
      </c>
      <c r="H233" s="6">
        <v>1.499242901802063</v>
      </c>
      <c r="I233" s="6">
        <v>-2.3501121997833252</v>
      </c>
      <c r="J233" s="6">
        <v>0.52599936723709106</v>
      </c>
      <c r="K233" s="6">
        <v>-0.60378021001815807</v>
      </c>
      <c r="L233" s="6">
        <v>0.8421716094017031</v>
      </c>
      <c r="M233" s="6">
        <v>-0.70499652624130205</v>
      </c>
      <c r="N233" s="6">
        <v>0.37204489005267005</v>
      </c>
      <c r="O233" s="6">
        <v>0.6602025068106081</v>
      </c>
      <c r="P233" s="6">
        <v>0.17660209578886801</v>
      </c>
      <c r="Q233" s="6">
        <v>0.21086649941591601</v>
      </c>
      <c r="R233" s="6"/>
      <c r="S233" s="6">
        <v>22.673777458920263</v>
      </c>
      <c r="T233" s="6">
        <v>-18.312538146972656</v>
      </c>
      <c r="U233" s="6" t="str">
        <f>_xll.BDP($A233,"TRAILING_12M_R&amp;D_%_SALES",$A$1,$A$2)</f>
        <v>#N/A N/A</v>
      </c>
      <c r="V233" s="6">
        <v>40</v>
      </c>
      <c r="W233" s="6">
        <v>402030</v>
      </c>
      <c r="X233" s="6">
        <v>40203030</v>
      </c>
      <c r="Y233" s="7" t="s">
        <v>53</v>
      </c>
      <c r="Z233" s="7" t="s">
        <v>298</v>
      </c>
      <c r="AA233" s="7" t="s">
        <v>837</v>
      </c>
      <c r="AB233" s="6">
        <v>60.094558715820313</v>
      </c>
      <c r="AC233" s="6">
        <v>1.1989668951932491</v>
      </c>
      <c r="AD233" s="6">
        <v>-66.918031170623749</v>
      </c>
      <c r="AE233" s="6">
        <v>50110</v>
      </c>
      <c r="AF233" s="6">
        <v>47170</v>
      </c>
    </row>
    <row r="234" spans="1:32" s="4" customFormat="1" ht="12.75" x14ac:dyDescent="0.2">
      <c r="A234" s="7" t="s">
        <v>838</v>
      </c>
      <c r="B234" s="7" t="s">
        <v>839</v>
      </c>
      <c r="C234" s="7" t="s">
        <v>840</v>
      </c>
      <c r="D234" s="6">
        <v>0.42007783055305503</v>
      </c>
      <c r="E234" s="6">
        <v>0.38632011413574202</v>
      </c>
      <c r="F234" s="6">
        <v>8.6457468569279008E-2</v>
      </c>
      <c r="G234" s="6">
        <v>-0.35119748115539601</v>
      </c>
      <c r="H234" s="6">
        <v>-0.94273364543914806</v>
      </c>
      <c r="I234" s="6">
        <v>-9.2422850430012013E-2</v>
      </c>
      <c r="J234" s="6">
        <v>7.1489885449408999E-2</v>
      </c>
      <c r="K234" s="6">
        <v>-0.66310244798660301</v>
      </c>
      <c r="L234" s="6">
        <v>0.74921077489852905</v>
      </c>
      <c r="M234" s="6">
        <v>-0.63848215341568004</v>
      </c>
      <c r="N234" s="6">
        <v>3.7736153788422659</v>
      </c>
      <c r="O234" s="6">
        <v>3.529247205869801</v>
      </c>
      <c r="P234" s="6">
        <v>4.8536680229571516</v>
      </c>
      <c r="Q234" s="6">
        <v>4.1618852654847043</v>
      </c>
      <c r="R234" s="6">
        <v>16.791527707442501</v>
      </c>
      <c r="S234" s="6">
        <v>12.97159609846355</v>
      </c>
      <c r="T234" s="6">
        <v>27.724681854248047</v>
      </c>
      <c r="U234" s="6">
        <f>_xll.BDP($A234,"TRAILING_12M_R&amp;D_%_SALES",$A$1,$A$2)</f>
        <v>16.080921441228586</v>
      </c>
      <c r="V234" s="6">
        <v>45</v>
      </c>
      <c r="W234" s="6">
        <v>452010</v>
      </c>
      <c r="X234" s="6">
        <v>45201020</v>
      </c>
      <c r="Y234" s="7" t="s">
        <v>66</v>
      </c>
      <c r="Z234" s="7" t="s">
        <v>841</v>
      </c>
      <c r="AA234" s="7" t="s">
        <v>841</v>
      </c>
      <c r="AB234" s="6">
        <v>64.973342895507813</v>
      </c>
      <c r="AC234" s="6">
        <v>0.8928530020614811</v>
      </c>
      <c r="AD234" s="6">
        <v>-22.761811325431768</v>
      </c>
      <c r="AE234" s="6">
        <v>83300</v>
      </c>
      <c r="AF234" s="6">
        <v>72900</v>
      </c>
    </row>
    <row r="235" spans="1:32" s="4" customFormat="1" ht="12.75" x14ac:dyDescent="0.2">
      <c r="A235" s="7" t="s">
        <v>842</v>
      </c>
      <c r="B235" s="7" t="s">
        <v>843</v>
      </c>
      <c r="C235" s="7" t="s">
        <v>844</v>
      </c>
      <c r="D235" s="6">
        <v>-9.5933660864830003E-2</v>
      </c>
      <c r="E235" s="6">
        <v>-1.551952004432678</v>
      </c>
      <c r="F235" s="6">
        <v>1.2724728584289551</v>
      </c>
      <c r="G235" s="6">
        <v>-0.311635822057724</v>
      </c>
      <c r="H235" s="6">
        <v>1.499242901802063</v>
      </c>
      <c r="I235" s="6">
        <v>-2.3501121997833252</v>
      </c>
      <c r="J235" s="6">
        <v>0.52599936723709106</v>
      </c>
      <c r="K235" s="6">
        <v>-0.60378021001815807</v>
      </c>
      <c r="L235" s="6">
        <v>0.8421716094017031</v>
      </c>
      <c r="M235" s="6">
        <v>-0.70499652624130205</v>
      </c>
      <c r="N235" s="6">
        <v>0.37204489005267005</v>
      </c>
      <c r="O235" s="6">
        <v>0.64065705788401306</v>
      </c>
      <c r="P235" s="6">
        <v>0.17660209578886801</v>
      </c>
      <c r="Q235" s="6">
        <v>0.20072989071119501</v>
      </c>
      <c r="R235" s="6"/>
      <c r="S235" s="6">
        <v>21.583697165511097</v>
      </c>
      <c r="T235" s="6">
        <v>-18.312538146972656</v>
      </c>
      <c r="U235" s="6" t="str">
        <f>_xll.BDP($A235,"TRAILING_12M_R&amp;D_%_SALES",$A$1,$A$2)</f>
        <v>#N/A N/A</v>
      </c>
      <c r="V235" s="6">
        <v>40</v>
      </c>
      <c r="W235" s="6">
        <v>402030</v>
      </c>
      <c r="X235" s="6">
        <v>40203030</v>
      </c>
      <c r="Y235" s="7" t="s">
        <v>53</v>
      </c>
      <c r="Z235" s="7" t="s">
        <v>298</v>
      </c>
      <c r="AA235" s="7" t="s">
        <v>837</v>
      </c>
      <c r="AB235" s="6">
        <v>60.094558715820313</v>
      </c>
      <c r="AC235" s="6">
        <v>0.97227609386567204</v>
      </c>
      <c r="AD235" s="6">
        <v>-67.319451095960275</v>
      </c>
      <c r="AE235" s="6">
        <v>50110</v>
      </c>
      <c r="AF235" s="6">
        <v>47170</v>
      </c>
    </row>
    <row r="236" spans="1:32" s="4" customFormat="1" ht="12.75" x14ac:dyDescent="0.2">
      <c r="A236" s="7" t="s">
        <v>845</v>
      </c>
      <c r="B236" s="7" t="s">
        <v>846</v>
      </c>
      <c r="C236" s="7" t="s">
        <v>847</v>
      </c>
      <c r="D236" s="6">
        <v>-0.47599476575851402</v>
      </c>
      <c r="E236" s="6">
        <v>-0.45242100954055803</v>
      </c>
      <c r="F236" s="6">
        <v>-1.8247523307800291</v>
      </c>
      <c r="G236" s="6">
        <v>-0.93471074104309104</v>
      </c>
      <c r="H236" s="6">
        <v>-0.63717859983444203</v>
      </c>
      <c r="I236" s="6">
        <v>0.14561453461647</v>
      </c>
      <c r="J236" s="6">
        <v>-0.48808497190475503</v>
      </c>
      <c r="K236" s="6">
        <v>0.34353736042976402</v>
      </c>
      <c r="L236" s="6">
        <v>-0.278510332107544</v>
      </c>
      <c r="M236" s="6">
        <v>-0.34829673171043402</v>
      </c>
      <c r="N236" s="6">
        <v>8.6710548024750995</v>
      </c>
      <c r="O236" s="6"/>
      <c r="P236" s="6">
        <v>6.4841101017904954</v>
      </c>
      <c r="Q236" s="6"/>
      <c r="R236" s="6">
        <v>40.223139706434864</v>
      </c>
      <c r="S236" s="6"/>
      <c r="T236" s="6">
        <v>19.641269683837891</v>
      </c>
      <c r="U236" s="6">
        <f>_xll.BDP($A236,"TRAILING_12M_R&amp;D_%_SALES",$A$1,$A$2)</f>
        <v>9.2317793827971109</v>
      </c>
      <c r="V236" s="6">
        <v>35</v>
      </c>
      <c r="W236" s="6">
        <v>352010</v>
      </c>
      <c r="X236" s="6">
        <v>35201010</v>
      </c>
      <c r="Y236" s="7" t="s">
        <v>86</v>
      </c>
      <c r="Z236" s="7" t="s">
        <v>87</v>
      </c>
      <c r="AA236" s="7" t="s">
        <v>87</v>
      </c>
      <c r="AB236" s="6">
        <v>61.583343505859375</v>
      </c>
      <c r="AC236" s="6">
        <v>0.79559654867166907</v>
      </c>
      <c r="AD236" s="6">
        <v>-7.0072719697483299</v>
      </c>
      <c r="AE236" s="6">
        <v>30000</v>
      </c>
      <c r="AF236" s="6"/>
    </row>
    <row r="237" spans="1:32" s="4" customFormat="1" ht="12.75" x14ac:dyDescent="0.2">
      <c r="A237" s="7" t="s">
        <v>848</v>
      </c>
      <c r="B237" s="7" t="s">
        <v>849</v>
      </c>
      <c r="C237" s="7" t="s">
        <v>850</v>
      </c>
      <c r="D237" s="6">
        <v>0.117427058517933</v>
      </c>
      <c r="E237" s="6">
        <v>-0.10136342793703101</v>
      </c>
      <c r="F237" s="6">
        <v>0.33178257942199701</v>
      </c>
      <c r="G237" s="6">
        <v>4.8379424959421005E-2</v>
      </c>
      <c r="H237" s="6">
        <v>-0.96037751436233509</v>
      </c>
      <c r="I237" s="6">
        <v>1.2110610008239751</v>
      </c>
      <c r="J237" s="6">
        <v>1.75471556186676</v>
      </c>
      <c r="K237" s="6">
        <v>-0.72357624769210804</v>
      </c>
      <c r="L237" s="6">
        <v>3.00003981590271</v>
      </c>
      <c r="M237" s="6">
        <v>-0.368312448263168</v>
      </c>
      <c r="N237" s="6">
        <v>1.1230972109867421</v>
      </c>
      <c r="O237" s="6"/>
      <c r="P237" s="6">
        <v>1.0159819228726861</v>
      </c>
      <c r="Q237" s="6"/>
      <c r="R237" s="6">
        <v>5.5968970259763733</v>
      </c>
      <c r="S237" s="6"/>
      <c r="T237" s="6">
        <v>18.014705657958984</v>
      </c>
      <c r="U237" s="6">
        <f>_xll.BDP($A237,"TRAILING_12M_R&amp;D_%_SALES",$A$1,$A$2)</f>
        <v>0.97182632523091039</v>
      </c>
      <c r="V237" s="6">
        <v>10</v>
      </c>
      <c r="W237" s="6">
        <v>101020</v>
      </c>
      <c r="X237" s="6">
        <v>10102050</v>
      </c>
      <c r="Y237" s="7" t="s">
        <v>505</v>
      </c>
      <c r="Z237" s="7" t="s">
        <v>556</v>
      </c>
      <c r="AA237" s="7" t="s">
        <v>658</v>
      </c>
      <c r="AB237" s="6">
        <v>59.108741760253906</v>
      </c>
      <c r="AC237" s="6">
        <v>0.55593909134560704</v>
      </c>
      <c r="AD237" s="6">
        <v>39.112114647087836</v>
      </c>
      <c r="AE237" s="6">
        <v>77872</v>
      </c>
      <c r="AF237" s="6">
        <v>90882</v>
      </c>
    </row>
    <row r="238" spans="1:32" s="4" customFormat="1" ht="12.75" x14ac:dyDescent="0.2">
      <c r="A238" s="7" t="s">
        <v>851</v>
      </c>
      <c r="B238" s="7" t="s">
        <v>852</v>
      </c>
      <c r="C238" s="7" t="s">
        <v>853</v>
      </c>
      <c r="D238" s="6">
        <v>-0.41469907760620101</v>
      </c>
      <c r="E238" s="6">
        <v>-0.13085205852985402</v>
      </c>
      <c r="F238" s="6">
        <v>-0.24953253567218803</v>
      </c>
      <c r="G238" s="6">
        <v>4.2831925675270001E-3</v>
      </c>
      <c r="H238" s="6">
        <v>0.56641918420791604</v>
      </c>
      <c r="I238" s="6">
        <v>-7.7598042786121008E-2</v>
      </c>
      <c r="J238" s="6">
        <v>4.2269814759493006E-2</v>
      </c>
      <c r="K238" s="6">
        <v>-1.059248685836792</v>
      </c>
      <c r="L238" s="6">
        <v>-0.18809667229652402</v>
      </c>
      <c r="M238" s="6">
        <v>-0.60280203819274902</v>
      </c>
      <c r="N238" s="6">
        <v>4.62010647723001</v>
      </c>
      <c r="O238" s="6">
        <v>4.4199367835598666</v>
      </c>
      <c r="P238" s="6">
        <v>5.0578252317016927</v>
      </c>
      <c r="Q238" s="6">
        <v>4.847236660394298</v>
      </c>
      <c r="R238" s="6">
        <v>17.585436272697038</v>
      </c>
      <c r="S238" s="6">
        <v>16.325824628528462</v>
      </c>
      <c r="T238" s="6">
        <v>31.355379104614258</v>
      </c>
      <c r="U238" s="6">
        <f>_xll.BDP($A238,"TRAILING_12M_R&amp;D_%_SALES",$A$1,$A$2)</f>
        <v>0</v>
      </c>
      <c r="V238" s="6">
        <v>20</v>
      </c>
      <c r="W238" s="6">
        <v>203040</v>
      </c>
      <c r="X238" s="6">
        <v>20304010</v>
      </c>
      <c r="Y238" s="7" t="s">
        <v>43</v>
      </c>
      <c r="Z238" s="7" t="s">
        <v>728</v>
      </c>
      <c r="AA238" s="7" t="s">
        <v>729</v>
      </c>
      <c r="AB238" s="6">
        <v>62.528919219970703</v>
      </c>
      <c r="AC238" s="6">
        <v>0.88737389161097602</v>
      </c>
      <c r="AD238" s="6">
        <v>-15.962386611550972</v>
      </c>
      <c r="AE238" s="6">
        <v>20919</v>
      </c>
      <c r="AF238" s="6">
        <v>27000</v>
      </c>
    </row>
    <row r="239" spans="1:32" s="4" customFormat="1" ht="12.75" x14ac:dyDescent="0.2">
      <c r="A239" s="7" t="s">
        <v>854</v>
      </c>
      <c r="B239" s="7" t="s">
        <v>855</v>
      </c>
      <c r="C239" s="7" t="s">
        <v>856</v>
      </c>
      <c r="D239" s="6">
        <v>-0.66337555646896407</v>
      </c>
      <c r="E239" s="6">
        <v>-0.92766582965850808</v>
      </c>
      <c r="F239" s="6">
        <v>1.6536222696304321</v>
      </c>
      <c r="G239" s="6">
        <v>-0.97985011339187611</v>
      </c>
      <c r="H239" s="6">
        <v>0.84087115526199308</v>
      </c>
      <c r="I239" s="6">
        <v>0.14870335161685902</v>
      </c>
      <c r="J239" s="6">
        <v>1.2582530975341801</v>
      </c>
      <c r="K239" s="6">
        <v>-7.2793148458004012E-2</v>
      </c>
      <c r="L239" s="6">
        <v>1.536561846733093</v>
      </c>
      <c r="M239" s="6">
        <v>-0.69119274616241511</v>
      </c>
      <c r="N239" s="6">
        <v>0.11347166670489101</v>
      </c>
      <c r="O239" s="6"/>
      <c r="P239" s="6">
        <v>0.41754927471609804</v>
      </c>
      <c r="Q239" s="6"/>
      <c r="R239" s="6">
        <v>6.8351212417468545</v>
      </c>
      <c r="S239" s="6"/>
      <c r="T239" s="6">
        <v>5.8225178718566895</v>
      </c>
      <c r="U239" s="6" t="str">
        <f>_xll.BDP($A239,"TRAILING_12M_R&amp;D_%_SALES",$A$1,$A$2)</f>
        <v>#N/A N/A</v>
      </c>
      <c r="V239" s="6">
        <v>40</v>
      </c>
      <c r="W239" s="6">
        <v>403010</v>
      </c>
      <c r="X239" s="6">
        <v>40301020</v>
      </c>
      <c r="Y239" s="7" t="s">
        <v>53</v>
      </c>
      <c r="Z239" s="7" t="s">
        <v>54</v>
      </c>
      <c r="AA239" s="7" t="s">
        <v>55</v>
      </c>
      <c r="AB239" s="6">
        <v>51.815711975097656</v>
      </c>
      <c r="AC239" s="6">
        <v>0.34307601474927901</v>
      </c>
      <c r="AD239" s="6"/>
      <c r="AE239" s="6">
        <v>68446</v>
      </c>
      <c r="AF239" s="6">
        <v>60270</v>
      </c>
    </row>
    <row r="240" spans="1:32" s="4" customFormat="1" ht="12.75" x14ac:dyDescent="0.2">
      <c r="A240" s="7" t="s">
        <v>857</v>
      </c>
      <c r="B240" s="7" t="s">
        <v>858</v>
      </c>
      <c r="C240" s="7" t="s">
        <v>859</v>
      </c>
      <c r="D240" s="6">
        <v>-0.84204083681106612</v>
      </c>
      <c r="E240" s="6">
        <v>-0.533203125</v>
      </c>
      <c r="F240" s="6">
        <v>0.51137399673461903</v>
      </c>
      <c r="G240" s="6">
        <v>-0.65272432565689109</v>
      </c>
      <c r="H240" s="6">
        <v>0.30268049240112305</v>
      </c>
      <c r="I240" s="6">
        <v>-0.274561077356339</v>
      </c>
      <c r="J240" s="6">
        <v>2.213626384735107</v>
      </c>
      <c r="K240" s="6">
        <v>-1.194624185562134</v>
      </c>
      <c r="L240" s="6">
        <v>1.1198732852935791</v>
      </c>
      <c r="M240" s="6">
        <v>-0.5956201553344731</v>
      </c>
      <c r="N240" s="6">
        <v>0.84094449319645803</v>
      </c>
      <c r="O240" s="6"/>
      <c r="P240" s="6">
        <v>0.69160354470850605</v>
      </c>
      <c r="Q240" s="6"/>
      <c r="R240" s="6">
        <v>8.9739422542428127</v>
      </c>
      <c r="S240" s="6"/>
      <c r="T240" s="6">
        <v>4.319237232208252</v>
      </c>
      <c r="U240" s="6">
        <f>_xll.BDP($A240,"TRAILING_12M_R&amp;D_%_SALES",$A$1,$A$2)</f>
        <v>0</v>
      </c>
      <c r="V240" s="6">
        <v>50</v>
      </c>
      <c r="W240" s="6">
        <v>501010</v>
      </c>
      <c r="X240" s="6">
        <v>50101020</v>
      </c>
      <c r="Y240" s="7" t="s">
        <v>367</v>
      </c>
      <c r="Z240" s="7" t="s">
        <v>458</v>
      </c>
      <c r="AA240" s="7" t="s">
        <v>459</v>
      </c>
      <c r="AB240" s="6">
        <v>47.117996215820313</v>
      </c>
      <c r="AC240" s="6">
        <v>0.19769424117238202</v>
      </c>
      <c r="AD240" s="6"/>
      <c r="AE240" s="6">
        <v>23300</v>
      </c>
      <c r="AF240" s="6">
        <v>14345</v>
      </c>
    </row>
    <row r="241" spans="1:32" s="4" customFormat="1" ht="12.75" x14ac:dyDescent="0.2">
      <c r="A241" s="7" t="s">
        <v>860</v>
      </c>
      <c r="B241" s="7" t="s">
        <v>861</v>
      </c>
      <c r="C241" s="7" t="s">
        <v>862</v>
      </c>
      <c r="D241" s="6">
        <v>-0.18325574696064001</v>
      </c>
      <c r="E241" s="6">
        <v>-0.9632100462913511</v>
      </c>
      <c r="F241" s="6">
        <v>3.0001339912414551</v>
      </c>
      <c r="G241" s="6">
        <v>-0.34263443946838401</v>
      </c>
      <c r="H241" s="6">
        <v>0.94083642959594704</v>
      </c>
      <c r="I241" s="6">
        <v>-1.1076780557632451</v>
      </c>
      <c r="J241" s="6">
        <v>2.5044431686401372</v>
      </c>
      <c r="K241" s="6">
        <v>-0.91332781314849909</v>
      </c>
      <c r="L241" s="6">
        <v>1.3784898519515991</v>
      </c>
      <c r="M241" s="6">
        <v>-0.90363097190856911</v>
      </c>
      <c r="N241" s="6">
        <v>0.117670217263521</v>
      </c>
      <c r="O241" s="6">
        <v>0.159731310189271</v>
      </c>
      <c r="P241" s="6">
        <v>0.27684981528910202</v>
      </c>
      <c r="Q241" s="6">
        <v>0.26325433444844104</v>
      </c>
      <c r="R241" s="6">
        <v>4.2093078124290413</v>
      </c>
      <c r="S241" s="6">
        <v>3.9246249648517151</v>
      </c>
      <c r="T241" s="6">
        <v>6.4999232292175293</v>
      </c>
      <c r="U241" s="6">
        <f>_xll.BDP($A241,"TRAILING_12M_R&amp;D_%_SALES",$A$1,$A$2)</f>
        <v>0.34428195716886795</v>
      </c>
      <c r="V241" s="6">
        <v>60</v>
      </c>
      <c r="W241" s="6">
        <v>602010</v>
      </c>
      <c r="X241" s="6">
        <v>60201030</v>
      </c>
      <c r="Y241" s="7" t="s">
        <v>307</v>
      </c>
      <c r="Z241" s="7" t="s">
        <v>615</v>
      </c>
      <c r="AA241" s="7" t="s">
        <v>616</v>
      </c>
      <c r="AB241" s="6">
        <v>57.499244689941406</v>
      </c>
      <c r="AC241" s="6">
        <v>0.29037353221093304</v>
      </c>
      <c r="AD241" s="6">
        <v>-59.174954028847552</v>
      </c>
      <c r="AE241" s="6">
        <v>100705</v>
      </c>
      <c r="AF241" s="6">
        <v>94450</v>
      </c>
    </row>
    <row r="242" spans="1:32" s="4" customFormat="1" ht="12.75" x14ac:dyDescent="0.2">
      <c r="A242" s="7" t="s">
        <v>863</v>
      </c>
      <c r="B242" s="7" t="s">
        <v>861</v>
      </c>
      <c r="C242" s="7" t="s">
        <v>864</v>
      </c>
      <c r="D242" s="6">
        <v>-0.18325574696064001</v>
      </c>
      <c r="E242" s="6">
        <v>-0.9632100462913511</v>
      </c>
      <c r="F242" s="6">
        <v>3.0001339912414551</v>
      </c>
      <c r="G242" s="6">
        <v>-0.34263443946838401</v>
      </c>
      <c r="H242" s="6">
        <v>0.94083642959594704</v>
      </c>
      <c r="I242" s="6">
        <v>-1.1076780557632451</v>
      </c>
      <c r="J242" s="6">
        <v>2.5044431686401372</v>
      </c>
      <c r="K242" s="6">
        <v>-0.91332781314849909</v>
      </c>
      <c r="L242" s="6">
        <v>1.3784898519515991</v>
      </c>
      <c r="M242" s="6">
        <v>-0.90363097190856911</v>
      </c>
      <c r="N242" s="6">
        <v>0.117670217263521</v>
      </c>
      <c r="O242" s="6"/>
      <c r="P242" s="6">
        <v>0.27684981528910202</v>
      </c>
      <c r="Q242" s="6"/>
      <c r="R242" s="6">
        <v>4.2093078124290413</v>
      </c>
      <c r="S242" s="6"/>
      <c r="T242" s="6">
        <v>6.4999232292175293</v>
      </c>
      <c r="U242" s="6">
        <f>_xll.BDP($A242,"TRAILING_12M_R&amp;D_%_SALES",$A$1,$A$2)</f>
        <v>0.34428195716886795</v>
      </c>
      <c r="V242" s="6">
        <v>60</v>
      </c>
      <c r="W242" s="6">
        <v>602010</v>
      </c>
      <c r="X242" s="6">
        <v>60201030</v>
      </c>
      <c r="Y242" s="7" t="s">
        <v>307</v>
      </c>
      <c r="Z242" s="7" t="s">
        <v>615</v>
      </c>
      <c r="AA242" s="7" t="s">
        <v>616</v>
      </c>
      <c r="AB242" s="6">
        <v>57.499244689941406</v>
      </c>
      <c r="AC242" s="6">
        <v>0.24925922164878203</v>
      </c>
      <c r="AD242" s="6">
        <v>-63.942347829680401</v>
      </c>
      <c r="AE242" s="6">
        <v>100705</v>
      </c>
      <c r="AF242" s="6">
        <v>94450</v>
      </c>
    </row>
    <row r="243" spans="1:32" s="4" customFormat="1" ht="12.75" x14ac:dyDescent="0.2">
      <c r="A243" s="7" t="s">
        <v>865</v>
      </c>
      <c r="B243" s="7" t="s">
        <v>866</v>
      </c>
      <c r="C243" s="7" t="s">
        <v>867</v>
      </c>
      <c r="D243" s="6">
        <v>-0.86100596189498901</v>
      </c>
      <c r="E243" s="6">
        <v>-0.12421122193336499</v>
      </c>
      <c r="F243" s="6">
        <v>-0.37143608927726701</v>
      </c>
      <c r="G243" s="6">
        <v>-4.8971582204103005E-2</v>
      </c>
      <c r="H243" s="6">
        <v>-1.051491856575012</v>
      </c>
      <c r="I243" s="6">
        <v>-0.5957617163658141</v>
      </c>
      <c r="J243" s="6">
        <v>0.46174111962318404</v>
      </c>
      <c r="K243" s="6">
        <v>-0.44081035256385803</v>
      </c>
      <c r="L243" s="6">
        <v>0.12533657252788502</v>
      </c>
      <c r="M243" s="6">
        <v>-0.53459537029266402</v>
      </c>
      <c r="N243" s="6">
        <v>1.539170447299917</v>
      </c>
      <c r="O243" s="6">
        <v>1.4627690260157851</v>
      </c>
      <c r="P243" s="6">
        <v>2.4582421454634469</v>
      </c>
      <c r="Q243" s="6">
        <v>2.0902899278597742</v>
      </c>
      <c r="R243" s="6">
        <v>12.708888247042543</v>
      </c>
      <c r="S243" s="6">
        <v>12.153333195899762</v>
      </c>
      <c r="T243" s="6">
        <v>19.954050064086914</v>
      </c>
      <c r="U243" s="6">
        <f>_xll.BDP($A243,"TRAILING_12M_R&amp;D_%_SALES",$A$1,$A$2)</f>
        <v>0</v>
      </c>
      <c r="V243" s="6">
        <v>45</v>
      </c>
      <c r="W243" s="6">
        <v>451020</v>
      </c>
      <c r="X243" s="6">
        <v>45102010</v>
      </c>
      <c r="Y243" s="7" t="s">
        <v>66</v>
      </c>
      <c r="Z243" s="7" t="s">
        <v>138</v>
      </c>
      <c r="AA243" s="7" t="s">
        <v>139</v>
      </c>
      <c r="AB243" s="6">
        <v>49.411529541015625</v>
      </c>
      <c r="AC243" s="6">
        <v>1.0283092061184651</v>
      </c>
      <c r="AD243" s="6">
        <v>-34.700468316343503</v>
      </c>
      <c r="AE243" s="6">
        <v>330660</v>
      </c>
      <c r="AF243" s="6">
        <v>260200</v>
      </c>
    </row>
    <row r="244" spans="1:32" s="4" customFormat="1" ht="12.75" x14ac:dyDescent="0.2">
      <c r="A244" s="7" t="s">
        <v>868</v>
      </c>
      <c r="B244" s="7" t="s">
        <v>869</v>
      </c>
      <c r="C244" s="7" t="s">
        <v>870</v>
      </c>
      <c r="D244" s="6">
        <v>-0.76621043682098411</v>
      </c>
      <c r="E244" s="6">
        <v>-1.1509473323822019</v>
      </c>
      <c r="F244" s="6">
        <v>1.076829791069031</v>
      </c>
      <c r="G244" s="6">
        <v>-0.74442547559738204</v>
      </c>
      <c r="H244" s="6">
        <v>-8.9160993695259011E-2</v>
      </c>
      <c r="I244" s="6">
        <v>-0.88189226388931308</v>
      </c>
      <c r="J244" s="6">
        <v>1.0824863910675051</v>
      </c>
      <c r="K244" s="6">
        <v>-1.274129986763</v>
      </c>
      <c r="L244" s="6">
        <v>1.1021662950515749</v>
      </c>
      <c r="M244" s="6">
        <v>-5.7626713067293008E-2</v>
      </c>
      <c r="N244" s="6">
        <v>0.29530830774684502</v>
      </c>
      <c r="O244" s="6">
        <v>0.26929225669497003</v>
      </c>
      <c r="P244" s="6">
        <v>0.78436465046948611</v>
      </c>
      <c r="Q244" s="6">
        <v>0.7918547922386201</v>
      </c>
      <c r="R244" s="6"/>
      <c r="S244" s="6">
        <v>6.6424156007103665</v>
      </c>
      <c r="T244" s="6">
        <v>-0.67911201715469405</v>
      </c>
      <c r="U244" s="6">
        <f>_xll.BDP($A244,"TRAILING_12M_R&amp;D_%_SALES",$A$1,$A$2)</f>
        <v>10.443347540950878</v>
      </c>
      <c r="V244" s="6">
        <v>25</v>
      </c>
      <c r="W244" s="6">
        <v>251010</v>
      </c>
      <c r="X244" s="6">
        <v>25101010</v>
      </c>
      <c r="Y244" s="7" t="s">
        <v>108</v>
      </c>
      <c r="Z244" s="7" t="s">
        <v>564</v>
      </c>
      <c r="AA244" s="7" t="s">
        <v>871</v>
      </c>
      <c r="AB244" s="6">
        <v>52.731113433837891</v>
      </c>
      <c r="AC244" s="6">
        <v>0.79055370923937707</v>
      </c>
      <c r="AD244" s="6">
        <v>-40.83316758605563</v>
      </c>
      <c r="AE244" s="6">
        <v>190875</v>
      </c>
      <c r="AF244" s="6">
        <v>220137</v>
      </c>
    </row>
    <row r="245" spans="1:32" s="4" customFormat="1" ht="12.75" x14ac:dyDescent="0.2">
      <c r="A245" s="7" t="s">
        <v>872</v>
      </c>
      <c r="B245" s="7" t="s">
        <v>873</v>
      </c>
      <c r="C245" s="7" t="s">
        <v>874</v>
      </c>
      <c r="D245" s="6">
        <v>-0.76621043682098411</v>
      </c>
      <c r="E245" s="6">
        <v>-1.1509473323822019</v>
      </c>
      <c r="F245" s="6">
        <v>1.076829791069031</v>
      </c>
      <c r="G245" s="6">
        <v>-0.74442547559738204</v>
      </c>
      <c r="H245" s="6">
        <v>-8.9160993695259011E-2</v>
      </c>
      <c r="I245" s="6">
        <v>-0.88189226388931308</v>
      </c>
      <c r="J245" s="6">
        <v>1.0824863910675051</v>
      </c>
      <c r="K245" s="6">
        <v>-1.274129986763</v>
      </c>
      <c r="L245" s="6">
        <v>1.1021662950515749</v>
      </c>
      <c r="M245" s="6">
        <v>-5.7626713067293008E-2</v>
      </c>
      <c r="N245" s="6">
        <v>0.29530830774684502</v>
      </c>
      <c r="O245" s="6">
        <v>0.27161256366117104</v>
      </c>
      <c r="P245" s="6">
        <v>0.78436465046948611</v>
      </c>
      <c r="Q245" s="6">
        <v>0.79867765539792301</v>
      </c>
      <c r="R245" s="6"/>
      <c r="S245" s="6">
        <v>6.6996570798530595</v>
      </c>
      <c r="T245" s="6">
        <v>-0.67911201715469405</v>
      </c>
      <c r="U245" s="6">
        <f>_xll.BDP($A245,"TRAILING_12M_R&amp;D_%_SALES",$A$1,$A$2)</f>
        <v>10.443347540950878</v>
      </c>
      <c r="V245" s="6">
        <v>25</v>
      </c>
      <c r="W245" s="6">
        <v>251010</v>
      </c>
      <c r="X245" s="6">
        <v>25101010</v>
      </c>
      <c r="Y245" s="7" t="s">
        <v>108</v>
      </c>
      <c r="Z245" s="7" t="s">
        <v>564</v>
      </c>
      <c r="AA245" s="7" t="s">
        <v>871</v>
      </c>
      <c r="AB245" s="6">
        <v>52.731113433837891</v>
      </c>
      <c r="AC245" s="6">
        <v>1.144478780477884</v>
      </c>
      <c r="AD245" s="6">
        <v>-41.028840671947322</v>
      </c>
      <c r="AE245" s="6">
        <v>190875</v>
      </c>
      <c r="AF245" s="6">
        <v>220137</v>
      </c>
    </row>
    <row r="246" spans="1:32" s="4" customFormat="1" ht="12.75" x14ac:dyDescent="0.2">
      <c r="A246" s="7" t="s">
        <v>875</v>
      </c>
      <c r="B246" s="7" t="s">
        <v>876</v>
      </c>
      <c r="C246" s="7" t="s">
        <v>877</v>
      </c>
      <c r="D246" s="6">
        <v>-0.52898234128952004</v>
      </c>
      <c r="E246" s="6">
        <v>-0.7936404347419741</v>
      </c>
      <c r="F246" s="6">
        <v>0.35655829310417203</v>
      </c>
      <c r="G246" s="6">
        <v>-0.398663491010666</v>
      </c>
      <c r="H246" s="6">
        <v>-1.232387900352478</v>
      </c>
      <c r="I246" s="6">
        <v>0.92151021957397505</v>
      </c>
      <c r="J246" s="6">
        <v>1.8772749230266002E-2</v>
      </c>
      <c r="K246" s="6">
        <v>-0.72558695077896107</v>
      </c>
      <c r="L246" s="6">
        <v>-0.32084280252456704</v>
      </c>
      <c r="M246" s="6">
        <v>-0.45536220073700001</v>
      </c>
      <c r="N246" s="6">
        <v>2.4895224416283561</v>
      </c>
      <c r="O246" s="6">
        <v>2.281829661997004</v>
      </c>
      <c r="P246" s="6">
        <v>1.6945622504976301</v>
      </c>
      <c r="Q246" s="6">
        <v>1.652771105571448</v>
      </c>
      <c r="R246" s="6">
        <v>33.010175059097506</v>
      </c>
      <c r="S246" s="6">
        <v>18.707364855687647</v>
      </c>
      <c r="T246" s="6">
        <v>5.4896740913391113</v>
      </c>
      <c r="U246" s="6">
        <f>_xll.BDP($A246,"TRAILING_12M_R&amp;D_%_SALES",$A$1,$A$2)</f>
        <v>8.2919328128696463</v>
      </c>
      <c r="V246" s="6">
        <v>15</v>
      </c>
      <c r="W246" s="6">
        <v>151010</v>
      </c>
      <c r="X246" s="6">
        <v>15101030</v>
      </c>
      <c r="Y246" s="7" t="s">
        <v>38</v>
      </c>
      <c r="Z246" s="7" t="s">
        <v>48</v>
      </c>
      <c r="AA246" s="7" t="s">
        <v>878</v>
      </c>
      <c r="AB246" s="6">
        <v>63.695804595947266</v>
      </c>
      <c r="AC246" s="6">
        <v>0.73955298547953707</v>
      </c>
      <c r="AD246" s="6">
        <v>25.997655005501883</v>
      </c>
      <c r="AE246" s="6">
        <v>21000</v>
      </c>
      <c r="AF246" s="6"/>
    </row>
    <row r="247" spans="1:32" s="4" customFormat="1" ht="12.75" x14ac:dyDescent="0.2">
      <c r="A247" s="7" t="s">
        <v>879</v>
      </c>
      <c r="B247" s="7" t="s">
        <v>880</v>
      </c>
      <c r="C247" s="7" t="s">
        <v>881</v>
      </c>
      <c r="D247" s="6">
        <v>0.117427058517933</v>
      </c>
      <c r="E247" s="6">
        <v>-0.10136342793703101</v>
      </c>
      <c r="F247" s="6">
        <v>0.33178257942199701</v>
      </c>
      <c r="G247" s="6">
        <v>4.8379424959421005E-2</v>
      </c>
      <c r="H247" s="6">
        <v>-0.96037751436233509</v>
      </c>
      <c r="I247" s="6">
        <v>1.2110610008239751</v>
      </c>
      <c r="J247" s="6">
        <v>1.75471556186676</v>
      </c>
      <c r="K247" s="6">
        <v>-0.72357624769210804</v>
      </c>
      <c r="L247" s="6">
        <v>3.00003981590271</v>
      </c>
      <c r="M247" s="6">
        <v>-0.368312448263168</v>
      </c>
      <c r="N247" s="6">
        <v>1.1230972109867421</v>
      </c>
      <c r="O247" s="6">
        <v>1.5395469102831192</v>
      </c>
      <c r="P247" s="6">
        <v>1.0159819228726861</v>
      </c>
      <c r="Q247" s="6">
        <v>0.9220784138866861</v>
      </c>
      <c r="R247" s="6">
        <v>5.5968970259763733</v>
      </c>
      <c r="S247" s="6">
        <v>5.4321254331742654</v>
      </c>
      <c r="T247" s="6">
        <v>18.014705657958984</v>
      </c>
      <c r="U247" s="6">
        <f>_xll.BDP($A247,"TRAILING_12M_R&amp;D_%_SALES",$A$1,$A$2)</f>
        <v>0.97182632523091039</v>
      </c>
      <c r="V247" s="6">
        <v>10</v>
      </c>
      <c r="W247" s="6">
        <v>101020</v>
      </c>
      <c r="X247" s="6">
        <v>10102050</v>
      </c>
      <c r="Y247" s="7" t="s">
        <v>505</v>
      </c>
      <c r="Z247" s="7" t="s">
        <v>556</v>
      </c>
      <c r="AA247" s="7" t="s">
        <v>658</v>
      </c>
      <c r="AB247" s="6">
        <v>59.108741760253906</v>
      </c>
      <c r="AC247" s="6">
        <v>0.35291277123210302</v>
      </c>
      <c r="AD247" s="6">
        <v>27.246825790786279</v>
      </c>
      <c r="AE247" s="6">
        <v>77872</v>
      </c>
      <c r="AF247" s="6">
        <v>90882</v>
      </c>
    </row>
    <row r="248" spans="1:32" s="4" customFormat="1" ht="12.75" x14ac:dyDescent="0.2">
      <c r="A248" s="7" t="s">
        <v>882</v>
      </c>
      <c r="B248" s="7" t="s">
        <v>883</v>
      </c>
      <c r="C248" s="7" t="s">
        <v>884</v>
      </c>
      <c r="D248" s="6">
        <v>-0.35494557023048401</v>
      </c>
      <c r="E248" s="6">
        <v>-0.42090460658073403</v>
      </c>
      <c r="F248" s="6">
        <v>-0.21528249979019201</v>
      </c>
      <c r="G248" s="6">
        <v>-6.2450770288706006E-2</v>
      </c>
      <c r="H248" s="6">
        <v>-0.29824697971344</v>
      </c>
      <c r="I248" s="6">
        <v>1.599220275878906</v>
      </c>
      <c r="J248" s="6">
        <v>1.4632611274719241</v>
      </c>
      <c r="K248" s="6">
        <v>0.32881098985672003</v>
      </c>
      <c r="L248" s="6">
        <v>-2.0480556413531002E-2</v>
      </c>
      <c r="M248" s="6">
        <v>1.612025141716003</v>
      </c>
      <c r="N248" s="6">
        <v>0.80113295980893207</v>
      </c>
      <c r="O248" s="6">
        <v>0.88668663830598904</v>
      </c>
      <c r="P248" s="6">
        <v>1.8540500148950811</v>
      </c>
      <c r="Q248" s="6">
        <v>1.646403780496851</v>
      </c>
      <c r="R248" s="6">
        <v>9.8653738746103201</v>
      </c>
      <c r="S248" s="6">
        <v>7.1980460798790507</v>
      </c>
      <c r="T248" s="6">
        <v>20.580465316772461</v>
      </c>
      <c r="U248" s="6">
        <f>_xll.BDP($A248,"TRAILING_12M_R&amp;D_%_SALES",$A$1,$A$2)</f>
        <v>0</v>
      </c>
      <c r="V248" s="6">
        <v>10</v>
      </c>
      <c r="W248" s="6">
        <v>101020</v>
      </c>
      <c r="X248" s="6">
        <v>10102010</v>
      </c>
      <c r="Y248" s="7" t="s">
        <v>505</v>
      </c>
      <c r="Z248" s="7" t="s">
        <v>556</v>
      </c>
      <c r="AA248" s="7" t="s">
        <v>557</v>
      </c>
      <c r="AB248" s="6">
        <v>62.800521850585938</v>
      </c>
      <c r="AC248" s="6">
        <v>0.87972610027791909</v>
      </c>
      <c r="AD248" s="6">
        <v>62.235250942267029</v>
      </c>
      <c r="AE248" s="6">
        <v>6027</v>
      </c>
      <c r="AF248" s="6">
        <v>3005</v>
      </c>
    </row>
    <row r="249" spans="1:32" s="4" customFormat="1" ht="12.75" x14ac:dyDescent="0.2">
      <c r="A249" s="7" t="s">
        <v>885</v>
      </c>
      <c r="B249" s="7" t="s">
        <v>886</v>
      </c>
      <c r="C249" s="7" t="s">
        <v>887</v>
      </c>
      <c r="D249" s="6">
        <v>-0.89559352397918712</v>
      </c>
      <c r="E249" s="6">
        <v>-0.82089352607727106</v>
      </c>
      <c r="F249" s="6">
        <v>-0.30805310606956504</v>
      </c>
      <c r="G249" s="6">
        <v>-0.76368242502212502</v>
      </c>
      <c r="H249" s="6">
        <v>1.2193905115127559</v>
      </c>
      <c r="I249" s="6">
        <v>0.50385403633117709</v>
      </c>
      <c r="J249" s="6">
        <v>-0.16330416500568401</v>
      </c>
      <c r="K249" s="6">
        <v>0.19260068237781502</v>
      </c>
      <c r="L249" s="6">
        <v>-0.42919683456420904</v>
      </c>
      <c r="M249" s="6">
        <v>-0.33405667543411305</v>
      </c>
      <c r="N249" s="6">
        <v>0.77533640775386303</v>
      </c>
      <c r="O249" s="6">
        <v>0.6128481285310301</v>
      </c>
      <c r="P249" s="6">
        <v>6.2183630375126446</v>
      </c>
      <c r="Q249" s="6">
        <v>4.4768148360703917</v>
      </c>
      <c r="R249" s="6">
        <v>36.665043819249782</v>
      </c>
      <c r="S249" s="6">
        <v>27.48442483385967</v>
      </c>
      <c r="T249" s="6">
        <v>17.322061538696289</v>
      </c>
      <c r="U249" s="6">
        <f>_xll.BDP($A249,"TRAILING_12M_R&amp;D_%_SALES",$A$1,$A$2)</f>
        <v>0</v>
      </c>
      <c r="V249" s="6">
        <v>30</v>
      </c>
      <c r="W249" s="6">
        <v>301010</v>
      </c>
      <c r="X249" s="6">
        <v>30101030</v>
      </c>
      <c r="Y249" s="7" t="s">
        <v>91</v>
      </c>
      <c r="Z249" s="7" t="s">
        <v>133</v>
      </c>
      <c r="AA249" s="7" t="s">
        <v>134</v>
      </c>
      <c r="AB249" s="6">
        <v>66.824264526367188</v>
      </c>
      <c r="AC249" s="6">
        <v>0.52948776466157899</v>
      </c>
      <c r="AD249" s="6">
        <v>2.0425030225772911</v>
      </c>
      <c r="AE249" s="6"/>
      <c r="AF249" s="6"/>
    </row>
    <row r="250" spans="1:32" s="4" customFormat="1" ht="12.75" x14ac:dyDescent="0.2">
      <c r="A250" s="7" t="s">
        <v>888</v>
      </c>
      <c r="B250" s="7" t="s">
        <v>889</v>
      </c>
      <c r="C250" s="7" t="s">
        <v>890</v>
      </c>
      <c r="D250" s="6">
        <v>-0.89559352397918712</v>
      </c>
      <c r="E250" s="6">
        <v>-0.82089352607727106</v>
      </c>
      <c r="F250" s="6">
        <v>-0.30805310606956504</v>
      </c>
      <c r="G250" s="6">
        <v>-0.76368242502212502</v>
      </c>
      <c r="H250" s="6">
        <v>1.2193905115127559</v>
      </c>
      <c r="I250" s="6">
        <v>0.50385403633117709</v>
      </c>
      <c r="J250" s="6">
        <v>-0.16330416500568401</v>
      </c>
      <c r="K250" s="6">
        <v>0.19260068237781502</v>
      </c>
      <c r="L250" s="6">
        <v>-0.42919683456420904</v>
      </c>
      <c r="M250" s="6">
        <v>-0.33405667543411305</v>
      </c>
      <c r="N250" s="6">
        <v>0.77533640775386303</v>
      </c>
      <c r="O250" s="6">
        <v>0.6903347306207791</v>
      </c>
      <c r="P250" s="6">
        <v>6.2183630375126446</v>
      </c>
      <c r="Q250" s="6">
        <v>5.0405221896673078</v>
      </c>
      <c r="R250" s="6">
        <v>36.665043819249782</v>
      </c>
      <c r="S250" s="6">
        <v>30.945182751162282</v>
      </c>
      <c r="T250" s="6">
        <v>17.322061538696289</v>
      </c>
      <c r="U250" s="6">
        <f>_xll.BDP($A250,"TRAILING_12M_R&amp;D_%_SALES",$A$1,$A$2)</f>
        <v>0</v>
      </c>
      <c r="V250" s="6">
        <v>30</v>
      </c>
      <c r="W250" s="6">
        <v>301010</v>
      </c>
      <c r="X250" s="6">
        <v>30101030</v>
      </c>
      <c r="Y250" s="7" t="s">
        <v>91</v>
      </c>
      <c r="Z250" s="7" t="s">
        <v>133</v>
      </c>
      <c r="AA250" s="7" t="s">
        <v>134</v>
      </c>
      <c r="AB250" s="6">
        <v>66.824264526367188</v>
      </c>
      <c r="AC250" s="6">
        <v>0.27393872929352003</v>
      </c>
      <c r="AD250" s="6">
        <v>15.810008629926608</v>
      </c>
      <c r="AE250" s="6"/>
      <c r="AF250" s="6"/>
    </row>
    <row r="251" spans="1:32" s="4" customFormat="1" ht="12.75" x14ac:dyDescent="0.2">
      <c r="A251" s="7" t="s">
        <v>891</v>
      </c>
      <c r="B251" s="7" t="s">
        <v>892</v>
      </c>
      <c r="C251" s="7" t="s">
        <v>893</v>
      </c>
      <c r="D251" s="6">
        <v>0.89986640214920011</v>
      </c>
      <c r="E251" s="6">
        <v>-0.99624168872833307</v>
      </c>
      <c r="F251" s="6">
        <v>-0.77347815036773704</v>
      </c>
      <c r="G251" s="6">
        <v>-0.45315548777580306</v>
      </c>
      <c r="H251" s="6">
        <v>0.45368158817291304</v>
      </c>
      <c r="I251" s="6">
        <v>0.45305970311164906</v>
      </c>
      <c r="J251" s="6">
        <v>0.50594341754913308</v>
      </c>
      <c r="K251" s="6">
        <v>7.3511540889740004E-2</v>
      </c>
      <c r="L251" s="6">
        <v>0.44828248023986805</v>
      </c>
      <c r="M251" s="6">
        <v>-0.286526888608932</v>
      </c>
      <c r="N251" s="6">
        <v>0.38888575552064303</v>
      </c>
      <c r="O251" s="6">
        <v>0.37730941584700001</v>
      </c>
      <c r="P251" s="6">
        <v>1.733724544800789</v>
      </c>
      <c r="Q251" s="6">
        <v>1.553374157403548</v>
      </c>
      <c r="R251" s="6">
        <v>12.263669240067493</v>
      </c>
      <c r="S251" s="6">
        <v>10.533771795217671</v>
      </c>
      <c r="T251" s="6">
        <v>4.4071698188781738</v>
      </c>
      <c r="U251" s="6" t="str">
        <f>_xll.BDP($A251,"TRAILING_12M_R&amp;D_%_SALES",$A$1,$A$2)</f>
        <v>#N/A N/A</v>
      </c>
      <c r="V251" s="6">
        <v>35</v>
      </c>
      <c r="W251" s="6">
        <v>351020</v>
      </c>
      <c r="X251" s="6">
        <v>35102015</v>
      </c>
      <c r="Y251" s="7" t="s">
        <v>86</v>
      </c>
      <c r="Z251" s="7" t="s">
        <v>601</v>
      </c>
      <c r="AA251" s="7" t="s">
        <v>709</v>
      </c>
      <c r="AB251" s="6">
        <v>60.275627136230469</v>
      </c>
      <c r="AC251" s="6">
        <v>0.71362957616409106</v>
      </c>
      <c r="AD251" s="6">
        <v>-8.0738834731524101</v>
      </c>
      <c r="AE251" s="6">
        <v>216000</v>
      </c>
      <c r="AF251" s="6">
        <v>158000</v>
      </c>
    </row>
    <row r="252" spans="1:32" s="4" customFormat="1" ht="12.75" x14ac:dyDescent="0.2">
      <c r="A252" s="7" t="s">
        <v>894</v>
      </c>
      <c r="B252" s="7" t="s">
        <v>895</v>
      </c>
      <c r="C252" s="7" t="s">
        <v>896</v>
      </c>
      <c r="D252" s="6">
        <v>1.1928220987319951</v>
      </c>
      <c r="E252" s="6">
        <v>-0.22556509077549003</v>
      </c>
      <c r="F252" s="6">
        <v>-0.44742023944854703</v>
      </c>
      <c r="G252" s="6">
        <v>-0.25470170378685003</v>
      </c>
      <c r="H252" s="6">
        <v>-0.99227523803710904</v>
      </c>
      <c r="I252" s="6">
        <v>1.349000811576843</v>
      </c>
      <c r="J252" s="6">
        <v>0.72307187318801902</v>
      </c>
      <c r="K252" s="6">
        <v>-0.9053458571434021</v>
      </c>
      <c r="L252" s="6">
        <v>0.7395909428596501</v>
      </c>
      <c r="M252" s="6">
        <v>0.21847100555896801</v>
      </c>
      <c r="N252" s="6">
        <v>1.528870996042345</v>
      </c>
      <c r="O252" s="6">
        <v>1.5880541460165909</v>
      </c>
      <c r="P252" s="6">
        <v>2.1872246284427632</v>
      </c>
      <c r="Q252" s="6">
        <v>2.0065419499465502</v>
      </c>
      <c r="R252" s="6">
        <v>10.122555484319159</v>
      </c>
      <c r="S252" s="6">
        <v>10.822852395051017</v>
      </c>
      <c r="T252" s="6">
        <v>23.20008659362793</v>
      </c>
      <c r="U252" s="6" t="str">
        <f>_xll.BDP($A252,"TRAILING_12M_R&amp;D_%_SALES",$A$1,$A$2)</f>
        <v>#N/A N/A</v>
      </c>
      <c r="V252" s="6">
        <v>10</v>
      </c>
      <c r="W252" s="6">
        <v>101020</v>
      </c>
      <c r="X252" s="6">
        <v>10102010</v>
      </c>
      <c r="Y252" s="7" t="s">
        <v>505</v>
      </c>
      <c r="Z252" s="7" t="s">
        <v>556</v>
      </c>
      <c r="AA252" s="7" t="s">
        <v>557</v>
      </c>
      <c r="AB252" s="6">
        <v>61.834823608398438</v>
      </c>
      <c r="AC252" s="6">
        <v>0.70577231153252307</v>
      </c>
      <c r="AD252" s="6">
        <v>58.373509382033276</v>
      </c>
      <c r="AE252" s="6">
        <v>42595</v>
      </c>
      <c r="AF252" s="6">
        <v>55200</v>
      </c>
    </row>
    <row r="253" spans="1:32" s="4" customFormat="1" ht="12.75" x14ac:dyDescent="0.2">
      <c r="A253" s="7" t="s">
        <v>897</v>
      </c>
      <c r="B253" s="7" t="s">
        <v>898</v>
      </c>
      <c r="C253" s="7" t="s">
        <v>899</v>
      </c>
      <c r="D253" s="6">
        <v>-0.22212170064449302</v>
      </c>
      <c r="E253" s="6">
        <v>-0.80558437108993508</v>
      </c>
      <c r="F253" s="6">
        <v>5.2910760045052005E-2</v>
      </c>
      <c r="G253" s="6">
        <v>-0.37221422791481001</v>
      </c>
      <c r="H253" s="6">
        <v>1.049963235855103</v>
      </c>
      <c r="I253" s="6">
        <v>-0.32052960991859403</v>
      </c>
      <c r="J253" s="6">
        <v>3.4842692315578003E-2</v>
      </c>
      <c r="K253" s="6">
        <v>-0.76070702075958307</v>
      </c>
      <c r="L253" s="6">
        <v>1.290118336677551</v>
      </c>
      <c r="M253" s="6">
        <v>-0.88611620664596602</v>
      </c>
      <c r="N253" s="6">
        <v>3.1093751446971138</v>
      </c>
      <c r="O253" s="6">
        <v>3.113390908740195</v>
      </c>
      <c r="P253" s="6">
        <v>1.9066650788337682</v>
      </c>
      <c r="Q253" s="6">
        <v>1.6845494519430531</v>
      </c>
      <c r="R253" s="6">
        <v>16.475155282487133</v>
      </c>
      <c r="S253" s="6">
        <v>14.521913817956595</v>
      </c>
      <c r="T253" s="6">
        <v>8.9847784042358398</v>
      </c>
      <c r="U253" s="6" t="str">
        <f>_xll.BDP($A253,"TRAILING_12M_R&amp;D_%_SALES",$A$1,$A$2)</f>
        <v>#N/A N/A</v>
      </c>
      <c r="V253" s="6">
        <v>55</v>
      </c>
      <c r="W253" s="6">
        <v>551030</v>
      </c>
      <c r="X253" s="6">
        <v>55103010</v>
      </c>
      <c r="Y253" s="7" t="s">
        <v>181</v>
      </c>
      <c r="Z253" s="7" t="s">
        <v>182</v>
      </c>
      <c r="AA253" s="7" t="s">
        <v>182</v>
      </c>
      <c r="AB253" s="6">
        <v>67.981086730957031</v>
      </c>
      <c r="AC253" s="6">
        <v>0.619440744399957</v>
      </c>
      <c r="AD253" s="6">
        <v>-19.050345122027245</v>
      </c>
      <c r="AE253" s="6">
        <v>17100</v>
      </c>
      <c r="AF253" s="6">
        <v>16200</v>
      </c>
    </row>
    <row r="254" spans="1:32" s="4" customFormat="1" ht="12.75" x14ac:dyDescent="0.2">
      <c r="A254" s="7" t="s">
        <v>900</v>
      </c>
      <c r="B254" s="7" t="s">
        <v>901</v>
      </c>
      <c r="C254" s="7" t="s">
        <v>902</v>
      </c>
      <c r="D254" s="6">
        <v>-0.38923734426498402</v>
      </c>
      <c r="E254" s="6">
        <v>-1.116356372833252</v>
      </c>
      <c r="F254" s="6">
        <v>-0.42415419220924405</v>
      </c>
      <c r="G254" s="6">
        <v>2.3935225009918208</v>
      </c>
      <c r="H254" s="6">
        <v>1.54206395149231</v>
      </c>
      <c r="I254" s="6">
        <v>4.6141035854816007E-2</v>
      </c>
      <c r="J254" s="6">
        <v>0.79902750253677401</v>
      </c>
      <c r="K254" s="6">
        <v>-0.63207656145095803</v>
      </c>
      <c r="L254" s="6">
        <v>-0.81727248430252109</v>
      </c>
      <c r="M254" s="6">
        <v>0.44589442014694203</v>
      </c>
      <c r="N254" s="6">
        <v>0.44943697584481301</v>
      </c>
      <c r="O254" s="6">
        <v>0.40683162309192006</v>
      </c>
      <c r="P254" s="6">
        <v>4.5902938970681832</v>
      </c>
      <c r="Q254" s="6">
        <v>2.203007592659429</v>
      </c>
      <c r="R254" s="6">
        <v>19.192714989349387</v>
      </c>
      <c r="S254" s="6">
        <v>6.5954614067472717</v>
      </c>
      <c r="T254" s="6">
        <v>2.2790439128875732</v>
      </c>
      <c r="U254" s="6" t="str">
        <f>_xll.BDP($A254,"TRAILING_12M_R&amp;D_%_SALES",$A$1,$A$2)</f>
        <v>#N/A N/A</v>
      </c>
      <c r="V254" s="6">
        <v>20</v>
      </c>
      <c r="W254" s="6">
        <v>203020</v>
      </c>
      <c r="X254" s="6">
        <v>20302010</v>
      </c>
      <c r="Y254" s="7" t="s">
        <v>43</v>
      </c>
      <c r="Z254" s="7" t="s">
        <v>62</v>
      </c>
      <c r="AA254" s="7" t="s">
        <v>62</v>
      </c>
      <c r="AB254" s="6">
        <v>62.217079162597656</v>
      </c>
      <c r="AC254" s="6">
        <v>1.19211749058258</v>
      </c>
      <c r="AD254" s="6">
        <v>-15.829918443259604</v>
      </c>
      <c r="AE254" s="6">
        <v>83000</v>
      </c>
      <c r="AF254" s="6">
        <v>83756</v>
      </c>
    </row>
    <row r="255" spans="1:32" s="4" customFormat="1" ht="12.75" x14ac:dyDescent="0.2">
      <c r="A255" s="7" t="s">
        <v>903</v>
      </c>
      <c r="B255" s="7" t="s">
        <v>904</v>
      </c>
      <c r="C255" s="7" t="s">
        <v>905</v>
      </c>
      <c r="D255" s="6">
        <v>-0.41790032386779802</v>
      </c>
      <c r="E255" s="6">
        <v>-0.67521101236343406</v>
      </c>
      <c r="F255" s="6">
        <v>-0.26597413420677202</v>
      </c>
      <c r="G255" s="6">
        <v>-0.86861145496368408</v>
      </c>
      <c r="H255" s="6">
        <v>5.6212499737740007E-2</v>
      </c>
      <c r="I255" s="6">
        <v>0.11576161533594101</v>
      </c>
      <c r="J255" s="6">
        <v>0.30126106739044201</v>
      </c>
      <c r="K255" s="6">
        <v>-0.98155075311660811</v>
      </c>
      <c r="L255" s="6">
        <v>1.0711261034011841</v>
      </c>
      <c r="M255" s="6">
        <v>-0.97775381803512607</v>
      </c>
      <c r="N255" s="6">
        <v>1.2231131714921779</v>
      </c>
      <c r="O255" s="6">
        <v>1.1551745674865199</v>
      </c>
      <c r="P255" s="6">
        <v>1.702311664852719</v>
      </c>
      <c r="Q255" s="6">
        <v>1.659385366760898</v>
      </c>
      <c r="R255" s="6">
        <v>19.827070334313024</v>
      </c>
      <c r="S255" s="6">
        <v>13.793447635874772</v>
      </c>
      <c r="T255" s="6">
        <v>9.0805454254150391</v>
      </c>
      <c r="U255" s="6">
        <f>_xll.BDP($A255,"TRAILING_12M_R&amp;D_%_SALES",$A$1,$A$2)</f>
        <v>1.5619831673343378</v>
      </c>
      <c r="V255" s="6">
        <v>30</v>
      </c>
      <c r="W255" s="6">
        <v>302020</v>
      </c>
      <c r="X255" s="6">
        <v>30202030</v>
      </c>
      <c r="Y255" s="7" t="s">
        <v>91</v>
      </c>
      <c r="Z255" s="7" t="s">
        <v>168</v>
      </c>
      <c r="AA255" s="7" t="s">
        <v>906</v>
      </c>
      <c r="AB255" s="6">
        <v>63.48455810546875</v>
      </c>
      <c r="AC255" s="6">
        <v>0.659565324949414</v>
      </c>
      <c r="AD255" s="6">
        <v>-12.144426137952291</v>
      </c>
      <c r="AE255" s="6">
        <v>98105</v>
      </c>
      <c r="AF255" s="6">
        <v>99187</v>
      </c>
    </row>
    <row r="256" spans="1:32" s="4" customFormat="1" ht="12.75" x14ac:dyDescent="0.2">
      <c r="A256" s="7" t="s">
        <v>907</v>
      </c>
      <c r="B256" s="7" t="s">
        <v>908</v>
      </c>
      <c r="C256" s="7" t="s">
        <v>909</v>
      </c>
      <c r="D256" s="6">
        <v>0.40241417288780201</v>
      </c>
      <c r="E256" s="6">
        <v>-0.9868887662887571</v>
      </c>
      <c r="F256" s="6">
        <v>3.0001339912414551</v>
      </c>
      <c r="G256" s="6">
        <v>-0.83276551961898804</v>
      </c>
      <c r="H256" s="6">
        <v>1.1518048048019409</v>
      </c>
      <c r="I256" s="6">
        <v>5.1604088395834004E-2</v>
      </c>
      <c r="J256" s="6">
        <v>2.5781631469726563</v>
      </c>
      <c r="K256" s="6">
        <v>-1.0114865303039551</v>
      </c>
      <c r="L256" s="6">
        <v>8.9474461972713012E-2</v>
      </c>
      <c r="M256" s="6">
        <v>-0.93870687484741211</v>
      </c>
      <c r="N256" s="6"/>
      <c r="O256" s="6">
        <v>0.80060418597220406</v>
      </c>
      <c r="P256" s="6">
        <v>0.35741640974555</v>
      </c>
      <c r="Q256" s="6">
        <v>0.33941671903956305</v>
      </c>
      <c r="R256" s="6">
        <v>6.9905140843799085</v>
      </c>
      <c r="S256" s="6">
        <v>6.0289174742980869</v>
      </c>
      <c r="T256" s="6">
        <v>5.6609640121459961</v>
      </c>
      <c r="U256" s="6" t="str">
        <f>_xll.BDP($A256,"TRAILING_12M_R&amp;D_%_SALES",$A$1,$A$2)</f>
        <v>#N/A N/A</v>
      </c>
      <c r="V256" s="6">
        <v>40</v>
      </c>
      <c r="W256" s="6">
        <v>402030</v>
      </c>
      <c r="X256" s="6">
        <v>40203030</v>
      </c>
      <c r="Y256" s="7" t="s">
        <v>53</v>
      </c>
      <c r="Z256" s="7" t="s">
        <v>298</v>
      </c>
      <c r="AA256" s="7" t="s">
        <v>837</v>
      </c>
      <c r="AB256" s="6">
        <v>57.197463989257813</v>
      </c>
      <c r="AC256" s="6">
        <v>1.0632802063047191</v>
      </c>
      <c r="AD256" s="6">
        <v>-6.0364718253228089</v>
      </c>
      <c r="AE256" s="6">
        <v>82969</v>
      </c>
      <c r="AF256" s="6">
        <v>99744</v>
      </c>
    </row>
    <row r="257" spans="1:32" s="4" customFormat="1" ht="12.75" x14ac:dyDescent="0.2">
      <c r="A257" s="7" t="s">
        <v>910</v>
      </c>
      <c r="B257" s="7" t="s">
        <v>911</v>
      </c>
      <c r="C257" s="7" t="s">
        <v>912</v>
      </c>
      <c r="D257" s="6">
        <v>-0.34880727529525801</v>
      </c>
      <c r="E257" s="6">
        <v>1.7300019040704002E-2</v>
      </c>
      <c r="F257" s="6">
        <v>-0.33865740895271301</v>
      </c>
      <c r="G257" s="6">
        <v>-0.86049300432205211</v>
      </c>
      <c r="H257" s="6">
        <v>-0.62098366022110008</v>
      </c>
      <c r="I257" s="6">
        <v>0.80486339330673207</v>
      </c>
      <c r="J257" s="6">
        <v>-0.12543161213398002</v>
      </c>
      <c r="K257" s="6">
        <v>-0.29596957564353904</v>
      </c>
      <c r="L257" s="6">
        <v>0.14271669089794201</v>
      </c>
      <c r="M257" s="6">
        <v>-1.084716200828552</v>
      </c>
      <c r="N257" s="6">
        <v>7.8897866286517679</v>
      </c>
      <c r="O257" s="6">
        <v>6.567370111083739</v>
      </c>
      <c r="P257" s="6">
        <v>3.7526775830366721</v>
      </c>
      <c r="Q257" s="6">
        <v>3.3758902407942739</v>
      </c>
      <c r="R257" s="6">
        <v>22.056073316956155</v>
      </c>
      <c r="S257" s="6">
        <v>18.121411487061113</v>
      </c>
      <c r="T257" s="6">
        <v>18.816707611083984</v>
      </c>
      <c r="U257" s="6" t="str">
        <f>_xll.BDP($A257,"TRAILING_12M_R&amp;D_%_SALES",$A$1,$A$2)</f>
        <v>#N/A N/A</v>
      </c>
      <c r="V257" s="6">
        <v>40</v>
      </c>
      <c r="W257" s="6">
        <v>402030</v>
      </c>
      <c r="X257" s="6">
        <v>40203040</v>
      </c>
      <c r="Y257" s="7" t="s">
        <v>53</v>
      </c>
      <c r="Z257" s="7" t="s">
        <v>298</v>
      </c>
      <c r="AA257" s="7" t="s">
        <v>746</v>
      </c>
      <c r="AB257" s="6">
        <v>53.213962554931641</v>
      </c>
      <c r="AC257" s="6">
        <v>0.46617664555799004</v>
      </c>
      <c r="AD257" s="6">
        <v>4.3176636635073429</v>
      </c>
      <c r="AE257" s="6">
        <v>8855</v>
      </c>
      <c r="AF257" s="6">
        <v>5176</v>
      </c>
    </row>
    <row r="258" spans="1:32" s="4" customFormat="1" ht="12.75" x14ac:dyDescent="0.2">
      <c r="A258" s="7" t="s">
        <v>913</v>
      </c>
      <c r="B258" s="7" t="s">
        <v>914</v>
      </c>
      <c r="C258" s="7" t="s">
        <v>915</v>
      </c>
      <c r="D258" s="6">
        <v>-0.34880727529525801</v>
      </c>
      <c r="E258" s="6">
        <v>1.7300019040704002E-2</v>
      </c>
      <c r="F258" s="6">
        <v>-0.33865740895271301</v>
      </c>
      <c r="G258" s="6">
        <v>-0.86049300432205211</v>
      </c>
      <c r="H258" s="6">
        <v>-0.62098366022110008</v>
      </c>
      <c r="I258" s="6">
        <v>0.80486339330673207</v>
      </c>
      <c r="J258" s="6">
        <v>-0.12543161213398002</v>
      </c>
      <c r="K258" s="6">
        <v>-0.29596957564353904</v>
      </c>
      <c r="L258" s="6">
        <v>0.14271669089794201</v>
      </c>
      <c r="M258" s="6">
        <v>-1.084716200828552</v>
      </c>
      <c r="N258" s="6">
        <v>7.8897866286517679</v>
      </c>
      <c r="O258" s="6">
        <v>5.9069569676173259</v>
      </c>
      <c r="P258" s="6">
        <v>3.7526775830366721</v>
      </c>
      <c r="Q258" s="6"/>
      <c r="R258" s="6">
        <v>22.056073316956155</v>
      </c>
      <c r="S258" s="6">
        <v>16.715006228406835</v>
      </c>
      <c r="T258" s="6">
        <v>18.816707611083984</v>
      </c>
      <c r="U258" s="6" t="str">
        <f>_xll.BDP($A258,"TRAILING_12M_R&amp;D_%_SALES",$A$1,$A$2)</f>
        <v>#N/A N/A</v>
      </c>
      <c r="V258" s="6">
        <v>40</v>
      </c>
      <c r="W258" s="6">
        <v>402030</v>
      </c>
      <c r="X258" s="6">
        <v>40203040</v>
      </c>
      <c r="Y258" s="7" t="s">
        <v>53</v>
      </c>
      <c r="Z258" s="7" t="s">
        <v>298</v>
      </c>
      <c r="AA258" s="7" t="s">
        <v>746</v>
      </c>
      <c r="AB258" s="6">
        <v>53.213962554931641</v>
      </c>
      <c r="AC258" s="6">
        <v>0.68676806561088011</v>
      </c>
      <c r="AD258" s="6">
        <v>5.5348672330520099</v>
      </c>
      <c r="AE258" s="6">
        <v>8855</v>
      </c>
      <c r="AF258" s="6">
        <v>5176</v>
      </c>
    </row>
    <row r="259" spans="1:32" s="4" customFormat="1" ht="12.75" x14ac:dyDescent="0.2">
      <c r="A259" s="7" t="s">
        <v>916</v>
      </c>
      <c r="B259" s="7" t="s">
        <v>917</v>
      </c>
      <c r="C259" s="7" t="s">
        <v>918</v>
      </c>
      <c r="D259" s="6">
        <v>0.23193791508674602</v>
      </c>
      <c r="E259" s="6">
        <v>-0.82607251405715909</v>
      </c>
      <c r="F259" s="6">
        <v>0.41283008456230202</v>
      </c>
      <c r="G259" s="6">
        <v>-0.98001027107238803</v>
      </c>
      <c r="H259" s="6">
        <v>-0.67888855934143111</v>
      </c>
      <c r="I259" s="6">
        <v>0.44696077704429604</v>
      </c>
      <c r="J259" s="6">
        <v>0.13807900249958002</v>
      </c>
      <c r="K259" s="6">
        <v>-0.126832544803619</v>
      </c>
      <c r="L259" s="6">
        <v>1.225230932235718</v>
      </c>
      <c r="M259" s="6">
        <v>-0.94773370027542103</v>
      </c>
      <c r="N259" s="6">
        <v>5.4422647347109478</v>
      </c>
      <c r="O259" s="6">
        <v>4.4544587776368383</v>
      </c>
      <c r="P259" s="6">
        <v>1.5713452876998411</v>
      </c>
      <c r="Q259" s="6">
        <v>1.4025415785327939</v>
      </c>
      <c r="R259" s="6">
        <v>12.055814205733238</v>
      </c>
      <c r="S259" s="6">
        <v>8.9707883371972788</v>
      </c>
      <c r="T259" s="6">
        <v>12.82459831237793</v>
      </c>
      <c r="U259" s="6" t="str">
        <f>_xll.BDP($A259,"TRAILING_12M_R&amp;D_%_SALES",$A$1,$A$2)</f>
        <v>#N/A N/A</v>
      </c>
      <c r="V259" s="6">
        <v>40</v>
      </c>
      <c r="W259" s="6">
        <v>401010</v>
      </c>
      <c r="X259" s="6">
        <v>40101010</v>
      </c>
      <c r="Y259" s="7" t="s">
        <v>53</v>
      </c>
      <c r="Z259" s="7" t="s">
        <v>76</v>
      </c>
      <c r="AA259" s="7" t="s">
        <v>77</v>
      </c>
      <c r="AB259" s="6">
        <v>53.706871032714844</v>
      </c>
      <c r="AC259" s="6">
        <v>0.54387677862982009</v>
      </c>
      <c r="AD259" s="6">
        <v>8.8926718579995558</v>
      </c>
      <c r="AE259" s="6">
        <v>32833</v>
      </c>
      <c r="AF259" s="6">
        <v>22194</v>
      </c>
    </row>
    <row r="260" spans="1:32" s="4" customFormat="1" ht="12.75" x14ac:dyDescent="0.2">
      <c r="A260" s="7" t="s">
        <v>919</v>
      </c>
      <c r="B260" s="7" t="s">
        <v>920</v>
      </c>
      <c r="C260" s="7" t="s">
        <v>921</v>
      </c>
      <c r="D260" s="6">
        <v>0.23193791508674602</v>
      </c>
      <c r="E260" s="6">
        <v>-0.82607251405715909</v>
      </c>
      <c r="F260" s="6">
        <v>0.41283008456230202</v>
      </c>
      <c r="G260" s="6">
        <v>-0.98001027107238803</v>
      </c>
      <c r="H260" s="6">
        <v>-0.67888855934143111</v>
      </c>
      <c r="I260" s="6">
        <v>0.44696077704429604</v>
      </c>
      <c r="J260" s="6">
        <v>0.13807900249958002</v>
      </c>
      <c r="K260" s="6">
        <v>-0.126832544803619</v>
      </c>
      <c r="L260" s="6">
        <v>1.225230932235718</v>
      </c>
      <c r="M260" s="6">
        <v>-0.94773370027542103</v>
      </c>
      <c r="N260" s="6">
        <v>5.4422647347109478</v>
      </c>
      <c r="O260" s="6"/>
      <c r="P260" s="6">
        <v>1.5713452876998411</v>
      </c>
      <c r="Q260" s="6"/>
      <c r="R260" s="6">
        <v>12.055814205733238</v>
      </c>
      <c r="S260" s="6">
        <v>9.1312488720573661</v>
      </c>
      <c r="T260" s="6">
        <v>12.82459831237793</v>
      </c>
      <c r="U260" s="6" t="str">
        <f>_xll.BDP($A260,"TRAILING_12M_R&amp;D_%_SALES",$A$1,$A$2)</f>
        <v>#N/A N/A</v>
      </c>
      <c r="V260" s="6">
        <v>40</v>
      </c>
      <c r="W260" s="6">
        <v>401010</v>
      </c>
      <c r="X260" s="6">
        <v>40101010</v>
      </c>
      <c r="Y260" s="7" t="s">
        <v>53</v>
      </c>
      <c r="Z260" s="7" t="s">
        <v>76</v>
      </c>
      <c r="AA260" s="7" t="s">
        <v>77</v>
      </c>
      <c r="AB260" s="6">
        <v>53.706871032714844</v>
      </c>
      <c r="AC260" s="6">
        <v>0.66812733046651207</v>
      </c>
      <c r="AD260" s="6">
        <v>8.9819967830599534</v>
      </c>
      <c r="AE260" s="6">
        <v>32833</v>
      </c>
      <c r="AF260" s="6">
        <v>22194</v>
      </c>
    </row>
    <row r="261" spans="1:32" s="4" customFormat="1" ht="12.75" x14ac:dyDescent="0.2">
      <c r="A261" s="7" t="s">
        <v>922</v>
      </c>
      <c r="B261" s="7" t="s">
        <v>923</v>
      </c>
      <c r="C261" s="7" t="s">
        <v>924</v>
      </c>
      <c r="D261" s="6">
        <v>0.116150513291359</v>
      </c>
      <c r="E261" s="6">
        <v>-0.83798301219940208</v>
      </c>
      <c r="F261" s="6">
        <v>0.32801988720893904</v>
      </c>
      <c r="G261" s="6">
        <v>-0.65693199634552002</v>
      </c>
      <c r="H261" s="6">
        <v>-0.52984845638275102</v>
      </c>
      <c r="I261" s="6">
        <v>0.33620309829711903</v>
      </c>
      <c r="J261" s="6">
        <v>0.52237898111343406</v>
      </c>
      <c r="K261" s="6">
        <v>-1.0268863439559941</v>
      </c>
      <c r="L261" s="6">
        <v>1.054384589195251</v>
      </c>
      <c r="M261" s="6">
        <v>-0.89800953865051303</v>
      </c>
      <c r="N261" s="6">
        <v>0.34002145696056102</v>
      </c>
      <c r="O261" s="6"/>
      <c r="P261" s="6">
        <v>1.039123340006382</v>
      </c>
      <c r="Q261" s="6"/>
      <c r="R261" s="6">
        <v>9.1660263962954893</v>
      </c>
      <c r="S261" s="6"/>
      <c r="T261" s="6">
        <v>8.7498054504394531</v>
      </c>
      <c r="U261" s="6" t="str">
        <f>_xll.BDP($A261,"TRAILING_12M_R&amp;D_%_SALES",$A$1,$A$2)</f>
        <v>#N/A N/A</v>
      </c>
      <c r="V261" s="6">
        <v>40</v>
      </c>
      <c r="W261" s="6">
        <v>403010</v>
      </c>
      <c r="X261" s="6">
        <v>40301020</v>
      </c>
      <c r="Y261" s="7" t="s">
        <v>53</v>
      </c>
      <c r="Z261" s="7" t="s">
        <v>54</v>
      </c>
      <c r="AA261" s="7" t="s">
        <v>55</v>
      </c>
      <c r="AB261" s="6">
        <v>56.483249664306641</v>
      </c>
      <c r="AC261" s="6">
        <v>0.31036282325360204</v>
      </c>
      <c r="AD261" s="6"/>
      <c r="AE261" s="6">
        <v>62260</v>
      </c>
      <c r="AF261" s="6">
        <v>62606</v>
      </c>
    </row>
    <row r="262" spans="1:32" s="4" customFormat="1" ht="12.75" x14ac:dyDescent="0.2">
      <c r="A262" s="7" t="s">
        <v>925</v>
      </c>
      <c r="B262" s="7" t="s">
        <v>926</v>
      </c>
      <c r="C262" s="7" t="s">
        <v>927</v>
      </c>
      <c r="D262" s="6">
        <v>-0.61754113435745206</v>
      </c>
      <c r="E262" s="6">
        <v>-0.83581215143203702</v>
      </c>
      <c r="F262" s="6">
        <v>4.2376656085253005E-2</v>
      </c>
      <c r="G262" s="6">
        <v>-0.10678947716951401</v>
      </c>
      <c r="H262" s="6">
        <v>-0.10484816133976001</v>
      </c>
      <c r="I262" s="6">
        <v>-1.2202807702120001E-3</v>
      </c>
      <c r="J262" s="6">
        <v>0.11275327205658001</v>
      </c>
      <c r="K262" s="6">
        <v>-2.481796026229858</v>
      </c>
      <c r="L262" s="6">
        <v>0.12715937197208402</v>
      </c>
      <c r="M262" s="6">
        <v>0.15851494669914201</v>
      </c>
      <c r="N262" s="6">
        <v>2.4611762339227581</v>
      </c>
      <c r="O262" s="6">
        <v>2.63979875379118</v>
      </c>
      <c r="P262" s="6">
        <v>1.368627050626964</v>
      </c>
      <c r="Q262" s="6">
        <v>1.110061183336259</v>
      </c>
      <c r="R262" s="6">
        <v>25.953132812963482</v>
      </c>
      <c r="S262" s="6">
        <v>17.960896661458168</v>
      </c>
      <c r="T262" s="6">
        <v>7.1630902290344238</v>
      </c>
      <c r="U262" s="6">
        <f>_xll.BDP($A262,"TRAILING_12M_R&amp;D_%_SALES",$A$1,$A$2)</f>
        <v>4.2870983368319067</v>
      </c>
      <c r="V262" s="6">
        <v>15</v>
      </c>
      <c r="W262" s="6">
        <v>151010</v>
      </c>
      <c r="X262" s="6">
        <v>15101050</v>
      </c>
      <c r="Y262" s="7" t="s">
        <v>38</v>
      </c>
      <c r="Z262" s="7" t="s">
        <v>48</v>
      </c>
      <c r="AA262" s="7" t="s">
        <v>928</v>
      </c>
      <c r="AB262" s="6">
        <v>72.326728820800781</v>
      </c>
      <c r="AC262" s="6">
        <v>1.0264125845039971</v>
      </c>
      <c r="AD262" s="6">
        <v>-12.687268480502178</v>
      </c>
      <c r="AE262" s="6">
        <v>28000</v>
      </c>
      <c r="AF262" s="6"/>
    </row>
    <row r="263" spans="1:32" s="4" customFormat="1" ht="12.75" x14ac:dyDescent="0.2">
      <c r="A263" s="7" t="s">
        <v>929</v>
      </c>
      <c r="B263" s="7" t="s">
        <v>930</v>
      </c>
      <c r="C263" s="7" t="s">
        <v>931</v>
      </c>
      <c r="D263" s="6">
        <v>0.28104701638221702</v>
      </c>
      <c r="E263" s="6">
        <v>0.97313457727432306</v>
      </c>
      <c r="F263" s="6">
        <v>0.96674543619155906</v>
      </c>
      <c r="G263" s="6">
        <v>-0.23699821531772602</v>
      </c>
      <c r="H263" s="6">
        <v>0.95737260580062911</v>
      </c>
      <c r="I263" s="6">
        <v>0.82910364866256703</v>
      </c>
      <c r="J263" s="6">
        <v>-0.110277943313122</v>
      </c>
      <c r="K263" s="6">
        <v>-0.30898094177246105</v>
      </c>
      <c r="L263" s="6">
        <v>-0.275998175144196</v>
      </c>
      <c r="M263" s="6">
        <v>-0.36180087924003601</v>
      </c>
      <c r="N263" s="6">
        <v>2.4805423499649879</v>
      </c>
      <c r="O263" s="6">
        <v>2.3709037162306479</v>
      </c>
      <c r="P263" s="6">
        <v>6.3222509731419461</v>
      </c>
      <c r="Q263" s="6">
        <v>6.1260178838930246</v>
      </c>
      <c r="R263" s="6">
        <v>18.462889946904877</v>
      </c>
      <c r="S263" s="6">
        <v>15.246499158943559</v>
      </c>
      <c r="T263" s="6">
        <v>36.859378814697266</v>
      </c>
      <c r="U263" s="6">
        <f>_xll.BDP($A263,"TRAILING_12M_R&amp;D_%_SALES",$A$1,$A$2)</f>
        <v>4.7545692993047171</v>
      </c>
      <c r="V263" s="6">
        <v>20</v>
      </c>
      <c r="W263" s="6">
        <v>201060</v>
      </c>
      <c r="X263" s="6">
        <v>20106015</v>
      </c>
      <c r="Y263" s="7" t="s">
        <v>43</v>
      </c>
      <c r="Z263" s="7" t="s">
        <v>630</v>
      </c>
      <c r="AA263" s="7" t="s">
        <v>766</v>
      </c>
      <c r="AB263" s="6">
        <v>62.176841735839844</v>
      </c>
      <c r="AC263" s="6">
        <v>0.8422604077541781</v>
      </c>
      <c r="AD263" s="6">
        <v>26.918870381503467</v>
      </c>
      <c r="AE263" s="6">
        <v>82239</v>
      </c>
      <c r="AF263" s="6">
        <v>60500</v>
      </c>
    </row>
    <row r="264" spans="1:32" s="4" customFormat="1" ht="12.75" x14ac:dyDescent="0.2">
      <c r="A264" s="7" t="s">
        <v>932</v>
      </c>
      <c r="B264" s="7" t="s">
        <v>933</v>
      </c>
      <c r="C264" s="7" t="s">
        <v>934</v>
      </c>
      <c r="D264" s="6">
        <v>-7.7620625495911005E-2</v>
      </c>
      <c r="E264" s="6">
        <v>-0.7939149737358091</v>
      </c>
      <c r="F264" s="6">
        <v>-0.26408004760742204</v>
      </c>
      <c r="G264" s="6">
        <v>1.147063255310059</v>
      </c>
      <c r="H264" s="6">
        <v>1.312241315841675</v>
      </c>
      <c r="I264" s="6">
        <v>-0.46781885623931901</v>
      </c>
      <c r="J264" s="6">
        <v>0.82638442516326904</v>
      </c>
      <c r="K264" s="6">
        <v>-1.191112756729126</v>
      </c>
      <c r="L264" s="6">
        <v>0.83475232124328602</v>
      </c>
      <c r="M264" s="6">
        <v>-0.52223104238510099</v>
      </c>
      <c r="N264" s="6">
        <v>0.285170235300297</v>
      </c>
      <c r="O264" s="6">
        <v>0.31226356246496101</v>
      </c>
      <c r="P264" s="6"/>
      <c r="Q264" s="6"/>
      <c r="R264" s="6">
        <v>7.3801036903031347</v>
      </c>
      <c r="S264" s="6">
        <v>6.2535384730016483</v>
      </c>
      <c r="T264" s="6"/>
      <c r="U264" s="6">
        <f>_xll.BDP($A264,"TRAILING_12M_R&amp;D_%_SALES",$A$1,$A$2)</f>
        <v>3.2029884792867827</v>
      </c>
      <c r="V264" s="6">
        <v>45</v>
      </c>
      <c r="W264" s="6">
        <v>452020</v>
      </c>
      <c r="X264" s="6">
        <v>45202030</v>
      </c>
      <c r="Y264" s="7" t="s">
        <v>66</v>
      </c>
      <c r="Z264" s="7" t="s">
        <v>67</v>
      </c>
      <c r="AA264" s="7" t="s">
        <v>67</v>
      </c>
      <c r="AB264" s="6">
        <v>62.951412200927734</v>
      </c>
      <c r="AC264" s="6">
        <v>1.121553481457513</v>
      </c>
      <c r="AD264" s="6">
        <v>-27.110947897697081</v>
      </c>
      <c r="AE264" s="6">
        <v>133000</v>
      </c>
      <c r="AF264" s="6">
        <v>138000</v>
      </c>
    </row>
    <row r="265" spans="1:32" s="4" customFormat="1" ht="12.75" x14ac:dyDescent="0.2">
      <c r="A265" s="7" t="s">
        <v>935</v>
      </c>
      <c r="B265" s="7" t="s">
        <v>936</v>
      </c>
      <c r="C265" s="7" t="s">
        <v>937</v>
      </c>
      <c r="D265" s="6">
        <v>-0.42531737685203602</v>
      </c>
      <c r="E265" s="6">
        <v>4.7018799930811005E-2</v>
      </c>
      <c r="F265" s="6">
        <v>0.49863904714584406</v>
      </c>
      <c r="G265" s="6">
        <v>-5.0691019743681003E-2</v>
      </c>
      <c r="H265" s="6">
        <v>0.54318058490753207</v>
      </c>
      <c r="I265" s="6">
        <v>0.119644425809383</v>
      </c>
      <c r="J265" s="6">
        <v>1.3807588815689091</v>
      </c>
      <c r="K265" s="6">
        <v>-0.60753941535949707</v>
      </c>
      <c r="L265" s="6">
        <v>0.40462815761566201</v>
      </c>
      <c r="M265" s="6">
        <v>-0.94664978981018111</v>
      </c>
      <c r="N265" s="6">
        <v>1.9828244067131691</v>
      </c>
      <c r="O265" s="6">
        <v>1.8519060587925951</v>
      </c>
      <c r="P265" s="6">
        <v>2.0203790400611839</v>
      </c>
      <c r="Q265" s="6">
        <v>1.7133514622697672</v>
      </c>
      <c r="R265" s="6">
        <v>6.369140787708603</v>
      </c>
      <c r="S265" s="6">
        <v>6.86599267662156</v>
      </c>
      <c r="T265" s="6">
        <v>34.071510314941406</v>
      </c>
      <c r="U265" s="6" t="str">
        <f>_xll.BDP($A265,"TRAILING_12M_R&amp;D_%_SALES",$A$1,$A$2)</f>
        <v>#N/A N/A</v>
      </c>
      <c r="V265" s="6">
        <v>40</v>
      </c>
      <c r="W265" s="6">
        <v>402020</v>
      </c>
      <c r="X265" s="6">
        <v>40202010</v>
      </c>
      <c r="Y265" s="7" t="s">
        <v>53</v>
      </c>
      <c r="Z265" s="7" t="s">
        <v>264</v>
      </c>
      <c r="AA265" s="7" t="s">
        <v>264</v>
      </c>
      <c r="AB265" s="6">
        <v>44.854640960693359</v>
      </c>
      <c r="AC265" s="6">
        <v>1.129451953617078</v>
      </c>
      <c r="AD265" s="6">
        <v>-13.768935543715511</v>
      </c>
      <c r="AE265" s="6">
        <v>16700</v>
      </c>
      <c r="AF265" s="6">
        <v>15549</v>
      </c>
    </row>
    <row r="266" spans="1:32" s="4" customFormat="1" ht="12.75" x14ac:dyDescent="0.2">
      <c r="A266" s="7" t="s">
        <v>938</v>
      </c>
      <c r="B266" s="7" t="s">
        <v>939</v>
      </c>
      <c r="C266" s="7" t="s">
        <v>940</v>
      </c>
      <c r="D266" s="6">
        <v>-0.37979382276535001</v>
      </c>
      <c r="E266" s="6">
        <v>-0.34370753169059803</v>
      </c>
      <c r="F266" s="6">
        <v>-0.260837882757187</v>
      </c>
      <c r="G266" s="6">
        <v>0.29213553667068504</v>
      </c>
      <c r="H266" s="6">
        <v>0.96995019912719704</v>
      </c>
      <c r="I266" s="6">
        <v>0.54849898815155007</v>
      </c>
      <c r="J266" s="6">
        <v>-0.18212598562240601</v>
      </c>
      <c r="K266" s="6">
        <v>0.31283602118492104</v>
      </c>
      <c r="L266" s="6">
        <v>-0.38169515132904103</v>
      </c>
      <c r="M266" s="6">
        <v>-0.25752502679824801</v>
      </c>
      <c r="N266" s="6">
        <v>1.543415617483068</v>
      </c>
      <c r="O266" s="6">
        <v>1.373029178023575</v>
      </c>
      <c r="P266" s="6">
        <v>9.0346401330543422</v>
      </c>
      <c r="Q266" s="6">
        <v>9.2434024412609634</v>
      </c>
      <c r="R266" s="6">
        <v>23.931001060534037</v>
      </c>
      <c r="S266" s="6">
        <v>20.178267399160717</v>
      </c>
      <c r="T266" s="6">
        <v>38.332176208496094</v>
      </c>
      <c r="U266" s="6" t="str">
        <f>_xll.BDP($A266,"TRAILING_12M_R&amp;D_%_SALES",$A$1,$A$2)</f>
        <v>#N/A N/A</v>
      </c>
      <c r="V266" s="6">
        <v>30</v>
      </c>
      <c r="W266" s="6">
        <v>301010</v>
      </c>
      <c r="X266" s="6">
        <v>30101040</v>
      </c>
      <c r="Y266" s="7" t="s">
        <v>91</v>
      </c>
      <c r="Z266" s="7" t="s">
        <v>133</v>
      </c>
      <c r="AA266" s="7" t="s">
        <v>329</v>
      </c>
      <c r="AB266" s="6">
        <v>44.5025634765625</v>
      </c>
      <c r="AC266" s="6">
        <v>0.78563547842511006</v>
      </c>
      <c r="AD266" s="6">
        <v>5.5628049774823829</v>
      </c>
      <c r="AE266" s="6">
        <v>163000</v>
      </c>
      <c r="AF266" s="6">
        <v>121000</v>
      </c>
    </row>
    <row r="267" spans="1:32" s="4" customFormat="1" ht="12.75" x14ac:dyDescent="0.2">
      <c r="A267" s="7" t="s">
        <v>941</v>
      </c>
      <c r="B267" s="7" t="s">
        <v>942</v>
      </c>
      <c r="C267" s="7" t="s">
        <v>943</v>
      </c>
      <c r="D267" s="6">
        <v>-0.57416957616806008</v>
      </c>
      <c r="E267" s="6">
        <v>0.117681905627251</v>
      </c>
      <c r="F267" s="6">
        <v>0.151460811495781</v>
      </c>
      <c r="G267" s="6">
        <v>0.46319073438644404</v>
      </c>
      <c r="H267" s="6">
        <v>-0.42108651995658902</v>
      </c>
      <c r="I267" s="6">
        <v>-0.17652380466461201</v>
      </c>
      <c r="J267" s="6">
        <v>1.0644440650939939</v>
      </c>
      <c r="K267" s="6">
        <v>1.239529490470886</v>
      </c>
      <c r="L267" s="6">
        <v>-0.26458415389061002</v>
      </c>
      <c r="M267" s="6">
        <v>0.78436213731765703</v>
      </c>
      <c r="N267" s="6">
        <v>0.93536347597361402</v>
      </c>
      <c r="O267" s="6">
        <v>1.106185513777562</v>
      </c>
      <c r="P267" s="6">
        <v>1.580712366218757</v>
      </c>
      <c r="Q267" s="6">
        <v>1.3417565337471971</v>
      </c>
      <c r="R267" s="6">
        <v>5.3350083585260144</v>
      </c>
      <c r="S267" s="6">
        <v>9.0143570636876849</v>
      </c>
      <c r="T267" s="6">
        <v>34.172237396240234</v>
      </c>
      <c r="U267" s="6" t="str">
        <f>_xll.BDP($A267,"TRAILING_12M_R&amp;D_%_SALES",$A$1,$A$2)</f>
        <v>#N/A N/A</v>
      </c>
      <c r="V267" s="6">
        <v>25</v>
      </c>
      <c r="W267" s="6">
        <v>252010</v>
      </c>
      <c r="X267" s="6">
        <v>25201030</v>
      </c>
      <c r="Y267" s="7" t="s">
        <v>108</v>
      </c>
      <c r="Z267" s="7" t="s">
        <v>944</v>
      </c>
      <c r="AA267" s="7" t="s">
        <v>945</v>
      </c>
      <c r="AB267" s="6">
        <v>54.340610504150391</v>
      </c>
      <c r="AC267" s="6">
        <v>1.17429530276677</v>
      </c>
      <c r="AD267" s="6">
        <v>-16.1069094686199</v>
      </c>
      <c r="AE267" s="6">
        <v>13237</v>
      </c>
      <c r="AF267" s="6">
        <v>7735</v>
      </c>
    </row>
    <row r="268" spans="1:32" s="4" customFormat="1" ht="12.75" x14ac:dyDescent="0.2">
      <c r="A268" s="7" t="s">
        <v>946</v>
      </c>
      <c r="B268" s="7" t="s">
        <v>947</v>
      </c>
      <c r="C268" s="7" t="s">
        <v>948</v>
      </c>
      <c r="D268" s="6">
        <v>1.5697274357080002E-2</v>
      </c>
      <c r="E268" s="6">
        <v>-0.33384713530540505</v>
      </c>
      <c r="F268" s="6">
        <v>1.210985660552979</v>
      </c>
      <c r="G268" s="6">
        <v>-0.8309162855148321</v>
      </c>
      <c r="H268" s="6">
        <v>0.16674554347991902</v>
      </c>
      <c r="I268" s="6">
        <v>-0.51345419883728005</v>
      </c>
      <c r="J268" s="6">
        <v>1.3165392875671391</v>
      </c>
      <c r="K268" s="6">
        <v>-0.26779237389564503</v>
      </c>
      <c r="L268" s="6">
        <v>1.6753627061843872</v>
      </c>
      <c r="M268" s="6">
        <v>7.4911139905453006E-2</v>
      </c>
      <c r="N268" s="6">
        <v>0.45819605053825302</v>
      </c>
      <c r="O268" s="6">
        <v>0.49909966632193203</v>
      </c>
      <c r="P268" s="6">
        <v>1.8311410447394461</v>
      </c>
      <c r="Q268" s="6">
        <v>1.811864491525498</v>
      </c>
      <c r="R268" s="6">
        <v>7.752732399208857</v>
      </c>
      <c r="S268" s="6">
        <v>9.9363549477060928</v>
      </c>
      <c r="T268" s="6">
        <v>27.113645553588867</v>
      </c>
      <c r="U268" s="6">
        <f>_xll.BDP($A268,"TRAILING_12M_R&amp;D_%_SALES",$A$1,$A$2)</f>
        <v>0</v>
      </c>
      <c r="V268" s="6">
        <v>20</v>
      </c>
      <c r="W268" s="6">
        <v>203010</v>
      </c>
      <c r="X268" s="6">
        <v>20301010</v>
      </c>
      <c r="Y268" s="7" t="s">
        <v>43</v>
      </c>
      <c r="Z268" s="7" t="s">
        <v>949</v>
      </c>
      <c r="AA268" s="7" t="s">
        <v>949</v>
      </c>
      <c r="AB268" s="6">
        <v>56.111053466796875</v>
      </c>
      <c r="AC268" s="6">
        <v>1.1215366701473559</v>
      </c>
      <c r="AD268" s="6">
        <v>-38.477894905619983</v>
      </c>
      <c r="AE268" s="6">
        <v>548042</v>
      </c>
      <c r="AF268" s="6">
        <v>459262</v>
      </c>
    </row>
    <row r="269" spans="1:32" s="4" customFormat="1" ht="12.75" x14ac:dyDescent="0.2">
      <c r="A269" s="7" t="s">
        <v>950</v>
      </c>
      <c r="B269" s="7" t="s">
        <v>951</v>
      </c>
      <c r="C269" s="7" t="s">
        <v>952</v>
      </c>
      <c r="D269" s="6">
        <v>0.26629710197448703</v>
      </c>
      <c r="E269" s="6">
        <v>3.3430982381105E-2</v>
      </c>
      <c r="F269" s="6">
        <v>0.12786355614662201</v>
      </c>
      <c r="G269" s="6">
        <v>-0.61226266622543302</v>
      </c>
      <c r="H269" s="6">
        <v>-0.40333080291748002</v>
      </c>
      <c r="I269" s="6">
        <v>-0.11671552062034601</v>
      </c>
      <c r="J269" s="6">
        <v>-0.28692841529846203</v>
      </c>
      <c r="K269" s="6">
        <v>-0.22234363853931402</v>
      </c>
      <c r="L269" s="6">
        <v>-0.63022285699844405</v>
      </c>
      <c r="M269" s="6">
        <v>-0.41076892614364602</v>
      </c>
      <c r="N269" s="6">
        <v>6.1292149231608022</v>
      </c>
      <c r="O269" s="6">
        <v>6.2950247472509444</v>
      </c>
      <c r="P269" s="6">
        <v>4.2632836338151163</v>
      </c>
      <c r="Q269" s="6">
        <v>3.5390248508948252</v>
      </c>
      <c r="R269" s="6">
        <v>28.933065147594334</v>
      </c>
      <c r="S269" s="6">
        <v>25.398564042088616</v>
      </c>
      <c r="T269" s="6">
        <v>15.247193336486816</v>
      </c>
      <c r="U269" s="6">
        <f>_xll.BDP($A269,"TRAILING_12M_R&amp;D_%_SALES",$A$1,$A$2)</f>
        <v>6.6345549738219889</v>
      </c>
      <c r="V269" s="6">
        <v>35</v>
      </c>
      <c r="W269" s="6">
        <v>352030</v>
      </c>
      <c r="X269" s="6">
        <v>35203010</v>
      </c>
      <c r="Y269" s="7" t="s">
        <v>86</v>
      </c>
      <c r="Z269" s="7" t="s">
        <v>953</v>
      </c>
      <c r="AA269" s="7" t="s">
        <v>953</v>
      </c>
      <c r="AB269" s="6">
        <v>58.052509307861328</v>
      </c>
      <c r="AC269" s="6">
        <v>1.0410002789154089</v>
      </c>
      <c r="AD269" s="6">
        <v>-18.892196903604976</v>
      </c>
      <c r="AE269" s="6">
        <v>78000</v>
      </c>
      <c r="AF269" s="6">
        <v>62000</v>
      </c>
    </row>
    <row r="270" spans="1:32" s="4" customFormat="1" ht="12.75" x14ac:dyDescent="0.2">
      <c r="A270" s="7" t="s">
        <v>954</v>
      </c>
      <c r="B270" s="7" t="s">
        <v>955</v>
      </c>
      <c r="C270" s="7" t="s">
        <v>956</v>
      </c>
      <c r="D270" s="6">
        <v>-0.89629966020584106</v>
      </c>
      <c r="E270" s="6">
        <v>-3.0003259181976318</v>
      </c>
      <c r="F270" s="6">
        <v>3.0001339912414551</v>
      </c>
      <c r="G270" s="6">
        <v>-0.30126789212226901</v>
      </c>
      <c r="H270" s="6">
        <v>-1.3113249540328979</v>
      </c>
      <c r="I270" s="6">
        <v>-0.56241202354431208</v>
      </c>
      <c r="J270" s="6">
        <v>-1.880058765411377</v>
      </c>
      <c r="K270" s="6">
        <v>-0.649092137813568</v>
      </c>
      <c r="L270" s="6">
        <v>-0.81727248430252109</v>
      </c>
      <c r="M270" s="6">
        <v>0.68193072080612205</v>
      </c>
      <c r="N270" s="6">
        <v>0.33216465113968702</v>
      </c>
      <c r="O270" s="6">
        <v>0.61432281705491609</v>
      </c>
      <c r="P270" s="6">
        <v>0.23154665675220501</v>
      </c>
      <c r="Q270" s="6"/>
      <c r="R270" s="6"/>
      <c r="S270" s="6"/>
      <c r="T270" s="6"/>
      <c r="U270" s="6">
        <f>_xll.BDP($A270,"TRAILING_12M_R&amp;D_%_SALES",$A$1,$A$2)</f>
        <v>4.6386879112818837</v>
      </c>
      <c r="V270" s="6">
        <v>20</v>
      </c>
      <c r="W270" s="6">
        <v>203040</v>
      </c>
      <c r="X270" s="6">
        <v>20304040</v>
      </c>
      <c r="Y270" s="7" t="s">
        <v>43</v>
      </c>
      <c r="Z270" s="7" t="s">
        <v>728</v>
      </c>
      <c r="AA270" s="7" t="s">
        <v>957</v>
      </c>
      <c r="AB270" s="6">
        <v>18.589679718017578</v>
      </c>
      <c r="AC270" s="6">
        <v>1.3382859689725031</v>
      </c>
      <c r="AD270" s="6">
        <v>-39.196939671894107</v>
      </c>
      <c r="AE270" s="6"/>
      <c r="AF270" s="6"/>
    </row>
    <row r="271" spans="1:32" s="4" customFormat="1" ht="12.75" x14ac:dyDescent="0.2">
      <c r="A271" s="7" t="s">
        <v>958</v>
      </c>
      <c r="B271" s="7" t="s">
        <v>959</v>
      </c>
      <c r="C271" s="7" t="s">
        <v>960</v>
      </c>
      <c r="D271" s="6">
        <v>0.65766298770904508</v>
      </c>
      <c r="E271" s="6">
        <v>-0.92798602581024203</v>
      </c>
      <c r="F271" s="6">
        <v>-0.13832661509513902</v>
      </c>
      <c r="G271" s="6">
        <v>-3.9348334074020004E-2</v>
      </c>
      <c r="H271" s="6">
        <v>-7.7537246048450012E-2</v>
      </c>
      <c r="I271" s="6">
        <v>-0.95421040058136009</v>
      </c>
      <c r="J271" s="6">
        <v>-1.6983348876238001E-2</v>
      </c>
      <c r="K271" s="6">
        <v>-0.48645794391632102</v>
      </c>
      <c r="L271" s="6">
        <v>-0.81727248430252109</v>
      </c>
      <c r="M271" s="6">
        <v>-0.60444074869155906</v>
      </c>
      <c r="N271" s="6">
        <v>1.9135338265320332</v>
      </c>
      <c r="O271" s="6">
        <v>1.7136376844570991</v>
      </c>
      <c r="P271" s="6">
        <v>1.6286342118825501</v>
      </c>
      <c r="Q271" s="6">
        <v>1.554623569952974</v>
      </c>
      <c r="R271" s="6">
        <v>35.632930799305832</v>
      </c>
      <c r="S271" s="6">
        <v>20.049717019107462</v>
      </c>
      <c r="T271" s="6">
        <v>4.5412697792053223</v>
      </c>
      <c r="U271" s="6" t="str">
        <f>_xll.BDP($A271,"TRAILING_12M_R&amp;D_%_SALES",$A$1,$A$2)</f>
        <v>#N/A N/A</v>
      </c>
      <c r="V271" s="6">
        <v>50</v>
      </c>
      <c r="W271" s="6">
        <v>502020</v>
      </c>
      <c r="X271" s="6">
        <v>50202010</v>
      </c>
      <c r="Y271" s="7" t="s">
        <v>367</v>
      </c>
      <c r="Z271" s="7" t="s">
        <v>368</v>
      </c>
      <c r="AA271" s="7" t="s">
        <v>961</v>
      </c>
      <c r="AB271" s="6">
        <v>52.962478637695313</v>
      </c>
      <c r="AC271" s="6">
        <v>1.101902045378885</v>
      </c>
      <c r="AD271" s="6">
        <v>-44.282690095378932</v>
      </c>
      <c r="AE271" s="6">
        <v>171600</v>
      </c>
      <c r="AF271" s="6">
        <v>199000</v>
      </c>
    </row>
    <row r="272" spans="1:32" s="4" customFormat="1" ht="12.75" x14ac:dyDescent="0.2">
      <c r="A272" s="7" t="s">
        <v>962</v>
      </c>
      <c r="B272" s="7" t="s">
        <v>963</v>
      </c>
      <c r="C272" s="7" t="s">
        <v>964</v>
      </c>
      <c r="D272" s="6">
        <v>-0.49094507098197904</v>
      </c>
      <c r="E272" s="6">
        <v>-0.65332204103469804</v>
      </c>
      <c r="F272" s="6">
        <v>0.43718811869621305</v>
      </c>
      <c r="G272" s="6">
        <v>-0.78415423631668102</v>
      </c>
      <c r="H272" s="6">
        <v>-1.043641328811646</v>
      </c>
      <c r="I272" s="6">
        <v>-8.294826000928901E-2</v>
      </c>
      <c r="J272" s="6">
        <v>-5.2571643143892004E-2</v>
      </c>
      <c r="K272" s="6">
        <v>-0.39990553259849504</v>
      </c>
      <c r="L272" s="6">
        <v>-0.29693704843521102</v>
      </c>
      <c r="M272" s="6">
        <v>-0.54478555917739901</v>
      </c>
      <c r="N272" s="6">
        <v>1.656091219042839</v>
      </c>
      <c r="O272" s="6">
        <v>1.535438840377463</v>
      </c>
      <c r="P272" s="6">
        <v>2.636876368247393</v>
      </c>
      <c r="Q272" s="6">
        <v>2.5401432441860359</v>
      </c>
      <c r="R272" s="6">
        <v>25.15817272712847</v>
      </c>
      <c r="S272" s="6">
        <v>21.407801456162858</v>
      </c>
      <c r="T272" s="6">
        <v>11.63509464263916</v>
      </c>
      <c r="U272" s="6">
        <f>_xll.BDP($A272,"TRAILING_12M_R&amp;D_%_SALES",$A$1,$A$2)</f>
        <v>2.8044891636607758</v>
      </c>
      <c r="V272" s="6">
        <v>20</v>
      </c>
      <c r="W272" s="6">
        <v>201020</v>
      </c>
      <c r="X272" s="6">
        <v>20102010</v>
      </c>
      <c r="Y272" s="7" t="s">
        <v>43</v>
      </c>
      <c r="Z272" s="7" t="s">
        <v>626</v>
      </c>
      <c r="AA272" s="7" t="s">
        <v>626</v>
      </c>
      <c r="AB272" s="6">
        <v>57.368473052978516</v>
      </c>
      <c r="AC272" s="6">
        <v>0.70618433381515311</v>
      </c>
      <c r="AD272" s="6">
        <v>-31.99364991091559</v>
      </c>
      <c r="AE272" s="6">
        <v>88698</v>
      </c>
      <c r="AF272" s="6">
        <v>67036</v>
      </c>
    </row>
    <row r="273" spans="1:32" s="4" customFormat="1" ht="12.75" x14ac:dyDescent="0.2">
      <c r="A273" s="7" t="s">
        <v>965</v>
      </c>
      <c r="B273" s="7" t="s">
        <v>966</v>
      </c>
      <c r="C273" s="7" t="s">
        <v>967</v>
      </c>
      <c r="D273" s="6">
        <v>-0.49094507098197904</v>
      </c>
      <c r="E273" s="6">
        <v>-0.65332204103469804</v>
      </c>
      <c r="F273" s="6">
        <v>0.43718811869621305</v>
      </c>
      <c r="G273" s="6">
        <v>-0.78415423631668102</v>
      </c>
      <c r="H273" s="6">
        <v>-1.043641328811646</v>
      </c>
      <c r="I273" s="6">
        <v>-8.294826000928901E-2</v>
      </c>
      <c r="J273" s="6">
        <v>-5.2571643143892004E-2</v>
      </c>
      <c r="K273" s="6">
        <v>-0.39990553259849504</v>
      </c>
      <c r="L273" s="6">
        <v>-0.29693704843521102</v>
      </c>
      <c r="M273" s="6">
        <v>-0.54478555917739901</v>
      </c>
      <c r="N273" s="6">
        <v>1.656091219042839</v>
      </c>
      <c r="O273" s="6"/>
      <c r="P273" s="6">
        <v>2.636876368247393</v>
      </c>
      <c r="Q273" s="6"/>
      <c r="R273" s="6">
        <v>25.15817272712847</v>
      </c>
      <c r="S273" s="6"/>
      <c r="T273" s="6">
        <v>11.63509464263916</v>
      </c>
      <c r="U273" s="6">
        <f>_xll.BDP($A273,"TRAILING_12M_R&amp;D_%_SALES",$A$1,$A$2)</f>
        <v>2.8044891636607758</v>
      </c>
      <c r="V273" s="6">
        <v>20</v>
      </c>
      <c r="W273" s="6">
        <v>201020</v>
      </c>
      <c r="X273" s="6">
        <v>20102010</v>
      </c>
      <c r="Y273" s="7" t="s">
        <v>43</v>
      </c>
      <c r="Z273" s="7" t="s">
        <v>626</v>
      </c>
      <c r="AA273" s="7" t="s">
        <v>626</v>
      </c>
      <c r="AB273" s="6">
        <v>57.368473052978516</v>
      </c>
      <c r="AC273" s="6">
        <v>0.90247277045155605</v>
      </c>
      <c r="AD273" s="6">
        <v>-32.794967167311604</v>
      </c>
      <c r="AE273" s="6">
        <v>88698</v>
      </c>
      <c r="AF273" s="6">
        <v>67036</v>
      </c>
    </row>
    <row r="274" spans="1:32" s="4" customFormat="1" ht="12.75" x14ac:dyDescent="0.2">
      <c r="A274" s="7" t="s">
        <v>968</v>
      </c>
      <c r="B274" s="7" t="s">
        <v>969</v>
      </c>
      <c r="C274" s="7" t="s">
        <v>970</v>
      </c>
      <c r="D274" s="6">
        <v>-0.81356233358383201</v>
      </c>
      <c r="E274" s="6">
        <v>-1.118349671363831</v>
      </c>
      <c r="F274" s="6">
        <v>1.078218460083008</v>
      </c>
      <c r="G274" s="6">
        <v>0.10673040151596101</v>
      </c>
      <c r="H274" s="6">
        <v>1.073145866394043</v>
      </c>
      <c r="I274" s="6">
        <v>1.044218778610229</v>
      </c>
      <c r="J274" s="6">
        <v>1.2979055643081669</v>
      </c>
      <c r="K274" s="6">
        <v>-1.372408986091614</v>
      </c>
      <c r="L274" s="6">
        <v>-0.81727248430252109</v>
      </c>
      <c r="M274" s="6">
        <v>0.80540668964386009</v>
      </c>
      <c r="N274" s="6">
        <v>0.31047919931969203</v>
      </c>
      <c r="O274" s="6">
        <v>0.26026156716292403</v>
      </c>
      <c r="P274" s="6">
        <v>1.018872279458221</v>
      </c>
      <c r="Q274" s="6">
        <v>1.2537563933525862</v>
      </c>
      <c r="R274" s="6">
        <v>55.636757007920892</v>
      </c>
      <c r="S274" s="6">
        <v>11.670465248793491</v>
      </c>
      <c r="T274" s="6">
        <v>2.6616559028625488</v>
      </c>
      <c r="U274" s="6" t="str">
        <f>_xll.BDP($A274,"TRAILING_12M_R&amp;D_%_SALES",$A$1,$A$2)</f>
        <v>#N/A N/A</v>
      </c>
      <c r="V274" s="6">
        <v>20</v>
      </c>
      <c r="W274" s="6">
        <v>203020</v>
      </c>
      <c r="X274" s="6">
        <v>20302010</v>
      </c>
      <c r="Y274" s="7" t="s">
        <v>43</v>
      </c>
      <c r="Z274" s="7" t="s">
        <v>62</v>
      </c>
      <c r="AA274" s="7" t="s">
        <v>62</v>
      </c>
      <c r="AB274" s="6">
        <v>47.198471069335938</v>
      </c>
      <c r="AC274" s="6">
        <v>0.59143831504531608</v>
      </c>
      <c r="AD274" s="6">
        <v>21.594206193644673</v>
      </c>
      <c r="AE274" s="6">
        <v>105290</v>
      </c>
      <c r="AF274" s="6">
        <v>124306</v>
      </c>
    </row>
    <row r="275" spans="1:32" s="4" customFormat="1" ht="12.75" x14ac:dyDescent="0.2">
      <c r="A275" s="7" t="s">
        <v>971</v>
      </c>
      <c r="B275" s="7" t="s">
        <v>972</v>
      </c>
      <c r="C275" s="7" t="s">
        <v>973</v>
      </c>
      <c r="D275" s="6">
        <v>-0.81356233358383201</v>
      </c>
      <c r="E275" s="6">
        <v>-1.118349671363831</v>
      </c>
      <c r="F275" s="6">
        <v>1.078218460083008</v>
      </c>
      <c r="G275" s="6">
        <v>0.10673040151596101</v>
      </c>
      <c r="H275" s="6">
        <v>1.073145866394043</v>
      </c>
      <c r="I275" s="6">
        <v>1.044218778610229</v>
      </c>
      <c r="J275" s="6">
        <v>1.2979055643081669</v>
      </c>
      <c r="K275" s="6">
        <v>-1.372408986091614</v>
      </c>
      <c r="L275" s="6">
        <v>-0.81727248430252109</v>
      </c>
      <c r="M275" s="6">
        <v>0.80540668964386009</v>
      </c>
      <c r="N275" s="6">
        <v>0.31047919931969203</v>
      </c>
      <c r="O275" s="6">
        <v>0.25545340579284803</v>
      </c>
      <c r="P275" s="6">
        <v>1.018872279458221</v>
      </c>
      <c r="Q275" s="6">
        <v>0.87587181090007404</v>
      </c>
      <c r="R275" s="6">
        <v>55.636757007920892</v>
      </c>
      <c r="S275" s="6">
        <v>8.1529633356697193</v>
      </c>
      <c r="T275" s="6">
        <v>2.6616559028625488</v>
      </c>
      <c r="U275" s="6" t="str">
        <f>_xll.BDP($A275,"TRAILING_12M_R&amp;D_%_SALES",$A$1,$A$2)</f>
        <v>#N/A N/A</v>
      </c>
      <c r="V275" s="6">
        <v>20</v>
      </c>
      <c r="W275" s="6">
        <v>203020</v>
      </c>
      <c r="X275" s="6">
        <v>20302010</v>
      </c>
      <c r="Y275" s="7" t="s">
        <v>43</v>
      </c>
      <c r="Z275" s="7" t="s">
        <v>62</v>
      </c>
      <c r="AA275" s="7" t="s">
        <v>62</v>
      </c>
      <c r="AB275" s="6">
        <v>47.198471069335938</v>
      </c>
      <c r="AC275" s="6">
        <v>1.009218430583628</v>
      </c>
      <c r="AD275" s="6">
        <v>18.659936437744751</v>
      </c>
      <c r="AE275" s="6">
        <v>105290</v>
      </c>
      <c r="AF275" s="6">
        <v>124306</v>
      </c>
    </row>
    <row r="276" spans="1:32" s="4" customFormat="1" ht="12.75" x14ac:dyDescent="0.2">
      <c r="A276" s="7" t="s">
        <v>974</v>
      </c>
      <c r="B276" s="7" t="s">
        <v>923</v>
      </c>
      <c r="C276" s="7" t="s">
        <v>975</v>
      </c>
      <c r="D276" s="6">
        <v>0.24320575594902002</v>
      </c>
      <c r="E276" s="6">
        <v>-0.8420108556747441</v>
      </c>
      <c r="F276" s="6">
        <v>0.86039108037948608</v>
      </c>
      <c r="G276" s="6">
        <v>-0.598033428192139</v>
      </c>
      <c r="H276" s="6">
        <v>-0.65622138977050803</v>
      </c>
      <c r="I276" s="6">
        <v>0.63181751966476407</v>
      </c>
      <c r="J276" s="6">
        <v>0.18490538001060502</v>
      </c>
      <c r="K276" s="6">
        <v>-1.0396542549133301</v>
      </c>
      <c r="L276" s="6">
        <v>0.55413216352462802</v>
      </c>
      <c r="M276" s="6">
        <v>-0.90009146928787209</v>
      </c>
      <c r="N276" s="6">
        <v>0.34002145696056102</v>
      </c>
      <c r="O276" s="6"/>
      <c r="P276" s="6">
        <v>1.039123340006382</v>
      </c>
      <c r="Q276" s="6"/>
      <c r="R276" s="6">
        <v>9.1660263962954893</v>
      </c>
      <c r="S276" s="6"/>
      <c r="T276" s="6">
        <v>8.7498054504394531</v>
      </c>
      <c r="U276" s="6" t="str">
        <f>_xll.BDP($A276,"TRAILING_12M_R&amp;D_%_SALES",$A$1,$A$2)</f>
        <v>#N/A N/A</v>
      </c>
      <c r="V276" s="6">
        <v>40</v>
      </c>
      <c r="W276" s="6">
        <v>403010</v>
      </c>
      <c r="X276" s="6">
        <v>40301020</v>
      </c>
      <c r="Y276" s="7" t="s">
        <v>53</v>
      </c>
      <c r="Z276" s="7" t="s">
        <v>54</v>
      </c>
      <c r="AA276" s="7" t="s">
        <v>55</v>
      </c>
      <c r="AB276" s="6">
        <v>56.483249664306641</v>
      </c>
      <c r="AC276" s="6">
        <v>0.46348133379050904</v>
      </c>
      <c r="AD276" s="6">
        <v>16.451012236989126</v>
      </c>
      <c r="AE276" s="6">
        <v>62260</v>
      </c>
      <c r="AF276" s="6">
        <v>62606</v>
      </c>
    </row>
    <row r="277" spans="1:32" s="4" customFormat="1" ht="12.75" x14ac:dyDescent="0.2">
      <c r="A277" s="7" t="s">
        <v>976</v>
      </c>
      <c r="B277" s="7" t="s">
        <v>977</v>
      </c>
      <c r="C277" s="7" t="s">
        <v>978</v>
      </c>
      <c r="D277" s="6">
        <v>-0.93326407670974709</v>
      </c>
      <c r="E277" s="6">
        <v>-0.36923241615295405</v>
      </c>
      <c r="F277" s="6">
        <v>0.33066222071647605</v>
      </c>
      <c r="G277" s="6">
        <v>-0.15214096009731301</v>
      </c>
      <c r="H277" s="6">
        <v>0.73112392425537109</v>
      </c>
      <c r="I277" s="6">
        <v>-0.86429989337921109</v>
      </c>
      <c r="J277" s="6">
        <v>-0.21938654780387901</v>
      </c>
      <c r="K277" s="6">
        <v>-0.19450625777244601</v>
      </c>
      <c r="L277" s="6">
        <v>1.564278244972229</v>
      </c>
      <c r="M277" s="6">
        <v>-0.92852920293808006</v>
      </c>
      <c r="N277" s="6">
        <v>6.2526395687979637</v>
      </c>
      <c r="O277" s="6">
        <v>5.821327933920097</v>
      </c>
      <c r="P277" s="6">
        <v>1.7676542643655822</v>
      </c>
      <c r="Q277" s="6">
        <v>1.785803957384535</v>
      </c>
      <c r="R277" s="6">
        <v>92.605244975626007</v>
      </c>
      <c r="S277" s="6">
        <v>87.03413862342201</v>
      </c>
      <c r="T277" s="6">
        <v>8.5345888137817383</v>
      </c>
      <c r="U277" s="6" t="str">
        <f>_xll.BDP($A277,"TRAILING_12M_R&amp;D_%_SALES",$A$1,$A$2)</f>
        <v>#N/A N/A</v>
      </c>
      <c r="V277" s="6">
        <v>60</v>
      </c>
      <c r="W277" s="6">
        <v>601080</v>
      </c>
      <c r="X277" s="6">
        <v>60108050</v>
      </c>
      <c r="Y277" s="7" t="s">
        <v>307</v>
      </c>
      <c r="Z277" s="7" t="s">
        <v>308</v>
      </c>
      <c r="AA277" s="7" t="s">
        <v>979</v>
      </c>
      <c r="AB277" s="6">
        <v>61.804645538330078</v>
      </c>
      <c r="AC277" s="6">
        <v>0.93721335323108812</v>
      </c>
      <c r="AD277" s="6">
        <v>-40.677216278323414</v>
      </c>
      <c r="AE277" s="6">
        <v>3030</v>
      </c>
      <c r="AF277" s="6">
        <v>1345</v>
      </c>
    </row>
    <row r="278" spans="1:32" s="4" customFormat="1" ht="12.75" x14ac:dyDescent="0.2">
      <c r="A278" s="7" t="s">
        <v>980</v>
      </c>
      <c r="B278" s="7" t="s">
        <v>981</v>
      </c>
      <c r="C278" s="7" t="s">
        <v>982</v>
      </c>
      <c r="D278" s="6">
        <v>-0.68021357059478804</v>
      </c>
      <c r="E278" s="6">
        <v>-0.60992556810379006</v>
      </c>
      <c r="F278" s="6">
        <v>0.12685269117355302</v>
      </c>
      <c r="G278" s="6">
        <v>0.85297679901123002</v>
      </c>
      <c r="H278" s="6">
        <v>0.53991210460662808</v>
      </c>
      <c r="I278" s="6">
        <v>0.49326080083847001</v>
      </c>
      <c r="J278" s="6">
        <v>-5.9834778308868006E-2</v>
      </c>
      <c r="K278" s="6">
        <v>-0.18812586367130302</v>
      </c>
      <c r="L278" s="6">
        <v>-0.81727248430252109</v>
      </c>
      <c r="M278" s="6">
        <v>-0.15198978781700101</v>
      </c>
      <c r="N278" s="6">
        <v>1.1449948492035991</v>
      </c>
      <c r="O278" s="6">
        <v>1.0532063606000761</v>
      </c>
      <c r="P278" s="6">
        <v>3.7807125137388371</v>
      </c>
      <c r="Q278" s="6">
        <v>3.239167321728623</v>
      </c>
      <c r="R278" s="6">
        <v>19.699164829341026</v>
      </c>
      <c r="S278" s="6">
        <v>18.097052222379272</v>
      </c>
      <c r="T278" s="6">
        <v>20.843185424804688</v>
      </c>
      <c r="U278" s="6">
        <f>_xll.BDP($A278,"TRAILING_12M_R&amp;D_%_SALES",$A$1,$A$2)</f>
        <v>0</v>
      </c>
      <c r="V278" s="6">
        <v>30</v>
      </c>
      <c r="W278" s="6">
        <v>301010</v>
      </c>
      <c r="X278" s="6">
        <v>30101040</v>
      </c>
      <c r="Y278" s="7" t="s">
        <v>91</v>
      </c>
      <c r="Z278" s="7" t="s">
        <v>133</v>
      </c>
      <c r="AA278" s="7" t="s">
        <v>329</v>
      </c>
      <c r="AB278" s="6">
        <v>46.323307037353516</v>
      </c>
      <c r="AC278" s="6">
        <v>0.82393163160682803</v>
      </c>
      <c r="AD278" s="6">
        <v>0.12033564366391601</v>
      </c>
      <c r="AE278" s="6">
        <v>61886</v>
      </c>
      <c r="AF278" s="6">
        <v>55300</v>
      </c>
    </row>
    <row r="279" spans="1:32" s="4" customFormat="1" ht="12.75" x14ac:dyDescent="0.2">
      <c r="A279" s="7" t="s">
        <v>983</v>
      </c>
      <c r="B279" s="7" t="s">
        <v>984</v>
      </c>
      <c r="C279" s="7" t="s">
        <v>985</v>
      </c>
      <c r="D279" s="6">
        <v>-0.15918184816837302</v>
      </c>
      <c r="E279" s="6">
        <v>-1.1964032649993901</v>
      </c>
      <c r="F279" s="6">
        <v>0.48214229941368103</v>
      </c>
      <c r="G279" s="6">
        <v>-0.83449065685272206</v>
      </c>
      <c r="H279" s="6">
        <v>1.676984429359436</v>
      </c>
      <c r="I279" s="6">
        <v>0.69365870952606201</v>
      </c>
      <c r="J279" s="6">
        <v>1.5294933319091801</v>
      </c>
      <c r="K279" s="6">
        <v>-0.42871493101120001</v>
      </c>
      <c r="L279" s="6">
        <v>-5.0081074237823001E-2</v>
      </c>
      <c r="M279" s="6">
        <v>-0.83896529674530007</v>
      </c>
      <c r="N279" s="6">
        <v>1.3255623693261731</v>
      </c>
      <c r="O279" s="6"/>
      <c r="P279" s="6">
        <v>0.7468456720541421</v>
      </c>
      <c r="Q279" s="6"/>
      <c r="R279" s="6"/>
      <c r="S279" s="6"/>
      <c r="T279" s="6">
        <v>-3.5737318992614751</v>
      </c>
      <c r="U279" s="6" t="str">
        <f>_xll.BDP($A279,"TRAILING_12M_R&amp;D_%_SALES",$A$1,$A$2)</f>
        <v>#N/A N/A</v>
      </c>
      <c r="V279" s="6">
        <v>40</v>
      </c>
      <c r="W279" s="6">
        <v>401010</v>
      </c>
      <c r="X279" s="6">
        <v>40101010</v>
      </c>
      <c r="Y279" s="7" t="s">
        <v>53</v>
      </c>
      <c r="Z279" s="7" t="s">
        <v>76</v>
      </c>
      <c r="AA279" s="7" t="s">
        <v>77</v>
      </c>
      <c r="AB279" s="6">
        <v>56.493312835693359</v>
      </c>
      <c r="AC279" s="6">
        <v>0.87886277878936903</v>
      </c>
      <c r="AD279" s="6">
        <v>16.678247724070872</v>
      </c>
      <c r="AE279" s="6">
        <v>21754</v>
      </c>
      <c r="AF279" s="6">
        <v>19303</v>
      </c>
    </row>
    <row r="280" spans="1:32" s="4" customFormat="1" ht="12.75" x14ac:dyDescent="0.2">
      <c r="A280" s="7" t="s">
        <v>986</v>
      </c>
      <c r="B280" s="7" t="s">
        <v>987</v>
      </c>
      <c r="C280" s="7" t="s">
        <v>988</v>
      </c>
      <c r="D280" s="6">
        <v>-0.15918184816837302</v>
      </c>
      <c r="E280" s="6">
        <v>-1.1964032649993901</v>
      </c>
      <c r="F280" s="6">
        <v>0.48214229941368103</v>
      </c>
      <c r="G280" s="6">
        <v>-0.83449065685272206</v>
      </c>
      <c r="H280" s="6">
        <v>1.676984429359436</v>
      </c>
      <c r="I280" s="6">
        <v>0.69365870952606201</v>
      </c>
      <c r="J280" s="6">
        <v>1.5294933319091801</v>
      </c>
      <c r="K280" s="6">
        <v>-0.42871493101120001</v>
      </c>
      <c r="L280" s="6">
        <v>-5.0081074237823001E-2</v>
      </c>
      <c r="M280" s="6">
        <v>-0.83896529674530007</v>
      </c>
      <c r="N280" s="6">
        <v>1.3255623693261731</v>
      </c>
      <c r="O280" s="6">
        <v>2.105606139072945</v>
      </c>
      <c r="P280" s="6">
        <v>0.7468456720541421</v>
      </c>
      <c r="Q280" s="6"/>
      <c r="R280" s="6"/>
      <c r="S280" s="6"/>
      <c r="T280" s="6">
        <v>-3.5737318992614751</v>
      </c>
      <c r="U280" s="6" t="str">
        <f>_xll.BDP($A280,"TRAILING_12M_R&amp;D_%_SALES",$A$1,$A$2)</f>
        <v>#N/A N/A</v>
      </c>
      <c r="V280" s="6">
        <v>40</v>
      </c>
      <c r="W280" s="6">
        <v>401010</v>
      </c>
      <c r="X280" s="6">
        <v>40101010</v>
      </c>
      <c r="Y280" s="7" t="s">
        <v>53</v>
      </c>
      <c r="Z280" s="7" t="s">
        <v>76</v>
      </c>
      <c r="AA280" s="7" t="s">
        <v>77</v>
      </c>
      <c r="AB280" s="6">
        <v>56.493312835693359</v>
      </c>
      <c r="AC280" s="6">
        <v>0.47480711271348003</v>
      </c>
      <c r="AD280" s="6">
        <v>-1.1766318269553211</v>
      </c>
      <c r="AE280" s="6">
        <v>21754</v>
      </c>
      <c r="AF280" s="6">
        <v>19303</v>
      </c>
    </row>
    <row r="281" spans="1:32" s="4" customFormat="1" ht="12.75" x14ac:dyDescent="0.2">
      <c r="A281" s="7" t="s">
        <v>989</v>
      </c>
      <c r="B281" s="7" t="s">
        <v>990</v>
      </c>
      <c r="C281" s="7" t="s">
        <v>991</v>
      </c>
      <c r="D281" s="6">
        <v>-0.27741673588752702</v>
      </c>
      <c r="E281" s="6">
        <v>-0.82421422004699707</v>
      </c>
      <c r="F281" s="6">
        <v>0.98046320676803611</v>
      </c>
      <c r="G281" s="6">
        <v>-0.88196188211441007</v>
      </c>
      <c r="H281" s="6">
        <v>-0.84772157669067405</v>
      </c>
      <c r="I281" s="6">
        <v>-6.2659211456775998E-2</v>
      </c>
      <c r="J281" s="6">
        <v>0.61010879278183006</v>
      </c>
      <c r="K281" s="6">
        <v>-0.70240861177444502</v>
      </c>
      <c r="L281" s="6">
        <v>0.50371110439300504</v>
      </c>
      <c r="M281" s="6">
        <v>-0.53761690855026201</v>
      </c>
      <c r="N281" s="6">
        <v>0.83887339069897904</v>
      </c>
      <c r="O281" s="6">
        <v>0.76945594352146907</v>
      </c>
      <c r="P281" s="6">
        <v>1.1517832696681789</v>
      </c>
      <c r="Q281" s="6">
        <v>1.068508605171536</v>
      </c>
      <c r="R281" s="6">
        <v>19.442544056877061</v>
      </c>
      <c r="S281" s="6">
        <v>11.180290937033242</v>
      </c>
      <c r="T281" s="6">
        <v>6.1792788505554199</v>
      </c>
      <c r="U281" s="6">
        <f>_xll.BDP($A281,"TRAILING_12M_R&amp;D_%_SALES",$A$1,$A$2)</f>
        <v>8.4506544799225569</v>
      </c>
      <c r="V281" s="6">
        <v>25</v>
      </c>
      <c r="W281" s="6">
        <v>251010</v>
      </c>
      <c r="X281" s="6">
        <v>25101010</v>
      </c>
      <c r="Y281" s="7" t="s">
        <v>108</v>
      </c>
      <c r="Z281" s="7" t="s">
        <v>564</v>
      </c>
      <c r="AA281" s="7" t="s">
        <v>871</v>
      </c>
      <c r="AB281" s="6">
        <v>49.844081878662109</v>
      </c>
      <c r="AC281" s="6">
        <v>0.373015984681624</v>
      </c>
      <c r="AD281" s="6">
        <v>-37.42610040783223</v>
      </c>
      <c r="AE281" s="6">
        <v>167950</v>
      </c>
      <c r="AF281" s="6">
        <v>154493</v>
      </c>
    </row>
    <row r="282" spans="1:32" s="4" customFormat="1" ht="12.75" x14ac:dyDescent="0.2">
      <c r="A282" s="7" t="s">
        <v>992</v>
      </c>
      <c r="B282" s="7" t="s">
        <v>993</v>
      </c>
      <c r="C282" s="7" t="s">
        <v>994</v>
      </c>
      <c r="D282" s="6">
        <v>-0.27741673588752702</v>
      </c>
      <c r="E282" s="6">
        <v>-0.82421422004699707</v>
      </c>
      <c r="F282" s="6">
        <v>0.98046320676803611</v>
      </c>
      <c r="G282" s="6">
        <v>-0.88196188211441007</v>
      </c>
      <c r="H282" s="6">
        <v>-0.84772157669067405</v>
      </c>
      <c r="I282" s="6">
        <v>-6.2659211456775998E-2</v>
      </c>
      <c r="J282" s="6">
        <v>0.61010879278183006</v>
      </c>
      <c r="K282" s="6">
        <v>-0.70240861177444502</v>
      </c>
      <c r="L282" s="6">
        <v>0.50371110439300504</v>
      </c>
      <c r="M282" s="6">
        <v>-0.53761690855026201</v>
      </c>
      <c r="N282" s="6">
        <v>0.83887339069897904</v>
      </c>
      <c r="O282" s="6"/>
      <c r="P282" s="6">
        <v>1.1517832696681789</v>
      </c>
      <c r="Q282" s="6"/>
      <c r="R282" s="6">
        <v>19.442544056877061</v>
      </c>
      <c r="S282" s="6"/>
      <c r="T282" s="6">
        <v>6.1792788505554199</v>
      </c>
      <c r="U282" s="6">
        <f>_xll.BDP($A282,"TRAILING_12M_R&amp;D_%_SALES",$A$1,$A$2)</f>
        <v>8.4506544799225569</v>
      </c>
      <c r="V282" s="6">
        <v>25</v>
      </c>
      <c r="W282" s="6">
        <v>251010</v>
      </c>
      <c r="X282" s="6">
        <v>25101010</v>
      </c>
      <c r="Y282" s="7" t="s">
        <v>108</v>
      </c>
      <c r="Z282" s="7" t="s">
        <v>564</v>
      </c>
      <c r="AA282" s="7" t="s">
        <v>871</v>
      </c>
      <c r="AB282" s="6">
        <v>49.844081878662109</v>
      </c>
      <c r="AC282" s="6">
        <v>0.93256980492064212</v>
      </c>
      <c r="AD282" s="6">
        <v>-39.296893120400078</v>
      </c>
      <c r="AE282" s="6">
        <v>167950</v>
      </c>
      <c r="AF282" s="6">
        <v>154493</v>
      </c>
    </row>
    <row r="283" spans="1:32" s="4" customFormat="1" ht="12.75" x14ac:dyDescent="0.2">
      <c r="A283" s="7" t="s">
        <v>995</v>
      </c>
      <c r="B283" s="7" t="s">
        <v>996</v>
      </c>
      <c r="C283" s="7" t="s">
        <v>997</v>
      </c>
      <c r="D283" s="6">
        <v>-0.22025212645530701</v>
      </c>
      <c r="E283" s="6">
        <v>-0.29726579785347002</v>
      </c>
      <c r="F283" s="6">
        <v>0.21249832212925002</v>
      </c>
      <c r="G283" s="6">
        <v>0.17669853568077101</v>
      </c>
      <c r="H283" s="6">
        <v>0.13208599388599401</v>
      </c>
      <c r="I283" s="6">
        <v>0.18560847640037501</v>
      </c>
      <c r="J283" s="6">
        <v>1.269599914550781</v>
      </c>
      <c r="K283" s="6">
        <v>-0.90898096561431907</v>
      </c>
      <c r="L283" s="6">
        <v>1.899800181388855</v>
      </c>
      <c r="M283" s="6">
        <v>0.10031458735466001</v>
      </c>
      <c r="N283" s="6">
        <v>0.61764021160013405</v>
      </c>
      <c r="O283" s="6">
        <v>0.6790137313295681</v>
      </c>
      <c r="P283" s="6">
        <v>1.9574118058309802</v>
      </c>
      <c r="Q283" s="6">
        <v>1.9582790076553942</v>
      </c>
      <c r="R283" s="6">
        <v>6.2430099989459151</v>
      </c>
      <c r="S283" s="6">
        <v>11.438718844281187</v>
      </c>
      <c r="T283" s="6">
        <v>32.966777801513672</v>
      </c>
      <c r="U283" s="6">
        <f>_xll.BDP($A283,"TRAILING_12M_R&amp;D_%_SALES",$A$1,$A$2)</f>
        <v>1.8852993203612327</v>
      </c>
      <c r="V283" s="6">
        <v>15</v>
      </c>
      <c r="W283" s="6">
        <v>151010</v>
      </c>
      <c r="X283" s="6">
        <v>15101010</v>
      </c>
      <c r="Y283" s="7" t="s">
        <v>38</v>
      </c>
      <c r="Z283" s="7" t="s">
        <v>48</v>
      </c>
      <c r="AA283" s="7" t="s">
        <v>998</v>
      </c>
      <c r="AB283" s="6">
        <v>72.014884948730469</v>
      </c>
      <c r="AC283" s="6">
        <v>0.84318154465965611</v>
      </c>
      <c r="AD283" s="6">
        <v>-6.7962082994005755</v>
      </c>
      <c r="AE283" s="6">
        <v>35700</v>
      </c>
      <c r="AF283" s="6"/>
    </row>
    <row r="284" spans="1:32" s="4" customFormat="1" ht="12.75" x14ac:dyDescent="0.2">
      <c r="A284" s="7" t="s">
        <v>999</v>
      </c>
      <c r="B284" s="7" t="s">
        <v>1000</v>
      </c>
      <c r="C284" s="7" t="s">
        <v>1001</v>
      </c>
      <c r="D284" s="6">
        <v>1.5697274357080002E-2</v>
      </c>
      <c r="E284" s="6">
        <v>-0.33384713530540505</v>
      </c>
      <c r="F284" s="6">
        <v>1.210985660552979</v>
      </c>
      <c r="G284" s="6">
        <v>-0.8309162855148321</v>
      </c>
      <c r="H284" s="6">
        <v>0.16674554347991902</v>
      </c>
      <c r="I284" s="6">
        <v>-0.51345419883728005</v>
      </c>
      <c r="J284" s="6">
        <v>1.3165392875671391</v>
      </c>
      <c r="K284" s="6">
        <v>-0.26779237389564503</v>
      </c>
      <c r="L284" s="6">
        <v>1.6753627061843872</v>
      </c>
      <c r="M284" s="6">
        <v>7.4911139905453006E-2</v>
      </c>
      <c r="N284" s="6">
        <v>0.45819605053825302</v>
      </c>
      <c r="O284" s="6">
        <v>0.49976512223896902</v>
      </c>
      <c r="P284" s="6">
        <v>1.8311410447394461</v>
      </c>
      <c r="Q284" s="6">
        <v>1.8142800857921659</v>
      </c>
      <c r="R284" s="6">
        <v>7.752732399208857</v>
      </c>
      <c r="S284" s="6">
        <v>9.9496021867548823</v>
      </c>
      <c r="T284" s="6">
        <v>27.113645553588867</v>
      </c>
      <c r="U284" s="6">
        <f>_xll.BDP($A284,"TRAILING_12M_R&amp;D_%_SALES",$A$1,$A$2)</f>
        <v>0</v>
      </c>
      <c r="V284" s="6">
        <v>20</v>
      </c>
      <c r="W284" s="6">
        <v>203010</v>
      </c>
      <c r="X284" s="6">
        <v>20301010</v>
      </c>
      <c r="Y284" s="7" t="s">
        <v>43</v>
      </c>
      <c r="Z284" s="7" t="s">
        <v>949</v>
      </c>
      <c r="AA284" s="7" t="s">
        <v>949</v>
      </c>
      <c r="AB284" s="6">
        <v>56.111053466796875</v>
      </c>
      <c r="AC284" s="6">
        <v>0.84956146683434908</v>
      </c>
      <c r="AD284" s="6">
        <v>-38.090613616646486</v>
      </c>
      <c r="AE284" s="6">
        <v>548042</v>
      </c>
      <c r="AF284" s="6">
        <v>459262</v>
      </c>
    </row>
    <row r="285" spans="1:32" s="4" customFormat="1" ht="12.75" x14ac:dyDescent="0.2">
      <c r="A285" s="7" t="s">
        <v>1002</v>
      </c>
      <c r="B285" s="7" t="s">
        <v>1003</v>
      </c>
      <c r="C285" s="7" t="s">
        <v>1004</v>
      </c>
      <c r="D285" s="6">
        <v>-0.59424227476120006</v>
      </c>
      <c r="E285" s="6">
        <v>-3.6350894719362002E-2</v>
      </c>
      <c r="F285" s="6">
        <v>0.14332349598407701</v>
      </c>
      <c r="G285" s="6">
        <v>-0.98671191930770907</v>
      </c>
      <c r="H285" s="6">
        <v>-0.44620722532272306</v>
      </c>
      <c r="I285" s="6">
        <v>-0.35802596807479903</v>
      </c>
      <c r="J285" s="6">
        <v>0.281014293432236</v>
      </c>
      <c r="K285" s="6">
        <v>1.048202276229858</v>
      </c>
      <c r="L285" s="6">
        <v>-0.57571339607238803</v>
      </c>
      <c r="M285" s="6">
        <v>1.5274292230606079</v>
      </c>
      <c r="N285" s="6">
        <v>1.0287212759539801</v>
      </c>
      <c r="O285" s="6">
        <v>1.2816708059549871</v>
      </c>
      <c r="P285" s="6">
        <v>3.0629442022474591</v>
      </c>
      <c r="Q285" s="6">
        <v>3.5251371344739511</v>
      </c>
      <c r="R285" s="6">
        <v>14.835987645868391</v>
      </c>
      <c r="S285" s="6">
        <v>18.800663706324443</v>
      </c>
      <c r="T285" s="6">
        <v>22.062141418457031</v>
      </c>
      <c r="U285" s="6" t="str">
        <f>_xll.BDP($A285,"TRAILING_12M_R&amp;D_%_SALES",$A$1,$A$2)</f>
        <v>#N/A N/A</v>
      </c>
      <c r="V285" s="6">
        <v>20</v>
      </c>
      <c r="W285" s="6">
        <v>203010</v>
      </c>
      <c r="X285" s="6">
        <v>20301010</v>
      </c>
      <c r="Y285" s="7" t="s">
        <v>43</v>
      </c>
      <c r="Z285" s="7" t="s">
        <v>949</v>
      </c>
      <c r="AA285" s="7" t="s">
        <v>949</v>
      </c>
      <c r="AB285" s="6">
        <v>52.127552032470703</v>
      </c>
      <c r="AC285" s="6">
        <v>0.91026246862484206</v>
      </c>
      <c r="AD285" s="6">
        <v>-31.784334060907561</v>
      </c>
      <c r="AE285" s="6">
        <v>77958</v>
      </c>
      <c r="AF285" s="6">
        <v>44779</v>
      </c>
    </row>
    <row r="286" spans="1:32" s="4" customFormat="1" ht="12.75" x14ac:dyDescent="0.2">
      <c r="A286" s="7" t="s">
        <v>1005</v>
      </c>
      <c r="B286" s="7" t="s">
        <v>1006</v>
      </c>
      <c r="C286" s="7" t="s">
        <v>1007</v>
      </c>
      <c r="D286" s="6">
        <v>-0.59424227476120006</v>
      </c>
      <c r="E286" s="6">
        <v>-3.6350894719362002E-2</v>
      </c>
      <c r="F286" s="6">
        <v>0.14332349598407701</v>
      </c>
      <c r="G286" s="6">
        <v>-0.98671191930770907</v>
      </c>
      <c r="H286" s="6">
        <v>-0.44620722532272306</v>
      </c>
      <c r="I286" s="6">
        <v>-0.35802596807479903</v>
      </c>
      <c r="J286" s="6">
        <v>0.281014293432236</v>
      </c>
      <c r="K286" s="6">
        <v>1.048202276229858</v>
      </c>
      <c r="L286" s="6">
        <v>-0.57571339607238803</v>
      </c>
      <c r="M286" s="6">
        <v>1.5274292230606079</v>
      </c>
      <c r="N286" s="6">
        <v>1.0287212759539801</v>
      </c>
      <c r="O286" s="6">
        <v>1.4703685940798421</v>
      </c>
      <c r="P286" s="6">
        <v>3.0629442022474591</v>
      </c>
      <c r="Q286" s="6"/>
      <c r="R286" s="6">
        <v>14.835987645868391</v>
      </c>
      <c r="S286" s="6">
        <v>19.854973570559718</v>
      </c>
      <c r="T286" s="6">
        <v>22.062141418457031</v>
      </c>
      <c r="U286" s="6" t="str">
        <f>_xll.BDP($A286,"TRAILING_12M_R&amp;D_%_SALES",$A$1,$A$2)</f>
        <v>#N/A N/A</v>
      </c>
      <c r="V286" s="6">
        <v>20</v>
      </c>
      <c r="W286" s="6">
        <v>203010</v>
      </c>
      <c r="X286" s="6">
        <v>20301010</v>
      </c>
      <c r="Y286" s="7" t="s">
        <v>43</v>
      </c>
      <c r="Z286" s="7" t="s">
        <v>949</v>
      </c>
      <c r="AA286" s="7" t="s">
        <v>949</v>
      </c>
      <c r="AB286" s="6">
        <v>52.127552032470703</v>
      </c>
      <c r="AC286" s="6">
        <v>1.081765420942419</v>
      </c>
      <c r="AD286" s="6">
        <v>-31.837097188774809</v>
      </c>
      <c r="AE286" s="6">
        <v>77958</v>
      </c>
      <c r="AF286" s="6">
        <v>44779</v>
      </c>
    </row>
    <row r="287" spans="1:32" s="4" customFormat="1" ht="12.75" x14ac:dyDescent="0.2">
      <c r="A287" s="7" t="s">
        <v>1008</v>
      </c>
      <c r="B287" s="7" t="s">
        <v>1009</v>
      </c>
      <c r="C287" s="7" t="s">
        <v>1010</v>
      </c>
      <c r="D287" s="6">
        <v>-0.92000699043273904</v>
      </c>
      <c r="E287" s="6">
        <v>-0.60681414604187001</v>
      </c>
      <c r="F287" s="6">
        <v>-1.1540448665618901</v>
      </c>
      <c r="G287" s="6">
        <v>-0.65858751535415605</v>
      </c>
      <c r="H287" s="6">
        <v>2.1827437877655029</v>
      </c>
      <c r="I287" s="6">
        <v>-3.8953467737880003E-3</v>
      </c>
      <c r="J287" s="6">
        <v>-0.24655583500862102</v>
      </c>
      <c r="K287" s="6">
        <v>-0.72916054725647006</v>
      </c>
      <c r="L287" s="6">
        <v>1.4026516675949101</v>
      </c>
      <c r="M287" s="6">
        <v>-1.008666515350342</v>
      </c>
      <c r="N287" s="6">
        <v>1.4948577288785572</v>
      </c>
      <c r="O287" s="6">
        <v>1.9067452653800951</v>
      </c>
      <c r="P287" s="6">
        <v>0.59645384951427605</v>
      </c>
      <c r="Q287" s="6">
        <v>0.61709732923954308</v>
      </c>
      <c r="R287" s="6">
        <v>11.368954817391545</v>
      </c>
      <c r="S287" s="6">
        <v>11.52422470318799</v>
      </c>
      <c r="T287" s="6">
        <v>5.4566659927368164</v>
      </c>
      <c r="U287" s="6" t="str">
        <f>_xll.BDP($A287,"TRAILING_12M_R&amp;D_%_SALES",$A$1,$A$2)</f>
        <v>#N/A N/A</v>
      </c>
      <c r="V287" s="6">
        <v>40</v>
      </c>
      <c r="W287" s="6">
        <v>402030</v>
      </c>
      <c r="X287" s="6">
        <v>40203020</v>
      </c>
      <c r="Y287" s="7" t="s">
        <v>53</v>
      </c>
      <c r="Z287" s="7" t="s">
        <v>298</v>
      </c>
      <c r="AA287" s="7" t="s">
        <v>688</v>
      </c>
      <c r="AB287" s="6">
        <v>60.587467193603516</v>
      </c>
      <c r="AC287" s="6">
        <v>0.31178195054372904</v>
      </c>
      <c r="AD287" s="6">
        <v>-20.101775565989357</v>
      </c>
      <c r="AE287" s="6">
        <v>14889</v>
      </c>
      <c r="AF287" s="6">
        <v>13836</v>
      </c>
    </row>
    <row r="288" spans="1:32" s="4" customFormat="1" ht="12.75" x14ac:dyDescent="0.2">
      <c r="A288" s="7" t="s">
        <v>1011</v>
      </c>
      <c r="B288" s="7" t="s">
        <v>1012</v>
      </c>
      <c r="C288" s="7" t="s">
        <v>1013</v>
      </c>
      <c r="D288" s="6">
        <v>-0.92000699043273904</v>
      </c>
      <c r="E288" s="6">
        <v>-0.60681414604187001</v>
      </c>
      <c r="F288" s="6">
        <v>-1.1540448665618901</v>
      </c>
      <c r="G288" s="6">
        <v>-0.65858751535415605</v>
      </c>
      <c r="H288" s="6">
        <v>2.1827437877655029</v>
      </c>
      <c r="I288" s="6">
        <v>-3.8953467737880003E-3</v>
      </c>
      <c r="J288" s="6">
        <v>-0.24655583500862102</v>
      </c>
      <c r="K288" s="6">
        <v>-0.72916054725647006</v>
      </c>
      <c r="L288" s="6">
        <v>1.4026516675949101</v>
      </c>
      <c r="M288" s="6">
        <v>-1.008666515350342</v>
      </c>
      <c r="N288" s="6">
        <v>1.4948577288785572</v>
      </c>
      <c r="O288" s="6"/>
      <c r="P288" s="6">
        <v>0.59645384951427605</v>
      </c>
      <c r="Q288" s="6"/>
      <c r="R288" s="6">
        <v>11.368954817391545</v>
      </c>
      <c r="S288" s="6"/>
      <c r="T288" s="6">
        <v>5.4566659927368164</v>
      </c>
      <c r="U288" s="6" t="str">
        <f>_xll.BDP($A288,"TRAILING_12M_R&amp;D_%_SALES",$A$1,$A$2)</f>
        <v>#N/A N/A</v>
      </c>
      <c r="V288" s="6">
        <v>40</v>
      </c>
      <c r="W288" s="6">
        <v>402030</v>
      </c>
      <c r="X288" s="6">
        <v>40203020</v>
      </c>
      <c r="Y288" s="7" t="s">
        <v>53</v>
      </c>
      <c r="Z288" s="7" t="s">
        <v>298</v>
      </c>
      <c r="AA288" s="7" t="s">
        <v>688</v>
      </c>
      <c r="AB288" s="6">
        <v>60.587467193603516</v>
      </c>
      <c r="AC288" s="6">
        <v>0.58825700503720701</v>
      </c>
      <c r="AD288" s="6">
        <v>-17.018505957039743</v>
      </c>
      <c r="AE288" s="6">
        <v>14889</v>
      </c>
      <c r="AF288" s="6">
        <v>13836</v>
      </c>
    </row>
    <row r="289" spans="1:32" s="4" customFormat="1" ht="12.75" x14ac:dyDescent="0.2">
      <c r="A289" s="7" t="s">
        <v>1014</v>
      </c>
      <c r="B289" s="7" t="s">
        <v>1015</v>
      </c>
      <c r="C289" s="7" t="s">
        <v>1016</v>
      </c>
      <c r="D289" s="6">
        <v>-0.78761470317840609</v>
      </c>
      <c r="E289" s="6">
        <v>-0.94314545392990112</v>
      </c>
      <c r="F289" s="6">
        <v>2.2158901691436772</v>
      </c>
      <c r="G289" s="6">
        <v>-0.87597894668579102</v>
      </c>
      <c r="H289" s="6">
        <v>-1.226615190505981</v>
      </c>
      <c r="I289" s="6">
        <v>1.664070248603821</v>
      </c>
      <c r="J289" s="6">
        <v>-0.63141900300979603</v>
      </c>
      <c r="K289" s="6">
        <v>-0.44255536794662503</v>
      </c>
      <c r="L289" s="6">
        <v>-0.47192752361297602</v>
      </c>
      <c r="M289" s="6">
        <v>-0.75220692157745406</v>
      </c>
      <c r="N289" s="6">
        <v>7.2560400819310837</v>
      </c>
      <c r="O289" s="6">
        <v>5.9501991926770845</v>
      </c>
      <c r="P289" s="6">
        <v>5.5532082234566582</v>
      </c>
      <c r="Q289" s="6">
        <v>5.5207693815417809</v>
      </c>
      <c r="R289" s="6">
        <v>129.69178946084256</v>
      </c>
      <c r="S289" s="6">
        <v>60.481591622692427</v>
      </c>
      <c r="T289" s="6">
        <v>4.520078182220459</v>
      </c>
      <c r="U289" s="6">
        <f>_xll.BDP($A289,"TRAILING_12M_R&amp;D_%_SALES",$A$1,$A$2)</f>
        <v>22.885256343869052</v>
      </c>
      <c r="V289" s="6">
        <v>35</v>
      </c>
      <c r="W289" s="6">
        <v>352020</v>
      </c>
      <c r="X289" s="6">
        <v>35202010</v>
      </c>
      <c r="Y289" s="7" t="s">
        <v>86</v>
      </c>
      <c r="Z289" s="7" t="s">
        <v>271</v>
      </c>
      <c r="AA289" s="7" t="s">
        <v>271</v>
      </c>
      <c r="AB289" s="6">
        <v>64.480438232421875</v>
      </c>
      <c r="AC289" s="6">
        <v>0.62737070064364509</v>
      </c>
      <c r="AD289" s="6">
        <v>28.294865980166726</v>
      </c>
      <c r="AE289" s="6">
        <v>16458</v>
      </c>
      <c r="AF289" s="6">
        <v>14670</v>
      </c>
    </row>
    <row r="290" spans="1:32" s="4" customFormat="1" ht="12.75" x14ac:dyDescent="0.2">
      <c r="A290" s="7" t="s">
        <v>1017</v>
      </c>
      <c r="B290" s="7" t="s">
        <v>1018</v>
      </c>
      <c r="C290" s="7" t="s">
        <v>1019</v>
      </c>
      <c r="D290" s="6">
        <v>-0.78761470317840609</v>
      </c>
      <c r="E290" s="6">
        <v>-0.94314545392990112</v>
      </c>
      <c r="F290" s="6">
        <v>2.2158901691436772</v>
      </c>
      <c r="G290" s="6">
        <v>-0.87597894668579102</v>
      </c>
      <c r="H290" s="6">
        <v>-1.226615190505981</v>
      </c>
      <c r="I290" s="6">
        <v>1.664070248603821</v>
      </c>
      <c r="J290" s="6">
        <v>-0.63141900300979603</v>
      </c>
      <c r="K290" s="6">
        <v>-0.44255536794662503</v>
      </c>
      <c r="L290" s="6">
        <v>-0.47192752361297602</v>
      </c>
      <c r="M290" s="6">
        <v>-0.75220692157745406</v>
      </c>
      <c r="N290" s="6">
        <v>7.2560400819310837</v>
      </c>
      <c r="O290" s="6">
        <v>5.6511590323509928</v>
      </c>
      <c r="P290" s="6">
        <v>5.5532082234566582</v>
      </c>
      <c r="Q290" s="6"/>
      <c r="R290" s="6">
        <v>129.69178946084256</v>
      </c>
      <c r="S290" s="6">
        <v>50.740353564769251</v>
      </c>
      <c r="T290" s="6">
        <v>4.520078182220459</v>
      </c>
      <c r="U290" s="6">
        <f>_xll.BDP($A290,"TRAILING_12M_R&amp;D_%_SALES",$A$1,$A$2)</f>
        <v>22.885256343869052</v>
      </c>
      <c r="V290" s="6">
        <v>35</v>
      </c>
      <c r="W290" s="6">
        <v>352020</v>
      </c>
      <c r="X290" s="6">
        <v>35202010</v>
      </c>
      <c r="Y290" s="7" t="s">
        <v>86</v>
      </c>
      <c r="Z290" s="7" t="s">
        <v>271</v>
      </c>
      <c r="AA290" s="7" t="s">
        <v>271</v>
      </c>
      <c r="AB290" s="6">
        <v>64.480438232421875</v>
      </c>
      <c r="AC290" s="6">
        <v>0.76679675993650109</v>
      </c>
      <c r="AD290" s="6">
        <v>27.458656328895437</v>
      </c>
      <c r="AE290" s="6">
        <v>16458</v>
      </c>
      <c r="AF290" s="6">
        <v>14670</v>
      </c>
    </row>
    <row r="291" spans="1:32" s="4" customFormat="1" ht="12.75" x14ac:dyDescent="0.2">
      <c r="A291" s="7" t="s">
        <v>1020</v>
      </c>
      <c r="B291" s="7" t="s">
        <v>1021</v>
      </c>
      <c r="C291" s="7" t="s">
        <v>1022</v>
      </c>
      <c r="D291" s="6">
        <v>-0.688712298870087</v>
      </c>
      <c r="E291" s="6">
        <v>-0.84860783815383911</v>
      </c>
      <c r="F291" s="6">
        <v>-0.47755676507949801</v>
      </c>
      <c r="G291" s="6">
        <v>-9.6575468778610007E-2</v>
      </c>
      <c r="H291" s="6">
        <v>1.2246794700622561</v>
      </c>
      <c r="I291" s="6">
        <v>0.40754705667495705</v>
      </c>
      <c r="J291" s="6">
        <v>9.3378148972988004E-2</v>
      </c>
      <c r="K291" s="6">
        <v>-0.7276142835617071</v>
      </c>
      <c r="L291" s="6">
        <v>0.74609255790710405</v>
      </c>
      <c r="M291" s="6">
        <v>-0.75170558691024802</v>
      </c>
      <c r="N291" s="6">
        <v>1.1693019980972239</v>
      </c>
      <c r="O291" s="6">
        <v>1.539562960128257</v>
      </c>
      <c r="P291" s="6">
        <v>2.5356899421206811</v>
      </c>
      <c r="Q291" s="6">
        <v>2.2723077269598488</v>
      </c>
      <c r="R291" s="6">
        <v>20.751594898547328</v>
      </c>
      <c r="S291" s="6">
        <v>18.794747916430779</v>
      </c>
      <c r="T291" s="6">
        <v>12.811306953430176</v>
      </c>
      <c r="U291" s="6" t="str">
        <f>_xll.BDP($A291,"TRAILING_12M_R&amp;D_%_SALES",$A$1,$A$2)</f>
        <v>#N/A N/A</v>
      </c>
      <c r="V291" s="6">
        <v>55</v>
      </c>
      <c r="W291" s="6">
        <v>551030</v>
      </c>
      <c r="X291" s="6">
        <v>55103010</v>
      </c>
      <c r="Y291" s="7" t="s">
        <v>181</v>
      </c>
      <c r="Z291" s="7" t="s">
        <v>182</v>
      </c>
      <c r="AA291" s="7" t="s">
        <v>182</v>
      </c>
      <c r="AB291" s="6">
        <v>57.740669250488281</v>
      </c>
      <c r="AC291" s="6">
        <v>0.64595286256613804</v>
      </c>
      <c r="AD291" s="6">
        <v>1.452543223334213</v>
      </c>
      <c r="AE291" s="6">
        <v>10300</v>
      </c>
      <c r="AF291" s="6">
        <v>10000</v>
      </c>
    </row>
    <row r="292" spans="1:32" s="4" customFormat="1" ht="12.75" x14ac:dyDescent="0.2">
      <c r="A292" s="7" t="s">
        <v>1023</v>
      </c>
      <c r="B292" s="7" t="s">
        <v>1024</v>
      </c>
      <c r="C292" s="7" t="s">
        <v>1025</v>
      </c>
      <c r="D292" s="6">
        <v>0.72440379858017001</v>
      </c>
      <c r="E292" s="6">
        <v>-0.59232699871063199</v>
      </c>
      <c r="F292" s="6">
        <v>-0.52940660715103105</v>
      </c>
      <c r="G292" s="6">
        <v>-0.93602770566940308</v>
      </c>
      <c r="H292" s="6">
        <v>1.548251152038574</v>
      </c>
      <c r="I292" s="6">
        <v>0.74298548698425304</v>
      </c>
      <c r="J292" s="6">
        <v>1.282693147659302</v>
      </c>
      <c r="K292" s="6">
        <v>-0.22912819683551802</v>
      </c>
      <c r="L292" s="6">
        <v>0.98337531089782704</v>
      </c>
      <c r="M292" s="6">
        <v>-0.67142778635025002</v>
      </c>
      <c r="N292" s="6">
        <v>0.81223153354888111</v>
      </c>
      <c r="O292" s="6">
        <v>0.7848265159530321</v>
      </c>
      <c r="P292" s="6">
        <v>1.8068594120451129</v>
      </c>
      <c r="Q292" s="6">
        <v>2.0244202424379552</v>
      </c>
      <c r="R292" s="6">
        <v>12.674428257170133</v>
      </c>
      <c r="S292" s="6">
        <v>11.375572811300859</v>
      </c>
      <c r="T292" s="6">
        <v>16.122861862182617</v>
      </c>
      <c r="U292" s="6" t="str">
        <f>_xll.BDP($A292,"TRAILING_12M_R&amp;D_%_SALES",$A$1,$A$2)</f>
        <v>#N/A N/A</v>
      </c>
      <c r="V292" s="6">
        <v>50</v>
      </c>
      <c r="W292" s="6">
        <v>501010</v>
      </c>
      <c r="X292" s="6">
        <v>50101020</v>
      </c>
      <c r="Y292" s="7" t="s">
        <v>367</v>
      </c>
      <c r="Z292" s="7" t="s">
        <v>458</v>
      </c>
      <c r="AA292" s="7" t="s">
        <v>459</v>
      </c>
      <c r="AB292" s="6">
        <v>56.915802001953125</v>
      </c>
      <c r="AC292" s="6">
        <v>0.53393584353367407</v>
      </c>
      <c r="AD292" s="6">
        <v>13.440759373697775</v>
      </c>
      <c r="AE292" s="6">
        <v>216528</v>
      </c>
      <c r="AF292" s="6">
        <v>218341</v>
      </c>
    </row>
    <row r="293" spans="1:32" s="4" customFormat="1" ht="12.75" x14ac:dyDescent="0.2">
      <c r="A293" s="7" t="s">
        <v>1026</v>
      </c>
      <c r="B293" s="7" t="s">
        <v>1027</v>
      </c>
      <c r="C293" s="7" t="s">
        <v>1028</v>
      </c>
      <c r="D293" s="6">
        <v>0.72440379858017001</v>
      </c>
      <c r="E293" s="6">
        <v>-0.59232699871063199</v>
      </c>
      <c r="F293" s="6">
        <v>-0.52940660715103105</v>
      </c>
      <c r="G293" s="6">
        <v>-0.93602770566940308</v>
      </c>
      <c r="H293" s="6">
        <v>1.548251152038574</v>
      </c>
      <c r="I293" s="6">
        <v>0.74298548698425304</v>
      </c>
      <c r="J293" s="6">
        <v>1.282693147659302</v>
      </c>
      <c r="K293" s="6">
        <v>-0.22912819683551802</v>
      </c>
      <c r="L293" s="6">
        <v>0.98337531089782704</v>
      </c>
      <c r="M293" s="6">
        <v>-0.67142778635025002</v>
      </c>
      <c r="N293" s="6">
        <v>0.81223153354888111</v>
      </c>
      <c r="O293" s="6">
        <v>0.7848265159530321</v>
      </c>
      <c r="P293" s="6">
        <v>1.8068594120451129</v>
      </c>
      <c r="Q293" s="6">
        <v>2.0244202424379552</v>
      </c>
      <c r="R293" s="6">
        <v>12.674428257170133</v>
      </c>
      <c r="S293" s="6">
        <v>11.375572811300859</v>
      </c>
      <c r="T293" s="6">
        <v>16.122861862182617</v>
      </c>
      <c r="U293" s="6" t="str">
        <f>_xll.BDP($A293,"TRAILING_12M_R&amp;D_%_SALES",$A$1,$A$2)</f>
        <v>#N/A N/A</v>
      </c>
      <c r="V293" s="6">
        <v>50</v>
      </c>
      <c r="W293" s="6">
        <v>501010</v>
      </c>
      <c r="X293" s="6">
        <v>50101020</v>
      </c>
      <c r="Y293" s="7" t="s">
        <v>367</v>
      </c>
      <c r="Z293" s="7" t="s">
        <v>458</v>
      </c>
      <c r="AA293" s="7" t="s">
        <v>459</v>
      </c>
      <c r="AB293" s="6">
        <v>56.915802001953125</v>
      </c>
      <c r="AC293" s="6">
        <v>0.75811083472423502</v>
      </c>
      <c r="AD293" s="6">
        <v>12.275537863465802</v>
      </c>
      <c r="AE293" s="6">
        <v>216528</v>
      </c>
      <c r="AF293" s="6">
        <v>218341</v>
      </c>
    </row>
    <row r="294" spans="1:32" s="4" customFormat="1" ht="12.75" x14ac:dyDescent="0.2">
      <c r="A294" s="7" t="s">
        <v>1029</v>
      </c>
      <c r="B294" s="7" t="s">
        <v>1030</v>
      </c>
      <c r="C294" s="7" t="s">
        <v>1031</v>
      </c>
      <c r="D294" s="6">
        <v>-0.33356371521949801</v>
      </c>
      <c r="E294" s="6">
        <v>-0.8087909817695621</v>
      </c>
      <c r="F294" s="6">
        <v>1.212173223495483</v>
      </c>
      <c r="G294" s="6">
        <v>-0.98764771223068204</v>
      </c>
      <c r="H294" s="6">
        <v>0.29070255160331704</v>
      </c>
      <c r="I294" s="6">
        <v>9.5222510397434013E-2</v>
      </c>
      <c r="J294" s="6">
        <v>0.35576185584068304</v>
      </c>
      <c r="K294" s="6">
        <v>-0.97094339132309004</v>
      </c>
      <c r="L294" s="6">
        <v>-0.81727248430252109</v>
      </c>
      <c r="M294" s="6">
        <v>-0.20431980490684501</v>
      </c>
      <c r="N294" s="6">
        <v>0.50141742665169209</v>
      </c>
      <c r="O294" s="6">
        <v>0.45115287030867202</v>
      </c>
      <c r="P294" s="6">
        <v>1.1789330315781721</v>
      </c>
      <c r="Q294" s="6">
        <v>1.1386414644665659</v>
      </c>
      <c r="R294" s="6">
        <v>10.598414037060975</v>
      </c>
      <c r="S294" s="6">
        <v>7.9674512238592836</v>
      </c>
      <c r="T294" s="6">
        <v>14.408816337585449</v>
      </c>
      <c r="U294" s="6">
        <f>_xll.BDP($A294,"TRAILING_12M_R&amp;D_%_SALES",$A$1,$A$2)</f>
        <v>3.0158381798895348</v>
      </c>
      <c r="V294" s="6">
        <v>20</v>
      </c>
      <c r="W294" s="6">
        <v>201060</v>
      </c>
      <c r="X294" s="6">
        <v>20106010</v>
      </c>
      <c r="Y294" s="7" t="s">
        <v>43</v>
      </c>
      <c r="Z294" s="7" t="s">
        <v>630</v>
      </c>
      <c r="AA294" s="7" t="s">
        <v>631</v>
      </c>
      <c r="AB294" s="6">
        <v>61.442512512207031</v>
      </c>
      <c r="AC294" s="6">
        <v>0.54517415461863106</v>
      </c>
      <c r="AD294" s="6"/>
      <c r="AE294" s="6">
        <v>100000</v>
      </c>
      <c r="AF294" s="6"/>
    </row>
    <row r="295" spans="1:32" s="4" customFormat="1" ht="12.75" x14ac:dyDescent="0.2">
      <c r="A295" s="7" t="s">
        <v>1032</v>
      </c>
      <c r="B295" s="7" t="s">
        <v>1033</v>
      </c>
      <c r="C295" s="7" t="s">
        <v>1034</v>
      </c>
      <c r="D295" s="6">
        <v>-0.33356371521949801</v>
      </c>
      <c r="E295" s="6">
        <v>-0.8087909817695621</v>
      </c>
      <c r="F295" s="6">
        <v>1.212173223495483</v>
      </c>
      <c r="G295" s="6">
        <v>-0.98764771223068204</v>
      </c>
      <c r="H295" s="6">
        <v>0.29070255160331704</v>
      </c>
      <c r="I295" s="6">
        <v>9.5222510397434013E-2</v>
      </c>
      <c r="J295" s="6">
        <v>0.35576185584068304</v>
      </c>
      <c r="K295" s="6">
        <v>-0.97094339132309004</v>
      </c>
      <c r="L295" s="6">
        <v>-0.81727248430252109</v>
      </c>
      <c r="M295" s="6">
        <v>-0.20431980490684501</v>
      </c>
      <c r="N295" s="6">
        <v>0.50141742665169209</v>
      </c>
      <c r="O295" s="6"/>
      <c r="P295" s="6">
        <v>1.1789330315781721</v>
      </c>
      <c r="Q295" s="6"/>
      <c r="R295" s="6">
        <v>10.598414037060975</v>
      </c>
      <c r="S295" s="6"/>
      <c r="T295" s="6">
        <v>14.408816337585449</v>
      </c>
      <c r="U295" s="6">
        <f>_xll.BDP($A295,"TRAILING_12M_R&amp;D_%_SALES",$A$1,$A$2)</f>
        <v>3.0158381798895348</v>
      </c>
      <c r="V295" s="6">
        <v>20</v>
      </c>
      <c r="W295" s="6">
        <v>201060</v>
      </c>
      <c r="X295" s="6">
        <v>20106010</v>
      </c>
      <c r="Y295" s="7" t="s">
        <v>43</v>
      </c>
      <c r="Z295" s="7" t="s">
        <v>630</v>
      </c>
      <c r="AA295" s="7" t="s">
        <v>631</v>
      </c>
      <c r="AB295" s="6">
        <v>61.442512512207031</v>
      </c>
      <c r="AC295" s="6">
        <v>0.98371401627364308</v>
      </c>
      <c r="AD295" s="6">
        <v>-14.499998092651367</v>
      </c>
      <c r="AE295" s="6">
        <v>100000</v>
      </c>
      <c r="AF295" s="6"/>
    </row>
    <row r="296" spans="1:32" s="4" customFormat="1" ht="12.75" x14ac:dyDescent="0.2">
      <c r="A296" s="7" t="s">
        <v>1035</v>
      </c>
      <c r="B296" s="7" t="s">
        <v>1036</v>
      </c>
      <c r="C296" s="7" t="s">
        <v>1037</v>
      </c>
      <c r="D296" s="6">
        <v>0.179446011781693</v>
      </c>
      <c r="E296" s="6">
        <v>-0.7396771311759951</v>
      </c>
      <c r="F296" s="6">
        <v>0.16587576270103502</v>
      </c>
      <c r="G296" s="6">
        <v>-0.55399268865585305</v>
      </c>
      <c r="H296" s="6">
        <v>1.0519827604293821</v>
      </c>
      <c r="I296" s="6">
        <v>0.35008612275123602</v>
      </c>
      <c r="J296" s="6">
        <v>0.135966137051582</v>
      </c>
      <c r="K296" s="6">
        <v>-0.79823327064514205</v>
      </c>
      <c r="L296" s="6">
        <v>1.0778490304946899</v>
      </c>
      <c r="M296" s="6">
        <v>-0.97855573892593406</v>
      </c>
      <c r="N296" s="6">
        <v>2.829081448472567</v>
      </c>
      <c r="O296" s="6">
        <v>2.9270673395578659</v>
      </c>
      <c r="P296" s="6">
        <v>1.6390529652585761</v>
      </c>
      <c r="Q296" s="6">
        <v>1.557197380512074</v>
      </c>
      <c r="R296" s="6">
        <v>19.256596392703919</v>
      </c>
      <c r="S296" s="6">
        <v>18.187854485888369</v>
      </c>
      <c r="T296" s="6">
        <v>7.9934821128845215</v>
      </c>
      <c r="U296" s="6" t="str">
        <f>_xll.BDP($A296,"TRAILING_12M_R&amp;D_%_SALES",$A$1,$A$2)</f>
        <v>#N/A N/A</v>
      </c>
      <c r="V296" s="6">
        <v>55</v>
      </c>
      <c r="W296" s="6">
        <v>551010</v>
      </c>
      <c r="X296" s="6">
        <v>55101010</v>
      </c>
      <c r="Y296" s="7" t="s">
        <v>181</v>
      </c>
      <c r="Z296" s="7" t="s">
        <v>186</v>
      </c>
      <c r="AA296" s="7" t="s">
        <v>186</v>
      </c>
      <c r="AB296" s="6">
        <v>74.258125305175781</v>
      </c>
      <c r="AC296" s="6">
        <v>0.61295099554378407</v>
      </c>
      <c r="AD296" s="6">
        <v>2.1523179935530878</v>
      </c>
      <c r="AE296" s="6">
        <v>27605</v>
      </c>
      <c r="AF296" s="6">
        <v>28798</v>
      </c>
    </row>
    <row r="297" spans="1:32" s="4" customFormat="1" ht="12.75" x14ac:dyDescent="0.2">
      <c r="A297" s="7" t="s">
        <v>1038</v>
      </c>
      <c r="B297" s="7" t="s">
        <v>1039</v>
      </c>
      <c r="C297" s="7" t="s">
        <v>1040</v>
      </c>
      <c r="D297" s="6">
        <v>-0.67336684465408303</v>
      </c>
      <c r="E297" s="6">
        <v>0.93587476015090909</v>
      </c>
      <c r="F297" s="6">
        <v>-2.3475471884012E-2</v>
      </c>
      <c r="G297" s="6">
        <v>2.052993535995483</v>
      </c>
      <c r="H297" s="6">
        <v>-0.16144038736820202</v>
      </c>
      <c r="I297" s="6">
        <v>1.6223024129867549</v>
      </c>
      <c r="J297" s="6">
        <v>1.382423520088196</v>
      </c>
      <c r="K297" s="6">
        <v>2.4953426327560002E-3</v>
      </c>
      <c r="L297" s="6">
        <v>3.00003981590271</v>
      </c>
      <c r="M297" s="6">
        <v>2.0337035655975342</v>
      </c>
      <c r="N297" s="6">
        <v>2.1125577469604022</v>
      </c>
      <c r="O297" s="6">
        <v>2.2715488036439142</v>
      </c>
      <c r="P297" s="6">
        <v>3.6997646299748252</v>
      </c>
      <c r="Q297" s="6">
        <v>3.078382244593314</v>
      </c>
      <c r="R297" s="6">
        <v>7.6745510015219764</v>
      </c>
      <c r="S297" s="6">
        <v>7.0184280497224876</v>
      </c>
      <c r="T297" s="6">
        <v>63.504570007324219</v>
      </c>
      <c r="U297" s="6">
        <f>_xll.BDP($A297,"TRAILING_12M_R&amp;D_%_SALES",$A$1,$A$2)</f>
        <v>0</v>
      </c>
      <c r="V297" s="6">
        <v>10</v>
      </c>
      <c r="W297" s="6">
        <v>101020</v>
      </c>
      <c r="X297" s="6">
        <v>10102020</v>
      </c>
      <c r="Y297" s="7" t="s">
        <v>505</v>
      </c>
      <c r="Z297" s="7" t="s">
        <v>556</v>
      </c>
      <c r="AA297" s="7" t="s">
        <v>776</v>
      </c>
      <c r="AB297" s="6">
        <v>67.126045227050781</v>
      </c>
      <c r="AC297" s="6">
        <v>0.96389924741598609</v>
      </c>
      <c r="AD297" s="6">
        <v>52.38101043274397</v>
      </c>
      <c r="AE297" s="6">
        <v>1600</v>
      </c>
      <c r="AF297" s="6">
        <v>5000</v>
      </c>
    </row>
    <row r="298" spans="1:32" s="4" customFormat="1" ht="12.75" x14ac:dyDescent="0.2">
      <c r="A298" s="7" t="s">
        <v>1041</v>
      </c>
      <c r="B298" s="7" t="s">
        <v>1042</v>
      </c>
      <c r="C298" s="7" t="s">
        <v>1043</v>
      </c>
      <c r="D298" s="6">
        <v>-0.72765159606933605</v>
      </c>
      <c r="E298" s="6">
        <v>-0.79072213172912609</v>
      </c>
      <c r="F298" s="6">
        <v>3.7810318171978004E-2</v>
      </c>
      <c r="G298" s="6">
        <v>-0.88123768568038907</v>
      </c>
      <c r="H298" s="6">
        <v>0.397756308317184</v>
      </c>
      <c r="I298" s="6">
        <v>3.1164666637778001E-2</v>
      </c>
      <c r="J298" s="6">
        <v>1.3361357450485229</v>
      </c>
      <c r="K298" s="6">
        <v>-0.8106942772865301</v>
      </c>
      <c r="L298" s="6">
        <v>1.339345455169678</v>
      </c>
      <c r="M298" s="6">
        <v>-0.73884779214859009</v>
      </c>
      <c r="N298" s="6">
        <v>0.42781819215704203</v>
      </c>
      <c r="O298" s="6"/>
      <c r="P298" s="6">
        <v>0.93374476558083608</v>
      </c>
      <c r="Q298" s="6"/>
      <c r="R298" s="6">
        <v>8.9104555027639165</v>
      </c>
      <c r="S298" s="6"/>
      <c r="T298" s="6">
        <v>10.987655639648438</v>
      </c>
      <c r="U298" s="6" t="str">
        <f>_xll.BDP($A298,"TRAILING_12M_R&amp;D_%_SALES",$A$1,$A$2)</f>
        <v>#N/A N/A</v>
      </c>
      <c r="V298" s="6">
        <v>60</v>
      </c>
      <c r="W298" s="6">
        <v>602010</v>
      </c>
      <c r="X298" s="6">
        <v>60201010</v>
      </c>
      <c r="Y298" s="7" t="s">
        <v>307</v>
      </c>
      <c r="Z298" s="7" t="s">
        <v>615</v>
      </c>
      <c r="AA298" s="7" t="s">
        <v>1044</v>
      </c>
      <c r="AB298" s="6">
        <v>63.947288513183594</v>
      </c>
      <c r="AC298" s="6">
        <v>0.31321103277762602</v>
      </c>
      <c r="AD298" s="6"/>
      <c r="AE298" s="6">
        <v>70716</v>
      </c>
      <c r="AF298" s="6">
        <v>60539</v>
      </c>
    </row>
    <row r="299" spans="1:32" s="4" customFormat="1" ht="12.75" x14ac:dyDescent="0.2">
      <c r="A299" s="7" t="s">
        <v>1045</v>
      </c>
      <c r="B299" s="7" t="s">
        <v>1046</v>
      </c>
      <c r="C299" s="7" t="s">
        <v>1047</v>
      </c>
      <c r="D299" s="6">
        <v>-0.68462973833084106</v>
      </c>
      <c r="E299" s="6">
        <v>-0.80252635478973411</v>
      </c>
      <c r="F299" s="6">
        <v>0.19419538974762002</v>
      </c>
      <c r="G299" s="6">
        <v>-0.86135447025299106</v>
      </c>
      <c r="H299" s="6">
        <v>0.35817959904670704</v>
      </c>
      <c r="I299" s="6">
        <v>0.18675391376018502</v>
      </c>
      <c r="J299" s="6">
        <v>1.1862301826477051</v>
      </c>
      <c r="K299" s="6">
        <v>-0.82416480779647805</v>
      </c>
      <c r="L299" s="6">
        <v>1.243586659431458</v>
      </c>
      <c r="M299" s="6">
        <v>-0.73808580636978105</v>
      </c>
      <c r="N299" s="6">
        <v>0.42781819215704203</v>
      </c>
      <c r="O299" s="6"/>
      <c r="P299" s="6">
        <v>0.93374476558083608</v>
      </c>
      <c r="Q299" s="6"/>
      <c r="R299" s="6">
        <v>8.9104555027639165</v>
      </c>
      <c r="S299" s="6"/>
      <c r="T299" s="6">
        <v>10.987655639648438</v>
      </c>
      <c r="U299" s="6" t="str">
        <f>_xll.BDP($A299,"TRAILING_12M_R&amp;D_%_SALES",$A$1,$A$2)</f>
        <v>#N/A N/A</v>
      </c>
      <c r="V299" s="6">
        <v>60</v>
      </c>
      <c r="W299" s="6">
        <v>602010</v>
      </c>
      <c r="X299" s="6">
        <v>60201010</v>
      </c>
      <c r="Y299" s="7" t="s">
        <v>307</v>
      </c>
      <c r="Z299" s="7" t="s">
        <v>615</v>
      </c>
      <c r="AA299" s="7" t="s">
        <v>1044</v>
      </c>
      <c r="AB299" s="6">
        <v>63.947288513183594</v>
      </c>
      <c r="AC299" s="6">
        <v>0.66671656885307207</v>
      </c>
      <c r="AD299" s="6">
        <v>-16.572515807505241</v>
      </c>
      <c r="AE299" s="6">
        <v>70716</v>
      </c>
      <c r="AF299" s="6">
        <v>60539</v>
      </c>
    </row>
    <row r="300" spans="1:32" s="4" customFormat="1" ht="12.75" x14ac:dyDescent="0.2">
      <c r="A300" s="7" t="s">
        <v>1048</v>
      </c>
      <c r="B300" s="7" t="s">
        <v>1049</v>
      </c>
      <c r="C300" s="7" t="s">
        <v>1050</v>
      </c>
      <c r="D300" s="6">
        <v>0.37182557582855202</v>
      </c>
      <c r="E300" s="6">
        <v>-0.17156401276588401</v>
      </c>
      <c r="F300" s="6">
        <v>-0.11221592873334901</v>
      </c>
      <c r="G300" s="6">
        <v>-0.47904768586158802</v>
      </c>
      <c r="H300" s="6">
        <v>-0.17134122550487502</v>
      </c>
      <c r="I300" s="6">
        <v>0.71274185180664107</v>
      </c>
      <c r="J300" s="6">
        <v>3.000007152557373</v>
      </c>
      <c r="K300" s="6">
        <v>-0.81662422418594405</v>
      </c>
      <c r="L300" s="6">
        <v>2.3429524898529053</v>
      </c>
      <c r="M300" s="6">
        <v>0.27526178956031805</v>
      </c>
      <c r="N300" s="6">
        <v>0.36667140467247</v>
      </c>
      <c r="O300" s="6">
        <v>0.41535986836540001</v>
      </c>
      <c r="P300" s="6">
        <v>0.82723081976682611</v>
      </c>
      <c r="Q300" s="6">
        <v>0.74360619696507402</v>
      </c>
      <c r="R300" s="6">
        <v>2.767916746615537</v>
      </c>
      <c r="S300" s="6">
        <v>4.7396639479081033</v>
      </c>
      <c r="T300" s="6">
        <v>35.020961761474609</v>
      </c>
      <c r="U300" s="6" t="str">
        <f>_xll.BDP($A300,"TRAILING_12M_R&amp;D_%_SALES",$A$1,$A$2)</f>
        <v>#N/A N/A</v>
      </c>
      <c r="V300" s="6">
        <v>10</v>
      </c>
      <c r="W300" s="6">
        <v>101020</v>
      </c>
      <c r="X300" s="6">
        <v>10102010</v>
      </c>
      <c r="Y300" s="7" t="s">
        <v>505</v>
      </c>
      <c r="Z300" s="7" t="s">
        <v>556</v>
      </c>
      <c r="AA300" s="7" t="s">
        <v>557</v>
      </c>
      <c r="AB300" s="6">
        <v>76.9942626953125</v>
      </c>
      <c r="AC300" s="6">
        <v>0.78597982074002803</v>
      </c>
      <c r="AD300" s="6">
        <v>11.104140958374797</v>
      </c>
      <c r="AE300" s="6">
        <v>31423</v>
      </c>
      <c r="AF300" s="6">
        <v>33536</v>
      </c>
    </row>
    <row r="301" spans="1:32" s="4" customFormat="1" ht="12.75" x14ac:dyDescent="0.2">
      <c r="A301" s="7" t="s">
        <v>1051</v>
      </c>
      <c r="B301" s="7" t="s">
        <v>1052</v>
      </c>
      <c r="C301" s="7" t="s">
        <v>1053</v>
      </c>
      <c r="D301" s="6">
        <v>0.28358086943626404</v>
      </c>
      <c r="E301" s="6">
        <v>-9.3388706445694011E-2</v>
      </c>
      <c r="F301" s="6">
        <v>0.80710279941558805</v>
      </c>
      <c r="G301" s="6">
        <v>-0.92518669366836503</v>
      </c>
      <c r="H301" s="6">
        <v>4.0345992892981006E-2</v>
      </c>
      <c r="I301" s="6">
        <v>0.45661398768425004</v>
      </c>
      <c r="J301" s="6">
        <v>-0.16198162734508501</v>
      </c>
      <c r="K301" s="6">
        <v>-0.69529664516449008</v>
      </c>
      <c r="L301" s="6">
        <v>-0.16538052260875702</v>
      </c>
      <c r="M301" s="6">
        <v>-0.295947074890137</v>
      </c>
      <c r="N301" s="6">
        <v>1.5842717435804541</v>
      </c>
      <c r="O301" s="6">
        <v>1.3113834225612431</v>
      </c>
      <c r="P301" s="6">
        <v>13.74204669818409</v>
      </c>
      <c r="Q301" s="6">
        <v>5.733241616942121</v>
      </c>
      <c r="R301" s="6">
        <v>21.061980877289407</v>
      </c>
      <c r="S301" s="6">
        <v>18.202247247317924</v>
      </c>
      <c r="T301" s="6">
        <v>54.736286163330078</v>
      </c>
      <c r="U301" s="6">
        <f>_xll.BDP($A301,"TRAILING_12M_R&amp;D_%_SALES",$A$1,$A$2)</f>
        <v>4.6944966055178394</v>
      </c>
      <c r="V301" s="6">
        <v>20</v>
      </c>
      <c r="W301" s="6">
        <v>201010</v>
      </c>
      <c r="X301" s="6">
        <v>20101010</v>
      </c>
      <c r="Y301" s="7" t="s">
        <v>43</v>
      </c>
      <c r="Z301" s="7" t="s">
        <v>393</v>
      </c>
      <c r="AA301" s="7" t="s">
        <v>393</v>
      </c>
      <c r="AB301" s="6">
        <v>60.0543212890625</v>
      </c>
      <c r="AC301" s="6">
        <v>0.81599153208046504</v>
      </c>
      <c r="AD301" s="6">
        <v>-4.8861328471977554</v>
      </c>
      <c r="AE301" s="6">
        <v>126495</v>
      </c>
      <c r="AF301" s="6">
        <v>133782</v>
      </c>
    </row>
    <row r="302" spans="1:32" s="4" customFormat="1" ht="12.75" x14ac:dyDescent="0.2">
      <c r="A302" s="7" t="s">
        <v>1054</v>
      </c>
      <c r="B302" s="7" t="s">
        <v>1055</v>
      </c>
      <c r="C302" s="7" t="s">
        <v>1056</v>
      </c>
      <c r="D302" s="6">
        <v>0.28358086943626404</v>
      </c>
      <c r="E302" s="6">
        <v>-9.3388706445694011E-2</v>
      </c>
      <c r="F302" s="6">
        <v>0.80710279941558805</v>
      </c>
      <c r="G302" s="6">
        <v>-0.92518669366836503</v>
      </c>
      <c r="H302" s="6">
        <v>4.0345992892981006E-2</v>
      </c>
      <c r="I302" s="6">
        <v>0.45661398768425004</v>
      </c>
      <c r="J302" s="6">
        <v>-0.16198162734508501</v>
      </c>
      <c r="K302" s="6">
        <v>-0.69529664516449008</v>
      </c>
      <c r="L302" s="6">
        <v>-0.16538052260875702</v>
      </c>
      <c r="M302" s="6">
        <v>-0.295947074890137</v>
      </c>
      <c r="N302" s="6">
        <v>1.5842717435804541</v>
      </c>
      <c r="O302" s="6">
        <v>1.295980923452372</v>
      </c>
      <c r="P302" s="6">
        <v>13.74204669818409</v>
      </c>
      <c r="Q302" s="6">
        <v>5.6658923307480027</v>
      </c>
      <c r="R302" s="6">
        <v>21.061980877289407</v>
      </c>
      <c r="S302" s="6">
        <v>17.988430254651547</v>
      </c>
      <c r="T302" s="6">
        <v>54.736286163330078</v>
      </c>
      <c r="U302" s="6">
        <f>_xll.BDP($A302,"TRAILING_12M_R&amp;D_%_SALES",$A$1,$A$2)</f>
        <v>4.6944966055178394</v>
      </c>
      <c r="V302" s="6">
        <v>20</v>
      </c>
      <c r="W302" s="6">
        <v>201010</v>
      </c>
      <c r="X302" s="6">
        <v>20101010</v>
      </c>
      <c r="Y302" s="7" t="s">
        <v>43</v>
      </c>
      <c r="Z302" s="7" t="s">
        <v>393</v>
      </c>
      <c r="AA302" s="7" t="s">
        <v>393</v>
      </c>
      <c r="AB302" s="6">
        <v>60.0543212890625</v>
      </c>
      <c r="AC302" s="6">
        <v>0.99722412568679208</v>
      </c>
      <c r="AD302" s="6">
        <v>-5.0772127545256946</v>
      </c>
      <c r="AE302" s="6">
        <v>126495</v>
      </c>
      <c r="AF302" s="6">
        <v>133782</v>
      </c>
    </row>
    <row r="303" spans="1:32" s="4" customFormat="1" ht="12.75" x14ac:dyDescent="0.2">
      <c r="A303" s="7" t="s">
        <v>1057</v>
      </c>
      <c r="B303" s="7" t="s">
        <v>1058</v>
      </c>
      <c r="C303" s="7" t="s">
        <v>1059</v>
      </c>
      <c r="D303" s="6">
        <v>-0.36891141533851601</v>
      </c>
      <c r="E303" s="6">
        <v>-0.77456563711166404</v>
      </c>
      <c r="F303" s="6">
        <v>2.3095448017120361</v>
      </c>
      <c r="G303" s="6">
        <v>-0.94765478372573908</v>
      </c>
      <c r="H303" s="6">
        <v>1.0228947401046751</v>
      </c>
      <c r="I303" s="6">
        <v>-0.27335453033447304</v>
      </c>
      <c r="J303" s="6">
        <v>1.0071655511856079</v>
      </c>
      <c r="K303" s="6">
        <v>-0.56101590394973799</v>
      </c>
      <c r="L303" s="6">
        <v>1.7742174863815312</v>
      </c>
      <c r="M303" s="6">
        <v>-0.8578104376792911</v>
      </c>
      <c r="N303" s="6">
        <v>1.0431611256159941</v>
      </c>
      <c r="O303" s="6">
        <v>1.387715709397688</v>
      </c>
      <c r="P303" s="6">
        <v>0.73694844081748101</v>
      </c>
      <c r="Q303" s="6">
        <v>0.67461153937802709</v>
      </c>
      <c r="R303" s="6">
        <v>6.4102756857321435</v>
      </c>
      <c r="S303" s="6">
        <v>6.285564239168016</v>
      </c>
      <c r="T303" s="6">
        <v>12.326125144958496</v>
      </c>
      <c r="U303" s="6" t="str">
        <f>_xll.BDP($A303,"TRAILING_12M_R&amp;D_%_SALES",$A$1,$A$2)</f>
        <v>#N/A N/A</v>
      </c>
      <c r="V303" s="6">
        <v>40</v>
      </c>
      <c r="W303" s="6">
        <v>401010</v>
      </c>
      <c r="X303" s="6">
        <v>40101010</v>
      </c>
      <c r="Y303" s="7" t="s">
        <v>53</v>
      </c>
      <c r="Z303" s="7" t="s">
        <v>76</v>
      </c>
      <c r="AA303" s="7" t="s">
        <v>77</v>
      </c>
      <c r="AB303" s="6">
        <v>51.292625427246094</v>
      </c>
      <c r="AC303" s="6">
        <v>1.0037964801196859</v>
      </c>
      <c r="AD303" s="6">
        <v>-28.214152982903506</v>
      </c>
      <c r="AE303" s="6">
        <v>44596</v>
      </c>
      <c r="AF303" s="6">
        <v>47034</v>
      </c>
    </row>
    <row r="304" spans="1:32" s="4" customFormat="1" ht="12.75" x14ac:dyDescent="0.2">
      <c r="A304" s="7" t="s">
        <v>1060</v>
      </c>
      <c r="B304" s="7" t="s">
        <v>1061</v>
      </c>
      <c r="C304" s="7" t="s">
        <v>1062</v>
      </c>
      <c r="D304" s="6">
        <v>-0.36891141533851601</v>
      </c>
      <c r="E304" s="6">
        <v>-0.77456563711166404</v>
      </c>
      <c r="F304" s="6">
        <v>2.3095448017120361</v>
      </c>
      <c r="G304" s="6">
        <v>-0.94765478372573908</v>
      </c>
      <c r="H304" s="6">
        <v>1.0228947401046751</v>
      </c>
      <c r="I304" s="6">
        <v>-0.27335453033447304</v>
      </c>
      <c r="J304" s="6">
        <v>1.0071655511856079</v>
      </c>
      <c r="K304" s="6">
        <v>-0.56101590394973799</v>
      </c>
      <c r="L304" s="6">
        <v>1.7742174863815312</v>
      </c>
      <c r="M304" s="6">
        <v>-0.8578104376792911</v>
      </c>
      <c r="N304" s="6">
        <v>1.0431611256159941</v>
      </c>
      <c r="O304" s="6">
        <v>1.379447653437454</v>
      </c>
      <c r="P304" s="6">
        <v>0.73694844081748101</v>
      </c>
      <c r="Q304" s="6">
        <v>0.67627467731056701</v>
      </c>
      <c r="R304" s="6">
        <v>6.4102756857321435</v>
      </c>
      <c r="S304" s="6">
        <v>6.3010469618201874</v>
      </c>
      <c r="T304" s="6">
        <v>12.326125144958496</v>
      </c>
      <c r="U304" s="6" t="str">
        <f>_xll.BDP($A304,"TRAILING_12M_R&amp;D_%_SALES",$A$1,$A$2)</f>
        <v>#N/A N/A</v>
      </c>
      <c r="V304" s="6">
        <v>40</v>
      </c>
      <c r="W304" s="6">
        <v>401010</v>
      </c>
      <c r="X304" s="6">
        <v>40101010</v>
      </c>
      <c r="Y304" s="7" t="s">
        <v>53</v>
      </c>
      <c r="Z304" s="7" t="s">
        <v>76</v>
      </c>
      <c r="AA304" s="7" t="s">
        <v>77</v>
      </c>
      <c r="AB304" s="6">
        <v>51.292625427246094</v>
      </c>
      <c r="AC304" s="6">
        <v>0.79868661367886806</v>
      </c>
      <c r="AD304" s="6">
        <v>-26.785075052662542</v>
      </c>
      <c r="AE304" s="6">
        <v>44596</v>
      </c>
      <c r="AF304" s="6">
        <v>47034</v>
      </c>
    </row>
    <row r="305" spans="1:32" s="4" customFormat="1" ht="12.75" x14ac:dyDescent="0.2">
      <c r="A305" s="7" t="s">
        <v>1063</v>
      </c>
      <c r="B305" s="7" t="s">
        <v>1064</v>
      </c>
      <c r="C305" s="7" t="s">
        <v>1065</v>
      </c>
      <c r="D305" s="6">
        <v>-0.91854000091552712</v>
      </c>
      <c r="E305" s="6">
        <v>-0.87311112880706809</v>
      </c>
      <c r="F305" s="6">
        <v>0.7396158576011661</v>
      </c>
      <c r="G305" s="6">
        <v>-0.26869150996208202</v>
      </c>
      <c r="H305" s="6">
        <v>-7.2332337498665009E-2</v>
      </c>
      <c r="I305" s="6">
        <v>0.39645943045616105</v>
      </c>
      <c r="J305" s="6">
        <v>0.54615324735641502</v>
      </c>
      <c r="K305" s="6">
        <v>-0.87339311838150002</v>
      </c>
      <c r="L305" s="6">
        <v>0.94806879758834806</v>
      </c>
      <c r="M305" s="6">
        <v>-0.41446036100387601</v>
      </c>
      <c r="N305" s="6">
        <v>1.8088355428856031</v>
      </c>
      <c r="O305" s="6">
        <v>2.7493068214744691</v>
      </c>
      <c r="P305" s="6">
        <v>0.86934536036775911</v>
      </c>
      <c r="Q305" s="6">
        <v>0.90797610645484006</v>
      </c>
      <c r="R305" s="6">
        <v>17.352578131223236</v>
      </c>
      <c r="S305" s="6">
        <v>11.644523473938841</v>
      </c>
      <c r="T305" s="6">
        <v>5.003324031829834</v>
      </c>
      <c r="U305" s="6" t="str">
        <f>_xll.BDP($A305,"TRAILING_12M_R&amp;D_%_SALES",$A$1,$A$2)</f>
        <v>#N/A N/A</v>
      </c>
      <c r="V305" s="6">
        <v>55</v>
      </c>
      <c r="W305" s="6">
        <v>551010</v>
      </c>
      <c r="X305" s="6">
        <v>55101010</v>
      </c>
      <c r="Y305" s="7" t="s">
        <v>181</v>
      </c>
      <c r="Z305" s="7" t="s">
        <v>186</v>
      </c>
      <c r="AA305" s="7" t="s">
        <v>186</v>
      </c>
      <c r="AB305" s="6">
        <v>57.137107849121094</v>
      </c>
      <c r="AC305" s="6">
        <v>0.64582857318246201</v>
      </c>
      <c r="AD305" s="6">
        <v>34.666711041601175</v>
      </c>
      <c r="AE305" s="6">
        <v>12126</v>
      </c>
      <c r="AF305" s="6">
        <v>23190</v>
      </c>
    </row>
    <row r="306" spans="1:32" s="4" customFormat="1" ht="12.75" x14ac:dyDescent="0.2">
      <c r="A306" s="7" t="s">
        <v>1066</v>
      </c>
      <c r="B306" s="7" t="s">
        <v>1067</v>
      </c>
      <c r="C306" s="7" t="s">
        <v>1068</v>
      </c>
      <c r="D306" s="6">
        <v>-0.91854000091552712</v>
      </c>
      <c r="E306" s="6">
        <v>-0.87311112880706809</v>
      </c>
      <c r="F306" s="6">
        <v>0.7396158576011661</v>
      </c>
      <c r="G306" s="6">
        <v>-0.26869150996208202</v>
      </c>
      <c r="H306" s="6">
        <v>-7.2332337498665009E-2</v>
      </c>
      <c r="I306" s="6">
        <v>0.39645943045616105</v>
      </c>
      <c r="J306" s="6">
        <v>0.54615324735641502</v>
      </c>
      <c r="K306" s="6">
        <v>-0.87339311838150002</v>
      </c>
      <c r="L306" s="6">
        <v>0.94806879758834806</v>
      </c>
      <c r="M306" s="6">
        <v>-0.41446036100387601</v>
      </c>
      <c r="N306" s="6">
        <v>1.8088355428856031</v>
      </c>
      <c r="O306" s="6">
        <v>2.7493068214744691</v>
      </c>
      <c r="P306" s="6">
        <v>0.86934536036775911</v>
      </c>
      <c r="Q306" s="6">
        <v>0.93853098298392312</v>
      </c>
      <c r="R306" s="6">
        <v>17.352578131223236</v>
      </c>
      <c r="S306" s="6">
        <v>12.03638681841406</v>
      </c>
      <c r="T306" s="6">
        <v>5.003324031829834</v>
      </c>
      <c r="U306" s="6" t="str">
        <f>_xll.BDP($A306,"TRAILING_12M_R&amp;D_%_SALES",$A$1,$A$2)</f>
        <v>#N/A N/A</v>
      </c>
      <c r="V306" s="6">
        <v>55</v>
      </c>
      <c r="W306" s="6">
        <v>551010</v>
      </c>
      <c r="X306" s="6">
        <v>55101010</v>
      </c>
      <c r="Y306" s="7" t="s">
        <v>181</v>
      </c>
      <c r="Z306" s="7" t="s">
        <v>186</v>
      </c>
      <c r="AA306" s="7" t="s">
        <v>186</v>
      </c>
      <c r="AB306" s="6">
        <v>57.137107849121094</v>
      </c>
      <c r="AC306" s="6">
        <v>0.669081822322105</v>
      </c>
      <c r="AD306" s="6">
        <v>47.895924947787719</v>
      </c>
      <c r="AE306" s="6">
        <v>12126</v>
      </c>
      <c r="AF306" s="6">
        <v>23190</v>
      </c>
    </row>
    <row r="307" spans="1:32" s="4" customFormat="1" ht="12.75" x14ac:dyDescent="0.2">
      <c r="A307" s="7" t="s">
        <v>1069</v>
      </c>
      <c r="B307" s="7" t="s">
        <v>1070</v>
      </c>
      <c r="C307" s="7" t="s">
        <v>1071</v>
      </c>
      <c r="D307" s="6">
        <v>-0.76280915737152111</v>
      </c>
      <c r="E307" s="6">
        <v>-0.55366718769073509</v>
      </c>
      <c r="F307" s="6">
        <v>-0.53208357095718406</v>
      </c>
      <c r="G307" s="6">
        <v>-0.45275071263313305</v>
      </c>
      <c r="H307" s="6">
        <v>0.4132439494133</v>
      </c>
      <c r="I307" s="6">
        <v>-0.86959284543991111</v>
      </c>
      <c r="J307" s="6">
        <v>-0.34852394461631803</v>
      </c>
      <c r="K307" s="6">
        <v>-0.99746280908584606</v>
      </c>
      <c r="L307" s="6">
        <v>-0.10211231559515001</v>
      </c>
      <c r="M307" s="6">
        <v>-0.42921248078346302</v>
      </c>
      <c r="N307" s="6">
        <v>2.9958003642442681</v>
      </c>
      <c r="O307" s="6">
        <v>2.7764227644819601</v>
      </c>
      <c r="P307" s="6">
        <v>5.8697205836973669</v>
      </c>
      <c r="Q307" s="6">
        <v>5.5221359683231714</v>
      </c>
      <c r="R307" s="6">
        <v>33.496843376879795</v>
      </c>
      <c r="S307" s="6">
        <v>29.118238729338934</v>
      </c>
      <c r="T307" s="6">
        <v>16.123062133789063</v>
      </c>
      <c r="U307" s="6" t="str">
        <f>_xll.BDP($A307,"TRAILING_12M_R&amp;D_%_SALES",$A$1,$A$2)</f>
        <v>#N/A N/A</v>
      </c>
      <c r="V307" s="6">
        <v>15</v>
      </c>
      <c r="W307" s="6">
        <v>151010</v>
      </c>
      <c r="X307" s="6">
        <v>15101050</v>
      </c>
      <c r="Y307" s="7" t="s">
        <v>38</v>
      </c>
      <c r="Z307" s="7" t="s">
        <v>48</v>
      </c>
      <c r="AA307" s="7" t="s">
        <v>928</v>
      </c>
      <c r="AB307" s="6">
        <v>76.340408325195313</v>
      </c>
      <c r="AC307" s="6">
        <v>1.076659300482359</v>
      </c>
      <c r="AD307" s="6">
        <v>-36.954981004715833</v>
      </c>
      <c r="AE307" s="6">
        <v>47000</v>
      </c>
      <c r="AF307" s="6">
        <v>47565</v>
      </c>
    </row>
    <row r="308" spans="1:32" s="4" customFormat="1" ht="12.75" x14ac:dyDescent="0.2">
      <c r="A308" s="7" t="s">
        <v>1072</v>
      </c>
      <c r="B308" s="7" t="s">
        <v>1073</v>
      </c>
      <c r="C308" s="7" t="s">
        <v>1074</v>
      </c>
      <c r="D308" s="6">
        <v>-0.49176222085952803</v>
      </c>
      <c r="E308" s="6">
        <v>-0.7913100123405461</v>
      </c>
      <c r="F308" s="6">
        <v>0.19540835916996002</v>
      </c>
      <c r="G308" s="6">
        <v>-0.23822672665119202</v>
      </c>
      <c r="H308" s="6">
        <v>0.85855001211166404</v>
      </c>
      <c r="I308" s="6">
        <v>0.79219835996627808</v>
      </c>
      <c r="J308" s="6">
        <v>0.20894692838192003</v>
      </c>
      <c r="K308" s="6">
        <v>-0.79923474788665805</v>
      </c>
      <c r="L308" s="6">
        <v>0.7799962162971501</v>
      </c>
      <c r="M308" s="6">
        <v>-0.95817637443542503</v>
      </c>
      <c r="N308" s="6">
        <v>2.2424622281476849</v>
      </c>
      <c r="O308" s="6">
        <v>2.3567297237759299</v>
      </c>
      <c r="P308" s="6">
        <v>1.630762016951347</v>
      </c>
      <c r="Q308" s="6">
        <v>1.556486980087989</v>
      </c>
      <c r="R308" s="6">
        <v>20.101776231192868</v>
      </c>
      <c r="S308" s="6">
        <v>19.813941828985136</v>
      </c>
      <c r="T308" s="6">
        <v>8.306976318359375</v>
      </c>
      <c r="U308" s="6" t="str">
        <f>_xll.BDP($A308,"TRAILING_12M_R&amp;D_%_SALES",$A$1,$A$2)</f>
        <v>#N/A N/A</v>
      </c>
      <c r="V308" s="6">
        <v>55</v>
      </c>
      <c r="W308" s="6">
        <v>551030</v>
      </c>
      <c r="X308" s="6">
        <v>55103010</v>
      </c>
      <c r="Y308" s="7" t="s">
        <v>181</v>
      </c>
      <c r="Z308" s="7" t="s">
        <v>182</v>
      </c>
      <c r="AA308" s="7" t="s">
        <v>182</v>
      </c>
      <c r="AB308" s="6">
        <v>54.642391204833984</v>
      </c>
      <c r="AC308" s="6">
        <v>0.60241278411496602</v>
      </c>
      <c r="AD308" s="6">
        <v>15.824429334515887</v>
      </c>
      <c r="AE308" s="6">
        <v>13871</v>
      </c>
      <c r="AF308" s="6">
        <v>14960</v>
      </c>
    </row>
    <row r="309" spans="1:32" s="4" customFormat="1" ht="12.75" x14ac:dyDescent="0.2">
      <c r="A309" s="7" t="s">
        <v>1075</v>
      </c>
      <c r="B309" s="7" t="s">
        <v>1076</v>
      </c>
      <c r="C309" s="7" t="s">
        <v>1077</v>
      </c>
      <c r="D309" s="6">
        <v>-0.60328078269958507</v>
      </c>
      <c r="E309" s="6">
        <v>-0.71443200111389205</v>
      </c>
      <c r="F309" s="6">
        <v>0.69776082038879406</v>
      </c>
      <c r="G309" s="6">
        <v>-0.93386918306350708</v>
      </c>
      <c r="H309" s="6">
        <v>1.028849601745605</v>
      </c>
      <c r="I309" s="6">
        <v>0.30434098839759804</v>
      </c>
      <c r="J309" s="6">
        <v>0.33804148435592701</v>
      </c>
      <c r="K309" s="6">
        <v>-0.56451618671417203</v>
      </c>
      <c r="L309" s="6">
        <v>1.1504465341567991</v>
      </c>
      <c r="M309" s="6">
        <v>-0.78119826316833507</v>
      </c>
      <c r="N309" s="6">
        <v>0.88233555957771503</v>
      </c>
      <c r="O309" s="6">
        <v>0.87056912248973906</v>
      </c>
      <c r="P309" s="6">
        <v>2.676202063213069</v>
      </c>
      <c r="Q309" s="6"/>
      <c r="R309" s="6">
        <v>25.668874982748566</v>
      </c>
      <c r="S309" s="6">
        <v>15.206264343185566</v>
      </c>
      <c r="T309" s="6">
        <v>8.2916927337646484</v>
      </c>
      <c r="U309" s="6" t="str">
        <f>_xll.BDP($A309,"TRAILING_12M_R&amp;D_%_SALES",$A$1,$A$2)</f>
        <v>#N/A N/A</v>
      </c>
      <c r="V309" s="6">
        <v>55</v>
      </c>
      <c r="W309" s="6">
        <v>551010</v>
      </c>
      <c r="X309" s="6">
        <v>55101010</v>
      </c>
      <c r="Y309" s="7" t="s">
        <v>181</v>
      </c>
      <c r="Z309" s="7" t="s">
        <v>186</v>
      </c>
      <c r="AA309" s="7" t="s">
        <v>186</v>
      </c>
      <c r="AB309" s="6">
        <v>66.039634704589844</v>
      </c>
      <c r="AC309" s="6">
        <v>0.71271415156590101</v>
      </c>
      <c r="AD309" s="6">
        <v>-5.9589304918251091</v>
      </c>
      <c r="AE309" s="6">
        <v>12236</v>
      </c>
      <c r="AF309" s="6">
        <v>11992</v>
      </c>
    </row>
    <row r="310" spans="1:32" s="4" customFormat="1" ht="12.75" x14ac:dyDescent="0.2">
      <c r="A310" s="7" t="s">
        <v>1078</v>
      </c>
      <c r="B310" s="7" t="s">
        <v>1079</v>
      </c>
      <c r="C310" s="7" t="s">
        <v>1080</v>
      </c>
      <c r="D310" s="6">
        <v>-7.7647462487221E-2</v>
      </c>
      <c r="E310" s="6">
        <v>-3.0001873970031738</v>
      </c>
      <c r="F310" s="6">
        <v>-8.2659974694252E-2</v>
      </c>
      <c r="G310" s="6">
        <v>3.0003211498260498</v>
      </c>
      <c r="H310" s="6">
        <v>0.81491261720657304</v>
      </c>
      <c r="I310" s="6">
        <v>1.677161812782288</v>
      </c>
      <c r="J310" s="6">
        <v>0.21772909164428703</v>
      </c>
      <c r="K310" s="6">
        <v>-1.0496582984924321</v>
      </c>
      <c r="L310" s="6">
        <v>-0.79459333419799805</v>
      </c>
      <c r="M310" s="6">
        <v>1.7185424566268921</v>
      </c>
      <c r="N310" s="6"/>
      <c r="O310" s="6"/>
      <c r="P310" s="6">
        <v>1.1207479000000001E-8</v>
      </c>
      <c r="Q310" s="6"/>
      <c r="R310" s="6"/>
      <c r="S310" s="6"/>
      <c r="T310" s="6">
        <v>-30.49342155456543</v>
      </c>
      <c r="U310" s="6" t="str">
        <f>_xll.BDP($A310,"TRAILING_12M_R&amp;D_%_SALES",$A$1,$A$2)</f>
        <v>#N/A N/A</v>
      </c>
      <c r="V310" s="6">
        <v>60</v>
      </c>
      <c r="W310" s="6">
        <v>602010</v>
      </c>
      <c r="X310" s="6">
        <v>60201010</v>
      </c>
      <c r="Y310" s="7" t="s">
        <v>307</v>
      </c>
      <c r="Z310" s="7" t="s">
        <v>615</v>
      </c>
      <c r="AA310" s="7" t="s">
        <v>1044</v>
      </c>
      <c r="AB310" s="6"/>
      <c r="AC310" s="6">
        <v>0.34943232559913801</v>
      </c>
      <c r="AD310" s="6">
        <v>-50.872295070034426</v>
      </c>
      <c r="AE310" s="6">
        <v>6</v>
      </c>
      <c r="AF310" s="6">
        <v>3</v>
      </c>
    </row>
    <row r="311" spans="1:32" s="4" customFormat="1" ht="12.75" x14ac:dyDescent="0.2">
      <c r="A311" s="7" t="s">
        <v>1081</v>
      </c>
      <c r="B311" s="7" t="s">
        <v>1082</v>
      </c>
      <c r="C311" s="7" t="s">
        <v>1083</v>
      </c>
      <c r="D311" s="6">
        <v>-0.98319149017334007</v>
      </c>
      <c r="E311" s="6">
        <v>-0.32502931356430104</v>
      </c>
      <c r="F311" s="6">
        <v>0.34867537021637002</v>
      </c>
      <c r="G311" s="6">
        <v>-0.83323031663894709</v>
      </c>
      <c r="H311" s="6">
        <v>1.248162984848022</v>
      </c>
      <c r="I311" s="6">
        <v>0.56180995702743508</v>
      </c>
      <c r="J311" s="6">
        <v>1.500211238861084</v>
      </c>
      <c r="K311" s="6">
        <v>-0.81556773185730003</v>
      </c>
      <c r="L311" s="6">
        <v>0.80424255132675204</v>
      </c>
      <c r="M311" s="6">
        <v>-0.79752057790756203</v>
      </c>
      <c r="N311" s="6">
        <v>0.44816915067004204</v>
      </c>
      <c r="O311" s="6">
        <v>0.45162450259822906</v>
      </c>
      <c r="P311" s="6">
        <v>1.524860137324435</v>
      </c>
      <c r="Q311" s="6">
        <v>1.3003050355107331</v>
      </c>
      <c r="R311" s="6">
        <v>10.184875499977414</v>
      </c>
      <c r="S311" s="6">
        <v>9.7450914865296241</v>
      </c>
      <c r="T311" s="6">
        <v>15.82062816619873</v>
      </c>
      <c r="U311" s="6">
        <f>_xll.BDP($A311,"TRAILING_12M_R&amp;D_%_SALES",$A$1,$A$2)</f>
        <v>0</v>
      </c>
      <c r="V311" s="6">
        <v>20</v>
      </c>
      <c r="W311" s="6">
        <v>201030</v>
      </c>
      <c r="X311" s="6">
        <v>20103010</v>
      </c>
      <c r="Y311" s="7" t="s">
        <v>43</v>
      </c>
      <c r="Z311" s="7" t="s">
        <v>143</v>
      </c>
      <c r="AA311" s="7" t="s">
        <v>143</v>
      </c>
      <c r="AB311" s="6">
        <v>56.221706390380859</v>
      </c>
      <c r="AC311" s="6">
        <v>0.34616550691770503</v>
      </c>
      <c r="AD311" s="6"/>
      <c r="AE311" s="6">
        <v>74912</v>
      </c>
      <c r="AF311" s="6">
        <v>62940</v>
      </c>
    </row>
    <row r="312" spans="1:32" s="4" customFormat="1" ht="12.75" x14ac:dyDescent="0.2">
      <c r="A312" s="7" t="s">
        <v>1084</v>
      </c>
      <c r="B312" s="7" t="s">
        <v>1085</v>
      </c>
      <c r="C312" s="7" t="s">
        <v>1086</v>
      </c>
      <c r="D312" s="6">
        <v>-0.98319149017334007</v>
      </c>
      <c r="E312" s="6">
        <v>-0.32502931356430104</v>
      </c>
      <c r="F312" s="6">
        <v>0.34867537021637002</v>
      </c>
      <c r="G312" s="6">
        <v>-0.83323031663894709</v>
      </c>
      <c r="H312" s="6">
        <v>1.248162984848022</v>
      </c>
      <c r="I312" s="6">
        <v>0.56180995702743508</v>
      </c>
      <c r="J312" s="6">
        <v>1.500211238861084</v>
      </c>
      <c r="K312" s="6">
        <v>-0.81556773185730003</v>
      </c>
      <c r="L312" s="6">
        <v>0.80424255132675204</v>
      </c>
      <c r="M312" s="6">
        <v>-0.79752057790756203</v>
      </c>
      <c r="N312" s="6">
        <v>0.44816915067004204</v>
      </c>
      <c r="O312" s="6"/>
      <c r="P312" s="6">
        <v>1.524860137324435</v>
      </c>
      <c r="Q312" s="6"/>
      <c r="R312" s="6">
        <v>10.184875499977414</v>
      </c>
      <c r="S312" s="6"/>
      <c r="T312" s="6">
        <v>15.82062816619873</v>
      </c>
      <c r="U312" s="6">
        <f>_xll.BDP($A312,"TRAILING_12M_R&amp;D_%_SALES",$A$1,$A$2)</f>
        <v>0</v>
      </c>
      <c r="V312" s="6">
        <v>20</v>
      </c>
      <c r="W312" s="6">
        <v>201030</v>
      </c>
      <c r="X312" s="6">
        <v>20103010</v>
      </c>
      <c r="Y312" s="7" t="s">
        <v>43</v>
      </c>
      <c r="Z312" s="7" t="s">
        <v>143</v>
      </c>
      <c r="AA312" s="7" t="s">
        <v>143</v>
      </c>
      <c r="AB312" s="6">
        <v>56.221706390380859</v>
      </c>
      <c r="AC312" s="6">
        <v>0.6218364030786141</v>
      </c>
      <c r="AD312" s="6">
        <v>-1.3158073951491271</v>
      </c>
      <c r="AE312" s="6">
        <v>74912</v>
      </c>
      <c r="AF312" s="6">
        <v>62940</v>
      </c>
    </row>
    <row r="313" spans="1:32" s="4" customFormat="1" ht="12.75" x14ac:dyDescent="0.2">
      <c r="A313" s="7" t="s">
        <v>1087</v>
      </c>
      <c r="B313" s="7" t="s">
        <v>1088</v>
      </c>
      <c r="C313" s="7" t="s">
        <v>1089</v>
      </c>
      <c r="D313" s="6">
        <v>-0.99614006280899003</v>
      </c>
      <c r="E313" s="6">
        <v>-0.9247744679450991</v>
      </c>
      <c r="F313" s="6">
        <v>-0.20538911223411602</v>
      </c>
      <c r="G313" s="6">
        <v>4.0104504674673004E-2</v>
      </c>
      <c r="H313" s="6">
        <v>-0.50934648513793901</v>
      </c>
      <c r="I313" s="6">
        <v>0.72690200805664107</v>
      </c>
      <c r="J313" s="6">
        <v>1.106795191764832</v>
      </c>
      <c r="K313" s="6">
        <v>-2.8895079158250004E-3</v>
      </c>
      <c r="L313" s="6">
        <v>0.14144103229045901</v>
      </c>
      <c r="M313" s="6">
        <v>-0.47522783279418906</v>
      </c>
      <c r="N313" s="6">
        <v>1.082552270342698</v>
      </c>
      <c r="O313" s="6">
        <v>0.93124482287910704</v>
      </c>
      <c r="P313" s="6">
        <v>1.693379046275969</v>
      </c>
      <c r="Q313" s="6">
        <v>1.3415864238311881</v>
      </c>
      <c r="R313" s="6">
        <v>13.76539695300662</v>
      </c>
      <c r="S313" s="6">
        <v>7.9268222671874646</v>
      </c>
      <c r="T313" s="6">
        <v>6.0402998924255371</v>
      </c>
      <c r="U313" s="6" t="str">
        <f>_xll.BDP($A313,"TRAILING_12M_R&amp;D_%_SALES",$A$1,$A$2)</f>
        <v>#N/A N/A</v>
      </c>
      <c r="V313" s="6">
        <v>40</v>
      </c>
      <c r="W313" s="6">
        <v>403010</v>
      </c>
      <c r="X313" s="6">
        <v>40301050</v>
      </c>
      <c r="Y313" s="7" t="s">
        <v>53</v>
      </c>
      <c r="Z313" s="7" t="s">
        <v>54</v>
      </c>
      <c r="AA313" s="7" t="s">
        <v>1090</v>
      </c>
      <c r="AB313" s="6">
        <v>47.580726623535156</v>
      </c>
      <c r="AC313" s="6">
        <v>0.74091772751345208</v>
      </c>
      <c r="AD313" s="6">
        <v>23.571774232381838</v>
      </c>
      <c r="AE313" s="6">
        <v>1947</v>
      </c>
      <c r="AF313" s="6">
        <v>1121</v>
      </c>
    </row>
    <row r="314" spans="1:32" s="4" customFormat="1" ht="12.75" x14ac:dyDescent="0.2">
      <c r="A314" s="7" t="s">
        <v>1091</v>
      </c>
      <c r="B314" s="7" t="s">
        <v>1092</v>
      </c>
      <c r="C314" s="7" t="s">
        <v>1093</v>
      </c>
      <c r="D314" s="6">
        <v>0.37182557582855202</v>
      </c>
      <c r="E314" s="6">
        <v>-0.17156401276588401</v>
      </c>
      <c r="F314" s="6">
        <v>-0.11221592873334901</v>
      </c>
      <c r="G314" s="6">
        <v>-0.47904768586158802</v>
      </c>
      <c r="H314" s="6">
        <v>-0.17134122550487502</v>
      </c>
      <c r="I314" s="6">
        <v>0.71274185180664107</v>
      </c>
      <c r="J314" s="6">
        <v>3.000007152557373</v>
      </c>
      <c r="K314" s="6">
        <v>-0.81662422418594405</v>
      </c>
      <c r="L314" s="6">
        <v>2.3429524898529053</v>
      </c>
      <c r="M314" s="6">
        <v>0.27526178956031805</v>
      </c>
      <c r="N314" s="6">
        <v>0.36667140467247</v>
      </c>
      <c r="O314" s="6">
        <v>0.43362066202756305</v>
      </c>
      <c r="P314" s="6">
        <v>0.82723081976682611</v>
      </c>
      <c r="Q314" s="6">
        <v>0.77840541610051206</v>
      </c>
      <c r="R314" s="6">
        <v>2.767916746615537</v>
      </c>
      <c r="S314" s="6">
        <v>4.9614703729827943</v>
      </c>
      <c r="T314" s="6">
        <v>35.020961761474609</v>
      </c>
      <c r="U314" s="6" t="str">
        <f>_xll.BDP($A314,"TRAILING_12M_R&amp;D_%_SALES",$A$1,$A$2)</f>
        <v>#N/A N/A</v>
      </c>
      <c r="V314" s="6">
        <v>10</v>
      </c>
      <c r="W314" s="6">
        <v>101020</v>
      </c>
      <c r="X314" s="6">
        <v>10102010</v>
      </c>
      <c r="Y314" s="7" t="s">
        <v>505</v>
      </c>
      <c r="Z314" s="7" t="s">
        <v>556</v>
      </c>
      <c r="AA314" s="7" t="s">
        <v>557</v>
      </c>
      <c r="AB314" s="6">
        <v>76.9942626953125</v>
      </c>
      <c r="AC314" s="6">
        <v>0.44310238497797205</v>
      </c>
      <c r="AD314" s="6">
        <v>15.138515329638524</v>
      </c>
      <c r="AE314" s="6">
        <v>31423</v>
      </c>
      <c r="AF314" s="6">
        <v>33536</v>
      </c>
    </row>
    <row r="315" spans="1:32" s="4" customFormat="1" ht="12.75" x14ac:dyDescent="0.2">
      <c r="A315" s="7" t="s">
        <v>1094</v>
      </c>
      <c r="B315" s="7" t="s">
        <v>1095</v>
      </c>
      <c r="C315" s="7" t="s">
        <v>1096</v>
      </c>
      <c r="D315" s="6">
        <v>-0.53077125549316406</v>
      </c>
      <c r="E315" s="6">
        <v>-0.91843324899673506</v>
      </c>
      <c r="F315" s="6">
        <v>0.193416863679886</v>
      </c>
      <c r="G315" s="6">
        <v>-0.325694739818573</v>
      </c>
      <c r="H315" s="6">
        <v>1.333552241325378</v>
      </c>
      <c r="I315" s="6">
        <v>0.36257430911064104</v>
      </c>
      <c r="J315" s="6">
        <v>0.20646357536315901</v>
      </c>
      <c r="K315" s="6">
        <v>-0.59760051965713501</v>
      </c>
      <c r="L315" s="6">
        <v>1.3836332559585571</v>
      </c>
      <c r="M315" s="6">
        <v>-0.78365433216095004</v>
      </c>
      <c r="N315" s="6">
        <v>1.4663704019971531</v>
      </c>
      <c r="O315" s="6">
        <v>1.493483479136011</v>
      </c>
      <c r="P315" s="6">
        <v>1.8110161892084831</v>
      </c>
      <c r="Q315" s="6">
        <v>1.612304586466039</v>
      </c>
      <c r="R315" s="6">
        <v>13.956697286631593</v>
      </c>
      <c r="S315" s="6">
        <v>13.21853714319561</v>
      </c>
      <c r="T315" s="6">
        <v>5.3291878700256348</v>
      </c>
      <c r="U315" s="6" t="str">
        <f>_xll.BDP($A315,"TRAILING_12M_R&amp;D_%_SALES",$A$1,$A$2)</f>
        <v>#N/A N/A</v>
      </c>
      <c r="V315" s="6">
        <v>55</v>
      </c>
      <c r="W315" s="6">
        <v>551010</v>
      </c>
      <c r="X315" s="6">
        <v>55101010</v>
      </c>
      <c r="Y315" s="7" t="s">
        <v>181</v>
      </c>
      <c r="Z315" s="7" t="s">
        <v>186</v>
      </c>
      <c r="AA315" s="7" t="s">
        <v>186</v>
      </c>
      <c r="AB315" s="6">
        <v>66.250877380371094</v>
      </c>
      <c r="AC315" s="6">
        <v>0.76362180254371703</v>
      </c>
      <c r="AD315" s="6">
        <v>-1.654198501461424</v>
      </c>
      <c r="AE315" s="6">
        <v>12715</v>
      </c>
      <c r="AF315" s="6">
        <v>12390</v>
      </c>
    </row>
    <row r="316" spans="1:32" s="4" customFormat="1" ht="12.75" x14ac:dyDescent="0.2">
      <c r="A316" s="7" t="s">
        <v>1097</v>
      </c>
      <c r="B316" s="7" t="s">
        <v>1098</v>
      </c>
      <c r="C316" s="7" t="s">
        <v>1099</v>
      </c>
      <c r="D316" s="6">
        <v>-0.61785805225372303</v>
      </c>
      <c r="E316" s="6">
        <v>-0.99118113517761208</v>
      </c>
      <c r="F316" s="6">
        <v>0.29456660151481601</v>
      </c>
      <c r="G316" s="6">
        <v>-0.48986846208572404</v>
      </c>
      <c r="H316" s="6">
        <v>1.4127300977706909</v>
      </c>
      <c r="I316" s="6">
        <v>0.47212278842926003</v>
      </c>
      <c r="J316" s="6">
        <v>0.32672697305679305</v>
      </c>
      <c r="K316" s="6">
        <v>-0.8833233118057251</v>
      </c>
      <c r="L316" s="6">
        <v>-0.17510336637496901</v>
      </c>
      <c r="M316" s="6">
        <v>-0.30808117985725403</v>
      </c>
      <c r="N316" s="6">
        <v>1.280044895191637</v>
      </c>
      <c r="O316" s="6">
        <v>1.0741615316012121</v>
      </c>
      <c r="P316" s="6">
        <v>1.179251791470437</v>
      </c>
      <c r="Q316" s="6">
        <v>1.165025547534944</v>
      </c>
      <c r="R316" s="6">
        <v>36.666114440063524</v>
      </c>
      <c r="S316" s="6">
        <v>18.526739603744939</v>
      </c>
      <c r="T316" s="6">
        <v>3.2368350028991699</v>
      </c>
      <c r="U316" s="6" t="str">
        <f>_xll.BDP($A316,"TRAILING_12M_R&amp;D_%_SALES",$A$1,$A$2)</f>
        <v>#N/A N/A</v>
      </c>
      <c r="V316" s="6">
        <v>20</v>
      </c>
      <c r="W316" s="6">
        <v>203040</v>
      </c>
      <c r="X316" s="6">
        <v>20304010</v>
      </c>
      <c r="Y316" s="7" t="s">
        <v>43</v>
      </c>
      <c r="Z316" s="7" t="s">
        <v>728</v>
      </c>
      <c r="AA316" s="7" t="s">
        <v>729</v>
      </c>
      <c r="AB316" s="6">
        <v>48.968917846679688</v>
      </c>
      <c r="AC316" s="6">
        <v>0.34069158508422903</v>
      </c>
      <c r="AD316" s="6">
        <v>-3.138306714119854</v>
      </c>
      <c r="AE316" s="6">
        <v>71240</v>
      </c>
      <c r="AF316" s="6">
        <v>73063</v>
      </c>
    </row>
    <row r="317" spans="1:32" s="4" customFormat="1" ht="12.75" x14ac:dyDescent="0.2">
      <c r="A317" s="7" t="s">
        <v>1100</v>
      </c>
      <c r="B317" s="7" t="s">
        <v>1101</v>
      </c>
      <c r="C317" s="7" t="s">
        <v>1102</v>
      </c>
      <c r="D317" s="6">
        <v>-0.61785805225372303</v>
      </c>
      <c r="E317" s="6">
        <v>-0.99118113517761208</v>
      </c>
      <c r="F317" s="6">
        <v>0.29456660151481601</v>
      </c>
      <c r="G317" s="6">
        <v>-0.48986846208572404</v>
      </c>
      <c r="H317" s="6">
        <v>1.4127300977706909</v>
      </c>
      <c r="I317" s="6">
        <v>0.47212278842926003</v>
      </c>
      <c r="J317" s="6">
        <v>0.32672697305679305</v>
      </c>
      <c r="K317" s="6">
        <v>-0.8833233118057251</v>
      </c>
      <c r="L317" s="6">
        <v>-0.17510336637496901</v>
      </c>
      <c r="M317" s="6">
        <v>-0.30808117985725403</v>
      </c>
      <c r="N317" s="6">
        <v>1.280044895191637</v>
      </c>
      <c r="O317" s="6"/>
      <c r="P317" s="6">
        <v>1.179251791470437</v>
      </c>
      <c r="Q317" s="6"/>
      <c r="R317" s="6">
        <v>36.666114440063524</v>
      </c>
      <c r="S317" s="6"/>
      <c r="T317" s="6">
        <v>3.2368350028991699</v>
      </c>
      <c r="U317" s="6" t="str">
        <f>_xll.BDP($A317,"TRAILING_12M_R&amp;D_%_SALES",$A$1,$A$2)</f>
        <v>#N/A N/A</v>
      </c>
      <c r="V317" s="6">
        <v>20</v>
      </c>
      <c r="W317" s="6">
        <v>203040</v>
      </c>
      <c r="X317" s="6">
        <v>20304010</v>
      </c>
      <c r="Y317" s="7" t="s">
        <v>43</v>
      </c>
      <c r="Z317" s="7" t="s">
        <v>728</v>
      </c>
      <c r="AA317" s="7" t="s">
        <v>729</v>
      </c>
      <c r="AB317" s="6">
        <v>48.968917846679688</v>
      </c>
      <c r="AC317" s="6">
        <v>0.58264725381181603</v>
      </c>
      <c r="AD317" s="6">
        <v>-6.6665974474142136</v>
      </c>
      <c r="AE317" s="6">
        <v>71240</v>
      </c>
      <c r="AF317" s="6">
        <v>73063</v>
      </c>
    </row>
    <row r="318" spans="1:32" s="4" customFormat="1" ht="12.75" x14ac:dyDescent="0.2">
      <c r="A318" s="7" t="s">
        <v>1103</v>
      </c>
      <c r="B318" s="7" t="s">
        <v>1104</v>
      </c>
      <c r="C318" s="7" t="s">
        <v>1105</v>
      </c>
      <c r="D318" s="6">
        <v>-0.48705145716667203</v>
      </c>
      <c r="E318" s="6">
        <v>-8.3009347319603008E-2</v>
      </c>
      <c r="F318" s="6">
        <v>0.31325992941856401</v>
      </c>
      <c r="G318" s="6">
        <v>-1.6420366242528E-2</v>
      </c>
      <c r="H318" s="6">
        <v>8.4660418331623008E-2</v>
      </c>
      <c r="I318" s="6">
        <v>-0.64209121465683006</v>
      </c>
      <c r="J318" s="6">
        <v>-0.52300286293029807</v>
      </c>
      <c r="K318" s="6">
        <v>0.12213977426290501</v>
      </c>
      <c r="L318" s="6">
        <v>-0.29708498716354403</v>
      </c>
      <c r="M318" s="6">
        <v>-0.32615223526954701</v>
      </c>
      <c r="N318" s="6">
        <v>5.157559314257357</v>
      </c>
      <c r="O318" s="6">
        <v>5.0845191198500794</v>
      </c>
      <c r="P318" s="6">
        <v>16.056359717687929</v>
      </c>
      <c r="Q318" s="6">
        <v>14.812248731664472</v>
      </c>
      <c r="R318" s="6">
        <v>36.982923817036912</v>
      </c>
      <c r="S318" s="6">
        <v>39.882260859974885</v>
      </c>
      <c r="T318" s="6">
        <v>37.713397979736328</v>
      </c>
      <c r="U318" s="6" t="str">
        <f>_xll.BDP($A318,"TRAILING_12M_R&amp;D_%_SALES",$A$1,$A$2)</f>
        <v>#N/A N/A</v>
      </c>
      <c r="V318" s="6">
        <v>30</v>
      </c>
      <c r="W318" s="6">
        <v>303020</v>
      </c>
      <c r="X318" s="6">
        <v>30302010</v>
      </c>
      <c r="Y318" s="7" t="s">
        <v>91</v>
      </c>
      <c r="Z318" s="7" t="s">
        <v>1106</v>
      </c>
      <c r="AA318" s="7" t="s">
        <v>1106</v>
      </c>
      <c r="AB318" s="6">
        <v>70.415451049804688</v>
      </c>
      <c r="AC318" s="6">
        <v>1.2123885282874061</v>
      </c>
      <c r="AD318" s="6">
        <v>-31.794401198059418</v>
      </c>
      <c r="AE318" s="6">
        <v>44730</v>
      </c>
      <c r="AF318" s="6">
        <v>46000</v>
      </c>
    </row>
    <row r="319" spans="1:32" s="4" customFormat="1" ht="12.75" x14ac:dyDescent="0.2">
      <c r="A319" s="7" t="s">
        <v>1107</v>
      </c>
      <c r="B319" s="7" t="s">
        <v>1108</v>
      </c>
      <c r="C319" s="7" t="s">
        <v>1109</v>
      </c>
      <c r="D319" s="6">
        <v>-0.60328078269958507</v>
      </c>
      <c r="E319" s="6">
        <v>-0.71443200111389205</v>
      </c>
      <c r="F319" s="6">
        <v>0.69776082038879406</v>
      </c>
      <c r="G319" s="6">
        <v>-0.93386918306350708</v>
      </c>
      <c r="H319" s="6">
        <v>1.028849601745605</v>
      </c>
      <c r="I319" s="6">
        <v>0.30434098839759804</v>
      </c>
      <c r="J319" s="6">
        <v>0.33804148435592701</v>
      </c>
      <c r="K319" s="6">
        <v>-0.56451618671417203</v>
      </c>
      <c r="L319" s="6">
        <v>1.1504465341567991</v>
      </c>
      <c r="M319" s="6">
        <v>-0.78119826316833507</v>
      </c>
      <c r="N319" s="6">
        <v>0.88233555957771503</v>
      </c>
      <c r="O319" s="6">
        <v>0.96334626435970405</v>
      </c>
      <c r="P319" s="6">
        <v>2.676202063213069</v>
      </c>
      <c r="Q319" s="6">
        <v>1.8933917417320001</v>
      </c>
      <c r="R319" s="6">
        <v>25.668874982748566</v>
      </c>
      <c r="S319" s="6">
        <v>17.073686044704171</v>
      </c>
      <c r="T319" s="6">
        <v>8.2916927337646484</v>
      </c>
      <c r="U319" s="6" t="str">
        <f>_xll.BDP($A319,"TRAILING_12M_R&amp;D_%_SALES",$A$1,$A$2)</f>
        <v>#N/A N/A</v>
      </c>
      <c r="V319" s="6">
        <v>55</v>
      </c>
      <c r="W319" s="6">
        <v>551010</v>
      </c>
      <c r="X319" s="6">
        <v>55101010</v>
      </c>
      <c r="Y319" s="7" t="s">
        <v>181</v>
      </c>
      <c r="Z319" s="7" t="s">
        <v>186</v>
      </c>
      <c r="AA319" s="7" t="s">
        <v>186</v>
      </c>
      <c r="AB319" s="6">
        <v>66.039634704589844</v>
      </c>
      <c r="AC319" s="6">
        <v>0.55747663483127707</v>
      </c>
      <c r="AD319" s="6">
        <v>-4.3308496035924016</v>
      </c>
      <c r="AE319" s="6">
        <v>12236</v>
      </c>
      <c r="AF319" s="6">
        <v>11992</v>
      </c>
    </row>
    <row r="320" spans="1:32" s="4" customFormat="1" ht="12.75" x14ac:dyDescent="0.2">
      <c r="A320" s="7" t="s">
        <v>1110</v>
      </c>
      <c r="B320" s="7" t="s">
        <v>1111</v>
      </c>
      <c r="C320" s="7" t="s">
        <v>1112</v>
      </c>
      <c r="D320" s="6">
        <v>0.52786040306091309</v>
      </c>
      <c r="E320" s="6">
        <v>-0.52163636684417702</v>
      </c>
      <c r="F320" s="6">
        <v>0.26054733991622903</v>
      </c>
      <c r="G320" s="6">
        <v>-0.42624166607856806</v>
      </c>
      <c r="H320" s="6">
        <v>-0.23016117513179801</v>
      </c>
      <c r="I320" s="6">
        <v>0.82949596643447909</v>
      </c>
      <c r="J320" s="6">
        <v>0.13789963722229001</v>
      </c>
      <c r="K320" s="6">
        <v>0.35259857773780801</v>
      </c>
      <c r="L320" s="6">
        <v>-0.33282136917114302</v>
      </c>
      <c r="M320" s="6">
        <v>9.3335621058941012E-2</v>
      </c>
      <c r="N320" s="6">
        <v>0.8113748096673461</v>
      </c>
      <c r="O320" s="6">
        <v>0.74541356621995902</v>
      </c>
      <c r="P320" s="6">
        <v>3.4060407223383811</v>
      </c>
      <c r="Q320" s="6">
        <v>2.986791512796259</v>
      </c>
      <c r="R320" s="6">
        <v>18.773059155162777</v>
      </c>
      <c r="S320" s="6">
        <v>15.695965752210824</v>
      </c>
      <c r="T320" s="6">
        <v>17.234552383422852</v>
      </c>
      <c r="U320" s="6">
        <f>_xll.BDP($A320,"TRAILING_12M_R&amp;D_%_SALES",$A$1,$A$2)</f>
        <v>0</v>
      </c>
      <c r="V320" s="6">
        <v>35</v>
      </c>
      <c r="W320" s="6">
        <v>351020</v>
      </c>
      <c r="X320" s="6">
        <v>35102030</v>
      </c>
      <c r="Y320" s="7" t="s">
        <v>86</v>
      </c>
      <c r="Z320" s="7" t="s">
        <v>601</v>
      </c>
      <c r="AA320" s="7" t="s">
        <v>762</v>
      </c>
      <c r="AB320" s="6">
        <v>53.968414306640625</v>
      </c>
      <c r="AC320" s="6">
        <v>0.70332654371879211</v>
      </c>
      <c r="AD320" s="6">
        <v>10.959686759530252</v>
      </c>
      <c r="AE320" s="6">
        <v>98200</v>
      </c>
      <c r="AF320" s="6">
        <v>53000</v>
      </c>
    </row>
    <row r="321" spans="1:32" s="4" customFormat="1" ht="12.75" x14ac:dyDescent="0.2">
      <c r="A321" s="7" t="s">
        <v>1113</v>
      </c>
      <c r="B321" s="7" t="s">
        <v>1114</v>
      </c>
      <c r="C321" s="7" t="s">
        <v>1115</v>
      </c>
      <c r="D321" s="6">
        <v>-0.44809550046920804</v>
      </c>
      <c r="E321" s="6">
        <v>0.19268405437469502</v>
      </c>
      <c r="F321" s="6">
        <v>0.10693321377039001</v>
      </c>
      <c r="G321" s="6">
        <v>-0.30552783608436601</v>
      </c>
      <c r="H321" s="6">
        <v>-6.2991939485073006E-2</v>
      </c>
      <c r="I321" s="6">
        <v>0.43036592006683305</v>
      </c>
      <c r="J321" s="6">
        <v>-9.4720214605331005E-2</v>
      </c>
      <c r="K321" s="6">
        <v>-0.30422168970108004</v>
      </c>
      <c r="L321" s="6">
        <v>0.24193030595779402</v>
      </c>
      <c r="M321" s="6">
        <v>-0.72765821218490601</v>
      </c>
      <c r="N321" s="6">
        <v>2.9059039065958343</v>
      </c>
      <c r="O321" s="6">
        <v>3.5924028681289322</v>
      </c>
      <c r="P321" s="6">
        <v>5.4814633255455494</v>
      </c>
      <c r="Q321" s="6">
        <v>4.260753910410835</v>
      </c>
      <c r="R321" s="6">
        <v>18.082613483925122</v>
      </c>
      <c r="S321" s="6">
        <v>22.647397174996915</v>
      </c>
      <c r="T321" s="6">
        <v>31.915838241577148</v>
      </c>
      <c r="U321" s="6" t="str">
        <f>_xll.BDP($A321,"TRAILING_12M_R&amp;D_%_SALES",$A$1,$A$2)</f>
        <v>#N/A N/A</v>
      </c>
      <c r="V321" s="6">
        <v>20</v>
      </c>
      <c r="W321" s="6">
        <v>201040</v>
      </c>
      <c r="X321" s="6">
        <v>20104010</v>
      </c>
      <c r="Y321" s="7" t="s">
        <v>43</v>
      </c>
      <c r="Z321" s="7" t="s">
        <v>81</v>
      </c>
      <c r="AA321" s="7" t="s">
        <v>82</v>
      </c>
      <c r="AB321" s="6">
        <v>58.314052581787109</v>
      </c>
      <c r="AC321" s="6">
        <v>0.91158338977740405</v>
      </c>
      <c r="AD321" s="6">
        <v>6.0950593590129998</v>
      </c>
      <c r="AE321" s="6">
        <v>85500</v>
      </c>
      <c r="AF321" s="6">
        <v>76500</v>
      </c>
    </row>
    <row r="322" spans="1:32" s="4" customFormat="1" ht="12.75" x14ac:dyDescent="0.2">
      <c r="A322" s="7" t="s">
        <v>1116</v>
      </c>
      <c r="B322" s="7" t="s">
        <v>1117</v>
      </c>
      <c r="C322" s="7" t="s">
        <v>1118</v>
      </c>
      <c r="D322" s="6">
        <v>0.10604453831911101</v>
      </c>
      <c r="E322" s="6">
        <v>-0.54474049806594804</v>
      </c>
      <c r="F322" s="6">
        <v>0.58833873271942105</v>
      </c>
      <c r="G322" s="6">
        <v>-0.77204364538192705</v>
      </c>
      <c r="H322" s="6">
        <v>0.7665573358535771</v>
      </c>
      <c r="I322" s="6">
        <v>-0.11566766351461401</v>
      </c>
      <c r="J322" s="6">
        <v>1.6209040880203252</v>
      </c>
      <c r="K322" s="6">
        <v>0.60816109180450406</v>
      </c>
      <c r="L322" s="6">
        <v>1.782206177711487</v>
      </c>
      <c r="M322" s="6">
        <v>-3.8768656551838004E-2</v>
      </c>
      <c r="N322" s="6">
        <v>0.21970460513935602</v>
      </c>
      <c r="O322" s="6">
        <v>0.25857494303410999</v>
      </c>
      <c r="P322" s="6">
        <v>1.2919388068669619</v>
      </c>
      <c r="Q322" s="6">
        <v>1.688900325396095</v>
      </c>
      <c r="R322" s="6">
        <v>5.1359760135202723</v>
      </c>
      <c r="S322" s="6">
        <v>10.782631992595903</v>
      </c>
      <c r="T322" s="6">
        <v>31.639970779418945</v>
      </c>
      <c r="U322" s="6" t="str">
        <f>_xll.BDP($A322,"TRAILING_12M_R&amp;D_%_SALES",$A$1,$A$2)</f>
        <v>#N/A N/A</v>
      </c>
      <c r="V322" s="6">
        <v>55</v>
      </c>
      <c r="W322" s="6">
        <v>551030</v>
      </c>
      <c r="X322" s="6">
        <v>55103010</v>
      </c>
      <c r="Y322" s="7" t="s">
        <v>181</v>
      </c>
      <c r="Z322" s="7" t="s">
        <v>182</v>
      </c>
      <c r="AA322" s="7" t="s">
        <v>182</v>
      </c>
      <c r="AB322" s="6">
        <v>69.821952819824219</v>
      </c>
      <c r="AC322" s="6">
        <v>0.47245606454888606</v>
      </c>
      <c r="AD322" s="6">
        <v>-23.223935853319389</v>
      </c>
      <c r="AE322" s="6">
        <v>71630</v>
      </c>
      <c r="AF322" s="6">
        <v>43138</v>
      </c>
    </row>
    <row r="323" spans="1:32" s="4" customFormat="1" ht="12.75" x14ac:dyDescent="0.2">
      <c r="A323" s="7" t="s">
        <v>1119</v>
      </c>
      <c r="B323" s="7" t="s">
        <v>1120</v>
      </c>
      <c r="C323" s="7" t="s">
        <v>1121</v>
      </c>
      <c r="D323" s="6">
        <v>0.17802573740482303</v>
      </c>
      <c r="E323" s="6">
        <v>-0.76463449001312311</v>
      </c>
      <c r="F323" s="6">
        <v>-0.73607695102691706</v>
      </c>
      <c r="G323" s="6">
        <v>-0.21556244790554002</v>
      </c>
      <c r="H323" s="6">
        <v>0.97374922037124612</v>
      </c>
      <c r="I323" s="6">
        <v>0.60746318101882901</v>
      </c>
      <c r="J323" s="6">
        <v>0.183683842420578</v>
      </c>
      <c r="K323" s="6">
        <v>-0.84074223041534402</v>
      </c>
      <c r="L323" s="6">
        <v>2.4424011707305908</v>
      </c>
      <c r="M323" s="6">
        <v>-0.9265889525413511</v>
      </c>
      <c r="N323" s="6">
        <v>2.0482231384558571</v>
      </c>
      <c r="O323" s="6">
        <v>1.9706908803945031</v>
      </c>
      <c r="P323" s="6">
        <v>1.8495011108813082</v>
      </c>
      <c r="Q323" s="6">
        <v>1.814935902761095</v>
      </c>
      <c r="R323" s="6">
        <v>17.977277388634654</v>
      </c>
      <c r="S323" s="6">
        <v>17.279722656792401</v>
      </c>
      <c r="T323" s="6">
        <v>9.7833633422851563</v>
      </c>
      <c r="U323" s="6" t="str">
        <f>_xll.BDP($A323,"TRAILING_12M_R&amp;D_%_SALES",$A$1,$A$2)</f>
        <v>#N/A N/A</v>
      </c>
      <c r="V323" s="6">
        <v>10</v>
      </c>
      <c r="W323" s="6">
        <v>101020</v>
      </c>
      <c r="X323" s="6">
        <v>10102040</v>
      </c>
      <c r="Y323" s="7" t="s">
        <v>505</v>
      </c>
      <c r="Z323" s="7" t="s">
        <v>556</v>
      </c>
      <c r="AA323" s="7" t="s">
        <v>1122</v>
      </c>
      <c r="AB323" s="6">
        <v>78.613822937011719</v>
      </c>
      <c r="AC323" s="6">
        <v>0.74453084882571408</v>
      </c>
      <c r="AD323" s="6">
        <v>7.7237303969774684</v>
      </c>
      <c r="AE323" s="6"/>
      <c r="AF323" s="6">
        <v>8652</v>
      </c>
    </row>
    <row r="324" spans="1:32" s="4" customFormat="1" ht="12.75" x14ac:dyDescent="0.2">
      <c r="A324" s="7" t="s">
        <v>1123</v>
      </c>
      <c r="B324" s="7" t="s">
        <v>1124</v>
      </c>
      <c r="C324" s="7" t="s">
        <v>1125</v>
      </c>
      <c r="D324" s="6">
        <v>0.26169902086257901</v>
      </c>
      <c r="E324" s="6">
        <v>-0.75072306394577004</v>
      </c>
      <c r="F324" s="6">
        <v>2.315845251083374</v>
      </c>
      <c r="G324" s="6">
        <v>-0.81522387266159102</v>
      </c>
      <c r="H324" s="6">
        <v>0.19864784181118</v>
      </c>
      <c r="I324" s="6">
        <v>0.72568273544311501</v>
      </c>
      <c r="J324" s="6">
        <v>2.1676537990570068</v>
      </c>
      <c r="K324" s="6">
        <v>-0.64098429679870605</v>
      </c>
      <c r="L324" s="6">
        <v>2.256608247756958</v>
      </c>
      <c r="M324" s="6">
        <v>-0.7783761620521551</v>
      </c>
      <c r="N324" s="6">
        <v>0.46709124884602504</v>
      </c>
      <c r="O324" s="6">
        <v>0.47601207431410203</v>
      </c>
      <c r="P324" s="6">
        <v>0.72050550379572809</v>
      </c>
      <c r="Q324" s="6"/>
      <c r="R324" s="6">
        <v>5.424613145567549</v>
      </c>
      <c r="S324" s="6">
        <v>6.0375997124467853</v>
      </c>
      <c r="T324" s="6">
        <v>16.237846374511719</v>
      </c>
      <c r="U324" s="6" t="str">
        <f>_xll.BDP($A324,"TRAILING_12M_R&amp;D_%_SALES",$A$1,$A$2)</f>
        <v>#N/A N/A</v>
      </c>
      <c r="V324" s="6">
        <v>55</v>
      </c>
      <c r="W324" s="6">
        <v>551030</v>
      </c>
      <c r="X324" s="6">
        <v>55103010</v>
      </c>
      <c r="Y324" s="7" t="s">
        <v>181</v>
      </c>
      <c r="Z324" s="7" t="s">
        <v>182</v>
      </c>
      <c r="AA324" s="7" t="s">
        <v>182</v>
      </c>
      <c r="AB324" s="6">
        <v>66.361534118652344</v>
      </c>
      <c r="AC324" s="6">
        <v>0.86009246794529204</v>
      </c>
      <c r="AD324" s="6">
        <v>4.018775482530379</v>
      </c>
      <c r="AE324" s="6"/>
      <c r="AF324" s="6"/>
    </row>
    <row r="325" spans="1:32" s="4" customFormat="1" ht="12.75" x14ac:dyDescent="0.2">
      <c r="A325" s="7" t="s">
        <v>1126</v>
      </c>
      <c r="B325" s="7" t="s">
        <v>1127</v>
      </c>
      <c r="C325" s="7" t="s">
        <v>1128</v>
      </c>
      <c r="D325" s="6">
        <v>0.26169902086257901</v>
      </c>
      <c r="E325" s="6">
        <v>-0.75072306394577004</v>
      </c>
      <c r="F325" s="6">
        <v>2.315845251083374</v>
      </c>
      <c r="G325" s="6">
        <v>-0.81522387266159102</v>
      </c>
      <c r="H325" s="6">
        <v>0.19864784181118</v>
      </c>
      <c r="I325" s="6">
        <v>0.72568273544311501</v>
      </c>
      <c r="J325" s="6">
        <v>2.1676537990570068</v>
      </c>
      <c r="K325" s="6">
        <v>-0.64098429679870605</v>
      </c>
      <c r="L325" s="6">
        <v>2.256608247756958</v>
      </c>
      <c r="M325" s="6">
        <v>-0.7783761620521551</v>
      </c>
      <c r="N325" s="6">
        <v>0.46709124884602504</v>
      </c>
      <c r="O325" s="6">
        <v>0.45466716943678703</v>
      </c>
      <c r="P325" s="6">
        <v>0.72050550379572809</v>
      </c>
      <c r="Q325" s="6">
        <v>0.8020458601826741</v>
      </c>
      <c r="R325" s="6">
        <v>5.424613145567549</v>
      </c>
      <c r="S325" s="6">
        <v>7.8860056641855847</v>
      </c>
      <c r="T325" s="6">
        <v>16.237846374511719</v>
      </c>
      <c r="U325" s="6" t="str">
        <f>_xll.BDP($A325,"TRAILING_12M_R&amp;D_%_SALES",$A$1,$A$2)</f>
        <v>#N/A N/A</v>
      </c>
      <c r="V325" s="6">
        <v>55</v>
      </c>
      <c r="W325" s="6">
        <v>551030</v>
      </c>
      <c r="X325" s="6">
        <v>55103010</v>
      </c>
      <c r="Y325" s="7" t="s">
        <v>181</v>
      </c>
      <c r="Z325" s="7" t="s">
        <v>182</v>
      </c>
      <c r="AA325" s="7" t="s">
        <v>182</v>
      </c>
      <c r="AB325" s="6">
        <v>66.361534118652344</v>
      </c>
      <c r="AC325" s="6">
        <v>0.7043191022836891</v>
      </c>
      <c r="AD325" s="6">
        <v>1.6111615579894161</v>
      </c>
      <c r="AE325" s="6"/>
      <c r="AF325" s="6"/>
    </row>
    <row r="326" spans="1:32" s="4" customFormat="1" ht="12.75" x14ac:dyDescent="0.2">
      <c r="A326" s="7" t="s">
        <v>1129</v>
      </c>
      <c r="B326" s="7" t="s">
        <v>1130</v>
      </c>
      <c r="C326" s="7" t="s">
        <v>1131</v>
      </c>
      <c r="D326" s="6">
        <v>0.51241612434387207</v>
      </c>
      <c r="E326" s="6">
        <v>-0.94457387924194303</v>
      </c>
      <c r="F326" s="6">
        <v>1.103294730186462</v>
      </c>
      <c r="G326" s="6">
        <v>-0.7838996648788451</v>
      </c>
      <c r="H326" s="6">
        <v>1.1242576837539671</v>
      </c>
      <c r="I326" s="6">
        <v>-0.22501671314239502</v>
      </c>
      <c r="J326" s="6">
        <v>0.75937569141387906</v>
      </c>
      <c r="K326" s="6">
        <v>-0.7117618322372441</v>
      </c>
      <c r="L326" s="6">
        <v>2.9297440052032471</v>
      </c>
      <c r="M326" s="6">
        <v>-0.60445666313171409</v>
      </c>
      <c r="N326" s="6">
        <v>0.38048778059696703</v>
      </c>
      <c r="O326" s="6"/>
      <c r="P326" s="6">
        <v>1.685177457896424</v>
      </c>
      <c r="Q326" s="6"/>
      <c r="R326" s="6">
        <v>20.986666158720578</v>
      </c>
      <c r="S326" s="6"/>
      <c r="T326" s="6">
        <v>8.0289325714111328</v>
      </c>
      <c r="U326" s="6" t="str">
        <f>_xll.BDP($A326,"TRAILING_12M_R&amp;D_%_SALES",$A$1,$A$2)</f>
        <v>#N/A N/A</v>
      </c>
      <c r="V326" s="6">
        <v>55</v>
      </c>
      <c r="W326" s="6">
        <v>551010</v>
      </c>
      <c r="X326" s="6">
        <v>55101010</v>
      </c>
      <c r="Y326" s="7" t="s">
        <v>181</v>
      </c>
      <c r="Z326" s="7" t="s">
        <v>186</v>
      </c>
      <c r="AA326" s="7" t="s">
        <v>186</v>
      </c>
      <c r="AB326" s="6">
        <v>80.223320007324219</v>
      </c>
      <c r="AC326" s="6">
        <v>0.93904293996785004</v>
      </c>
      <c r="AD326" s="6">
        <v>-27.957309586873592</v>
      </c>
      <c r="AE326" s="6">
        <v>66279</v>
      </c>
      <c r="AF326" s="6">
        <v>62080</v>
      </c>
    </row>
    <row r="327" spans="1:32" s="4" customFormat="1" ht="12.75" x14ac:dyDescent="0.2">
      <c r="A327" s="7" t="s">
        <v>1132</v>
      </c>
      <c r="B327" s="7" t="s">
        <v>1133</v>
      </c>
      <c r="C327" s="7" t="s">
        <v>1134</v>
      </c>
      <c r="D327" s="6">
        <v>-0.26139983534812899</v>
      </c>
      <c r="E327" s="6">
        <v>0.24133302271366103</v>
      </c>
      <c r="F327" s="6">
        <v>1.7865644767880003E-2</v>
      </c>
      <c r="G327" s="6">
        <v>6.6117584705353005E-2</v>
      </c>
      <c r="H327" s="6">
        <v>-0.94187790155410811</v>
      </c>
      <c r="I327" s="6">
        <v>1.492009282112122</v>
      </c>
      <c r="J327" s="6">
        <v>0.78483450412750211</v>
      </c>
      <c r="K327" s="6">
        <v>-0.56738966703414906</v>
      </c>
      <c r="L327" s="6">
        <v>0.43925178050994901</v>
      </c>
      <c r="M327" s="6">
        <v>0.264798164367676</v>
      </c>
      <c r="N327" s="6">
        <v>2.9397223398179353</v>
      </c>
      <c r="O327" s="6">
        <v>3.015050037047684</v>
      </c>
      <c r="P327" s="6">
        <v>3.1892304680734029</v>
      </c>
      <c r="Q327" s="6">
        <v>2.5354286124938592</v>
      </c>
      <c r="R327" s="6">
        <v>9.5061190691537334</v>
      </c>
      <c r="S327" s="6">
        <v>8.7353322442620378</v>
      </c>
      <c r="T327" s="6">
        <v>32.739948272705078</v>
      </c>
      <c r="U327" s="6">
        <f>_xll.BDP($A327,"TRAILING_12M_R&amp;D_%_SALES",$A$1,$A$2)</f>
        <v>0</v>
      </c>
      <c r="V327" s="6">
        <v>10</v>
      </c>
      <c r="W327" s="6">
        <v>101020</v>
      </c>
      <c r="X327" s="6">
        <v>10102020</v>
      </c>
      <c r="Y327" s="7" t="s">
        <v>505</v>
      </c>
      <c r="Z327" s="7" t="s">
        <v>556</v>
      </c>
      <c r="AA327" s="7" t="s">
        <v>776</v>
      </c>
      <c r="AB327" s="6">
        <v>59.048385620117188</v>
      </c>
      <c r="AC327" s="6">
        <v>0.78305483863489411</v>
      </c>
      <c r="AD327" s="6">
        <v>56.273033925895973</v>
      </c>
      <c r="AE327" s="6">
        <v>2800</v>
      </c>
      <c r="AF327" s="6">
        <v>2650</v>
      </c>
    </row>
    <row r="328" spans="1:32" s="4" customFormat="1" ht="12.75" x14ac:dyDescent="0.2">
      <c r="A328" s="7" t="s">
        <v>1135</v>
      </c>
      <c r="B328" s="7" t="s">
        <v>1136</v>
      </c>
      <c r="C328" s="7" t="s">
        <v>1137</v>
      </c>
      <c r="D328" s="6">
        <v>0.10604453831911101</v>
      </c>
      <c r="E328" s="6">
        <v>-0.54474049806594804</v>
      </c>
      <c r="F328" s="6">
        <v>0.58833873271942105</v>
      </c>
      <c r="G328" s="6">
        <v>-0.77204364538192705</v>
      </c>
      <c r="H328" s="6">
        <v>0.7665573358535771</v>
      </c>
      <c r="I328" s="6">
        <v>-0.11566766351461401</v>
      </c>
      <c r="J328" s="6">
        <v>1.6209040880203252</v>
      </c>
      <c r="K328" s="6">
        <v>0.60816109180450406</v>
      </c>
      <c r="L328" s="6">
        <v>1.782206177711487</v>
      </c>
      <c r="M328" s="6">
        <v>-3.8768656551838004E-2</v>
      </c>
      <c r="N328" s="6">
        <v>0.21970460513935602</v>
      </c>
      <c r="O328" s="6">
        <v>0.32512375079953404</v>
      </c>
      <c r="P328" s="6">
        <v>1.2919388068669619</v>
      </c>
      <c r="Q328" s="6"/>
      <c r="R328" s="6">
        <v>5.1359760135202723</v>
      </c>
      <c r="S328" s="6">
        <v>10.9893931263209</v>
      </c>
      <c r="T328" s="6">
        <v>31.639970779418945</v>
      </c>
      <c r="U328" s="6" t="str">
        <f>_xll.BDP($A328,"TRAILING_12M_R&amp;D_%_SALES",$A$1,$A$2)</f>
        <v>#N/A N/A</v>
      </c>
      <c r="V328" s="6">
        <v>55</v>
      </c>
      <c r="W328" s="6">
        <v>551030</v>
      </c>
      <c r="X328" s="6">
        <v>55103010</v>
      </c>
      <c r="Y328" s="7" t="s">
        <v>181</v>
      </c>
      <c r="Z328" s="7" t="s">
        <v>182</v>
      </c>
      <c r="AA328" s="7" t="s">
        <v>182</v>
      </c>
      <c r="AB328" s="6">
        <v>69.821952819824219</v>
      </c>
      <c r="AC328" s="6">
        <v>0.74129509302757002</v>
      </c>
      <c r="AD328" s="6">
        <v>-25.133364818889948</v>
      </c>
      <c r="AE328" s="6">
        <v>71630</v>
      </c>
      <c r="AF328" s="6">
        <v>43138</v>
      </c>
    </row>
    <row r="329" spans="1:32" s="4" customFormat="1" ht="12.75" x14ac:dyDescent="0.2">
      <c r="A329" s="7" t="s">
        <v>1138</v>
      </c>
      <c r="B329" s="7" t="s">
        <v>1139</v>
      </c>
      <c r="C329" s="7" t="s">
        <v>1140</v>
      </c>
      <c r="D329" s="6">
        <v>-7.1874342858791004E-2</v>
      </c>
      <c r="E329" s="6">
        <v>-0.56254845857620206</v>
      </c>
      <c r="F329" s="6">
        <v>-2.8762908652425003E-2</v>
      </c>
      <c r="G329" s="6">
        <v>-0.73892480134964</v>
      </c>
      <c r="H329" s="6">
        <v>0.74480611085891701</v>
      </c>
      <c r="I329" s="6">
        <v>0.76242339611053511</v>
      </c>
      <c r="J329" s="6">
        <v>0.697989702224731</v>
      </c>
      <c r="K329" s="6">
        <v>-0.52393066883087203</v>
      </c>
      <c r="L329" s="6">
        <v>3.00003981590271</v>
      </c>
      <c r="M329" s="6">
        <v>-0.50903850793838501</v>
      </c>
      <c r="N329" s="6">
        <v>0.94458082102719809</v>
      </c>
      <c r="O329" s="6">
        <v>0.91150461226561208</v>
      </c>
      <c r="P329" s="6">
        <v>1.9924594006815672</v>
      </c>
      <c r="Q329" s="6">
        <v>1.8579972409024279</v>
      </c>
      <c r="R329" s="6">
        <v>9.9656660632181939</v>
      </c>
      <c r="S329" s="6">
        <v>9.439188612010458</v>
      </c>
      <c r="T329" s="6">
        <v>19.877040863037109</v>
      </c>
      <c r="U329" s="6" t="str">
        <f>_xll.BDP($A329,"TRAILING_12M_R&amp;D_%_SALES",$A$1,$A$2)</f>
        <v>#N/A N/A</v>
      </c>
      <c r="V329" s="6">
        <v>10</v>
      </c>
      <c r="W329" s="6">
        <v>101020</v>
      </c>
      <c r="X329" s="6">
        <v>10102040</v>
      </c>
      <c r="Y329" s="7" t="s">
        <v>505</v>
      </c>
      <c r="Z329" s="7" t="s">
        <v>556</v>
      </c>
      <c r="AA329" s="7" t="s">
        <v>1122</v>
      </c>
      <c r="AB329" s="6">
        <v>48.294940948486328</v>
      </c>
      <c r="AC329" s="6">
        <v>0.59844910218187108</v>
      </c>
      <c r="AD329" s="6">
        <v>19.656232007202568</v>
      </c>
      <c r="AE329" s="6">
        <v>6911</v>
      </c>
      <c r="AF329" s="6">
        <v>6800</v>
      </c>
    </row>
    <row r="330" spans="1:32" s="4" customFormat="1" ht="12.75" x14ac:dyDescent="0.2">
      <c r="A330" s="7" t="s">
        <v>1141</v>
      </c>
      <c r="B330" s="7" t="s">
        <v>1142</v>
      </c>
      <c r="C330" s="7" t="s">
        <v>1143</v>
      </c>
      <c r="D330" s="6">
        <v>-0.50586009025573708</v>
      </c>
      <c r="E330" s="6">
        <v>1.2599589824676509</v>
      </c>
      <c r="F330" s="6">
        <v>0.533821761608124</v>
      </c>
      <c r="G330" s="6">
        <v>0.11287813633680301</v>
      </c>
      <c r="H330" s="6">
        <v>0.12564545869827301</v>
      </c>
      <c r="I330" s="6">
        <v>7.6859876513481001E-2</v>
      </c>
      <c r="J330" s="6">
        <v>1.0705662965774541</v>
      </c>
      <c r="K330" s="6">
        <v>-1.0287226438522341</v>
      </c>
      <c r="L330" s="6">
        <v>0.57268321514129605</v>
      </c>
      <c r="M330" s="6">
        <v>-1.0046843290328979</v>
      </c>
      <c r="N330" s="6">
        <v>0.71552940217583305</v>
      </c>
      <c r="O330" s="6">
        <v>0.7874724417687321</v>
      </c>
      <c r="P330" s="6">
        <v>5.9276233937021594</v>
      </c>
      <c r="Q330" s="6">
        <v>0.97082998548217903</v>
      </c>
      <c r="R330" s="6">
        <v>6.3916505793363676</v>
      </c>
      <c r="S330" s="6">
        <v>4.7642325375124921</v>
      </c>
      <c r="T330" s="6">
        <v>32.64483642578125</v>
      </c>
      <c r="U330" s="6" t="str">
        <f>_xll.BDP($A330,"TRAILING_12M_R&amp;D_%_SALES",$A$1,$A$2)</f>
        <v>#N/A N/A</v>
      </c>
      <c r="V330" s="6">
        <v>40</v>
      </c>
      <c r="W330" s="6">
        <v>402010</v>
      </c>
      <c r="X330" s="6">
        <v>40201020</v>
      </c>
      <c r="Y330" s="7" t="s">
        <v>53</v>
      </c>
      <c r="Z330" s="7" t="s">
        <v>344</v>
      </c>
      <c r="AA330" s="7" t="s">
        <v>345</v>
      </c>
      <c r="AB330" s="6">
        <v>43.577106475830078</v>
      </c>
      <c r="AC330" s="6">
        <v>1.139552013930536</v>
      </c>
      <c r="AD330" s="6">
        <v>-10.136082291982696</v>
      </c>
      <c r="AE330" s="6">
        <v>7800</v>
      </c>
      <c r="AF330" s="6"/>
    </row>
    <row r="331" spans="1:32" s="4" customFormat="1" ht="12.75" x14ac:dyDescent="0.2">
      <c r="A331" s="7" t="s">
        <v>1144</v>
      </c>
      <c r="B331" s="7" t="s">
        <v>1145</v>
      </c>
      <c r="C331" s="7" t="s">
        <v>1146</v>
      </c>
      <c r="D331" s="6">
        <v>-0.68840599060058605</v>
      </c>
      <c r="E331" s="6">
        <v>-0.72765952348709106</v>
      </c>
      <c r="F331" s="6">
        <v>4.6197969466448004E-2</v>
      </c>
      <c r="G331" s="6">
        <v>-0.27863636612892201</v>
      </c>
      <c r="H331" s="6">
        <v>0.70729959011077903</v>
      </c>
      <c r="I331" s="6">
        <v>-7.3299415409565E-2</v>
      </c>
      <c r="J331" s="6">
        <v>-0.51841753721237205</v>
      </c>
      <c r="K331" s="6">
        <v>-0.31069770455360401</v>
      </c>
      <c r="L331" s="6">
        <v>0.10453645139932601</v>
      </c>
      <c r="M331" s="6">
        <v>-0.81811666488647505</v>
      </c>
      <c r="N331" s="6">
        <v>8.3969697844735993</v>
      </c>
      <c r="O331" s="6">
        <v>7.6106968782838527</v>
      </c>
      <c r="P331" s="6">
        <v>5.4341437090660332</v>
      </c>
      <c r="Q331" s="6">
        <v>5.4784539157918086</v>
      </c>
      <c r="R331" s="6">
        <v>89.81948020764834</v>
      </c>
      <c r="S331" s="6">
        <v>72.114059493537795</v>
      </c>
      <c r="T331" s="6">
        <v>6.4342069625854492</v>
      </c>
      <c r="U331" s="6" t="str">
        <f>_xll.BDP($A331,"TRAILING_12M_R&amp;D_%_SALES",$A$1,$A$2)</f>
        <v>#N/A N/A</v>
      </c>
      <c r="V331" s="6">
        <v>60</v>
      </c>
      <c r="W331" s="6">
        <v>601080</v>
      </c>
      <c r="X331" s="6">
        <v>60108050</v>
      </c>
      <c r="Y331" s="7" t="s">
        <v>307</v>
      </c>
      <c r="Z331" s="7" t="s">
        <v>308</v>
      </c>
      <c r="AA331" s="7" t="s">
        <v>979</v>
      </c>
      <c r="AB331" s="6">
        <v>60.406398773193359</v>
      </c>
      <c r="AC331" s="6">
        <v>0.99644549531208004</v>
      </c>
      <c r="AD331" s="6">
        <v>-21.109801258228167</v>
      </c>
      <c r="AE331" s="6">
        <v>10944</v>
      </c>
      <c r="AF331" s="6">
        <v>5993</v>
      </c>
    </row>
    <row r="332" spans="1:32" s="4" customFormat="1" ht="12.75" x14ac:dyDescent="0.2">
      <c r="A332" s="7" t="s">
        <v>1147</v>
      </c>
      <c r="B332" s="7" t="s">
        <v>1148</v>
      </c>
      <c r="C332" s="7" t="s">
        <v>1149</v>
      </c>
      <c r="D332" s="6">
        <v>-0.73941791057586703</v>
      </c>
      <c r="E332" s="6">
        <v>-0.17553554475307501</v>
      </c>
      <c r="F332" s="6">
        <v>0.82111757993698109</v>
      </c>
      <c r="G332" s="6">
        <v>-0.81389969587326005</v>
      </c>
      <c r="H332" s="6">
        <v>-0.71642053127288807</v>
      </c>
      <c r="I332" s="6">
        <v>-0.47296854853630105</v>
      </c>
      <c r="J332" s="6">
        <v>1.1305607557296751</v>
      </c>
      <c r="K332" s="6">
        <v>-9.7083933651447005E-2</v>
      </c>
      <c r="L332" s="6">
        <v>1.1591557264328001</v>
      </c>
      <c r="M332" s="6">
        <v>-0.12112316489219702</v>
      </c>
      <c r="N332" s="6">
        <v>0.78940670248324207</v>
      </c>
      <c r="O332" s="6">
        <v>0.711577428373243</v>
      </c>
      <c r="P332" s="6">
        <v>1.463107884315592</v>
      </c>
      <c r="Q332" s="6">
        <v>1.361471699935032</v>
      </c>
      <c r="R332" s="6">
        <v>8.9165449789395748</v>
      </c>
      <c r="S332" s="6">
        <v>8.2152406735011159</v>
      </c>
      <c r="T332" s="6">
        <v>19.271818161010742</v>
      </c>
      <c r="U332" s="6">
        <f>_xll.BDP($A332,"TRAILING_12M_R&amp;D_%_SALES",$A$1,$A$2)</f>
        <v>21.58867193803453</v>
      </c>
      <c r="V332" s="6">
        <v>45</v>
      </c>
      <c r="W332" s="6">
        <v>452010</v>
      </c>
      <c r="X332" s="6">
        <v>45201020</v>
      </c>
      <c r="Y332" s="7" t="s">
        <v>66</v>
      </c>
      <c r="Z332" s="7" t="s">
        <v>841</v>
      </c>
      <c r="AA332" s="7" t="s">
        <v>841</v>
      </c>
      <c r="AB332" s="6">
        <v>62.84075927734375</v>
      </c>
      <c r="AC332" s="6">
        <v>0.9870896645197661</v>
      </c>
      <c r="AD332" s="6">
        <v>-44.790367928436545</v>
      </c>
      <c r="AE332" s="6">
        <v>101322</v>
      </c>
      <c r="AF332" s="6">
        <v>116416</v>
      </c>
    </row>
    <row r="333" spans="1:32" s="4" customFormat="1" ht="12.75" x14ac:dyDescent="0.2">
      <c r="A333" s="7" t="s">
        <v>1150</v>
      </c>
      <c r="B333" s="7" t="s">
        <v>1151</v>
      </c>
      <c r="C333" s="7" t="s">
        <v>1152</v>
      </c>
      <c r="D333" s="6">
        <v>-0.73941791057586703</v>
      </c>
      <c r="E333" s="6">
        <v>-0.17553554475307501</v>
      </c>
      <c r="F333" s="6">
        <v>0.82111757993698109</v>
      </c>
      <c r="G333" s="6">
        <v>-0.81389969587326005</v>
      </c>
      <c r="H333" s="6">
        <v>-0.71642053127288807</v>
      </c>
      <c r="I333" s="6">
        <v>-0.47296854853630105</v>
      </c>
      <c r="J333" s="6">
        <v>1.1305607557296751</v>
      </c>
      <c r="K333" s="6">
        <v>-9.7083933651447005E-2</v>
      </c>
      <c r="L333" s="6">
        <v>1.1591557264328001</v>
      </c>
      <c r="M333" s="6">
        <v>-0.12112316489219702</v>
      </c>
      <c r="N333" s="6">
        <v>0.78940670248324207</v>
      </c>
      <c r="O333" s="6">
        <v>0.71240183845040006</v>
      </c>
      <c r="P333" s="6">
        <v>1.463107884315592</v>
      </c>
      <c r="Q333" s="6">
        <v>1.3603060578915631</v>
      </c>
      <c r="R333" s="6">
        <v>8.9165449789395748</v>
      </c>
      <c r="S333" s="6">
        <v>8.20820708629787</v>
      </c>
      <c r="T333" s="6">
        <v>19.271818161010742</v>
      </c>
      <c r="U333" s="6">
        <f>_xll.BDP($A333,"TRAILING_12M_R&amp;D_%_SALES",$A$1,$A$2)</f>
        <v>21.58867193803453</v>
      </c>
      <c r="V333" s="6">
        <v>45</v>
      </c>
      <c r="W333" s="6">
        <v>452010</v>
      </c>
      <c r="X333" s="6">
        <v>45201020</v>
      </c>
      <c r="Y333" s="7" t="s">
        <v>66</v>
      </c>
      <c r="Z333" s="7" t="s">
        <v>841</v>
      </c>
      <c r="AA333" s="7" t="s">
        <v>841</v>
      </c>
      <c r="AB333" s="6">
        <v>62.84075927734375</v>
      </c>
      <c r="AC333" s="6">
        <v>0.49222308100763906</v>
      </c>
      <c r="AD333" s="6">
        <v>-45.866902341304481</v>
      </c>
      <c r="AE333" s="6">
        <v>101322</v>
      </c>
      <c r="AF333" s="6">
        <v>116416</v>
      </c>
    </row>
    <row r="334" spans="1:32" s="4" customFormat="1" ht="12.75" x14ac:dyDescent="0.2">
      <c r="A334" s="7" t="s">
        <v>1153</v>
      </c>
      <c r="B334" s="7" t="s">
        <v>1154</v>
      </c>
      <c r="C334" s="7" t="s">
        <v>1155</v>
      </c>
      <c r="D334" s="6">
        <v>-0.65804952383041404</v>
      </c>
      <c r="E334" s="6">
        <v>-0.7656337022781371</v>
      </c>
      <c r="F334" s="6">
        <v>-0.152144029736519</v>
      </c>
      <c r="G334" s="6">
        <v>-0.40647959709167503</v>
      </c>
      <c r="H334" s="6">
        <v>0.90529441833496105</v>
      </c>
      <c r="I334" s="6">
        <v>0.22924654185771901</v>
      </c>
      <c r="J334" s="6">
        <v>7.4402429163456005E-2</v>
      </c>
      <c r="K334" s="6">
        <v>-0.592726171016693</v>
      </c>
      <c r="L334" s="6">
        <v>0.6504434943199161</v>
      </c>
      <c r="M334" s="6">
        <v>-0.96843338012695313</v>
      </c>
      <c r="N334" s="6">
        <v>2.4686734187416772</v>
      </c>
      <c r="O334" s="6">
        <v>2.6409788048415033</v>
      </c>
      <c r="P334" s="6">
        <v>1.9059748142147031</v>
      </c>
      <c r="Q334" s="6">
        <v>2.002493053496726</v>
      </c>
      <c r="R334" s="6">
        <v>20.625210689288973</v>
      </c>
      <c r="S334" s="6">
        <v>19.160498810545711</v>
      </c>
      <c r="T334" s="6">
        <v>9.372706413269043</v>
      </c>
      <c r="U334" s="6" t="str">
        <f>_xll.BDP($A334,"TRAILING_12M_R&amp;D_%_SALES",$A$1,$A$2)</f>
        <v>#N/A N/A</v>
      </c>
      <c r="V334" s="6">
        <v>55</v>
      </c>
      <c r="W334" s="6">
        <v>551010</v>
      </c>
      <c r="X334" s="6">
        <v>55101010</v>
      </c>
      <c r="Y334" s="7" t="s">
        <v>181</v>
      </c>
      <c r="Z334" s="7" t="s">
        <v>186</v>
      </c>
      <c r="AA334" s="7" t="s">
        <v>186</v>
      </c>
      <c r="AB334" s="6">
        <v>69.1680908203125</v>
      </c>
      <c r="AC334" s="6">
        <v>0.66522016101073</v>
      </c>
      <c r="AD334" s="6">
        <v>-5.2224329334113921</v>
      </c>
      <c r="AE334" s="6">
        <v>9227</v>
      </c>
      <c r="AF334" s="6">
        <v>7762</v>
      </c>
    </row>
    <row r="335" spans="1:32" s="4" customFormat="1" ht="12.75" x14ac:dyDescent="0.2">
      <c r="A335" s="7" t="s">
        <v>1156</v>
      </c>
      <c r="B335" s="7" t="s">
        <v>1157</v>
      </c>
      <c r="C335" s="7" t="s">
        <v>1158</v>
      </c>
      <c r="D335" s="6">
        <v>0.51241612434387207</v>
      </c>
      <c r="E335" s="6">
        <v>-0.94457387924194303</v>
      </c>
      <c r="F335" s="6">
        <v>1.103294730186462</v>
      </c>
      <c r="G335" s="6">
        <v>-0.7838996648788451</v>
      </c>
      <c r="H335" s="6">
        <v>1.1242576837539671</v>
      </c>
      <c r="I335" s="6">
        <v>-0.22501671314239502</v>
      </c>
      <c r="J335" s="6">
        <v>0.75937569141387906</v>
      </c>
      <c r="K335" s="6">
        <v>-0.7117618322372441</v>
      </c>
      <c r="L335" s="6">
        <v>2.9297440052032471</v>
      </c>
      <c r="M335" s="6">
        <v>-0.60445666313171409</v>
      </c>
      <c r="N335" s="6">
        <v>0.38048778059696703</v>
      </c>
      <c r="O335" s="6">
        <v>0.49858138941317703</v>
      </c>
      <c r="P335" s="6">
        <v>1.685177457896424</v>
      </c>
      <c r="Q335" s="6">
        <v>1.608823436430233</v>
      </c>
      <c r="R335" s="6">
        <v>20.986666158720578</v>
      </c>
      <c r="S335" s="6">
        <v>8.7113220607520692</v>
      </c>
      <c r="T335" s="6">
        <v>8.0289325714111328</v>
      </c>
      <c r="U335" s="6" t="str">
        <f>_xll.BDP($A335,"TRAILING_12M_R&amp;D_%_SALES",$A$1,$A$2)</f>
        <v>#N/A N/A</v>
      </c>
      <c r="V335" s="6">
        <v>55</v>
      </c>
      <c r="W335" s="6">
        <v>551010</v>
      </c>
      <c r="X335" s="6">
        <v>55101010</v>
      </c>
      <c r="Y335" s="7" t="s">
        <v>181</v>
      </c>
      <c r="Z335" s="7" t="s">
        <v>186</v>
      </c>
      <c r="AA335" s="7" t="s">
        <v>186</v>
      </c>
      <c r="AB335" s="6">
        <v>80.223320007324219</v>
      </c>
      <c r="AC335" s="6">
        <v>0.81912214122217908</v>
      </c>
      <c r="AD335" s="6">
        <v>-27.634931920169969</v>
      </c>
      <c r="AE335" s="6">
        <v>66279</v>
      </c>
      <c r="AF335" s="6">
        <v>62080</v>
      </c>
    </row>
    <row r="336" spans="1:32" s="4" customFormat="1" ht="12.75" x14ac:dyDescent="0.2">
      <c r="A336" s="7" t="s">
        <v>1159</v>
      </c>
      <c r="B336" s="7" t="s">
        <v>1160</v>
      </c>
      <c r="C336" s="7" t="s">
        <v>1161</v>
      </c>
      <c r="D336" s="6">
        <v>2.7709055691957002E-2</v>
      </c>
      <c r="E336" s="6">
        <v>-0.67662477493286111</v>
      </c>
      <c r="F336" s="6">
        <v>1.0749456882476811</v>
      </c>
      <c r="G336" s="6">
        <v>-7.3646932840347012E-2</v>
      </c>
      <c r="H336" s="6">
        <v>1.3481429815292361</v>
      </c>
      <c r="I336" s="6">
        <v>1.3460830450057979</v>
      </c>
      <c r="J336" s="6">
        <v>1.446693539619446</v>
      </c>
      <c r="K336" s="6">
        <v>-0.80306231975555409</v>
      </c>
      <c r="L336" s="6">
        <v>3.00003981590271</v>
      </c>
      <c r="M336" s="6">
        <v>-0.34400439262390103</v>
      </c>
      <c r="N336" s="6">
        <v>0.40807515973420505</v>
      </c>
      <c r="O336" s="6">
        <v>0.45069966334892603</v>
      </c>
      <c r="P336" s="6">
        <v>1.370059008999291</v>
      </c>
      <c r="Q336" s="6">
        <v>1.092938449204806</v>
      </c>
      <c r="R336" s="6">
        <v>9.0990485193669226</v>
      </c>
      <c r="S336" s="6">
        <v>7.4565860655964951</v>
      </c>
      <c r="T336" s="6">
        <v>16.909307479858398</v>
      </c>
      <c r="U336" s="6" t="str">
        <f>_xll.BDP($A336,"TRAILING_12M_R&amp;D_%_SALES",$A$1,$A$2)</f>
        <v>#N/A N/A</v>
      </c>
      <c r="V336" s="6">
        <v>10</v>
      </c>
      <c r="W336" s="6">
        <v>101020</v>
      </c>
      <c r="X336" s="6">
        <v>10102040</v>
      </c>
      <c r="Y336" s="7" t="s">
        <v>505</v>
      </c>
      <c r="Z336" s="7" t="s">
        <v>556</v>
      </c>
      <c r="AA336" s="7" t="s">
        <v>1122</v>
      </c>
      <c r="AB336" s="6">
        <v>30.872146606445313</v>
      </c>
      <c r="AC336" s="6">
        <v>0.82523550002337309</v>
      </c>
      <c r="AD336" s="6">
        <v>57.118640911941213</v>
      </c>
      <c r="AE336" s="6">
        <v>12558</v>
      </c>
      <c r="AF336" s="6">
        <v>30992</v>
      </c>
    </row>
    <row r="337" spans="1:32" s="4" customFormat="1" ht="12.75" x14ac:dyDescent="0.2">
      <c r="A337" s="7" t="s">
        <v>1162</v>
      </c>
      <c r="B337" s="7" t="s">
        <v>1163</v>
      </c>
      <c r="C337" s="7" t="s">
        <v>1164</v>
      </c>
      <c r="D337" s="6">
        <v>-0.41741797327995306</v>
      </c>
      <c r="E337" s="6">
        <v>-0.35937163233757002</v>
      </c>
      <c r="F337" s="6">
        <v>-9.9195137619972007E-2</v>
      </c>
      <c r="G337" s="6">
        <v>-0.40543937683105502</v>
      </c>
      <c r="H337" s="6">
        <v>-0.23173531889915502</v>
      </c>
      <c r="I337" s="6">
        <v>0.13710215687751801</v>
      </c>
      <c r="J337" s="6">
        <v>-0.20900593698024703</v>
      </c>
      <c r="K337" s="6">
        <v>-0.83485174179077104</v>
      </c>
      <c r="L337" s="6">
        <v>0.191848710179329</v>
      </c>
      <c r="M337" s="6">
        <v>-0.77976238727569602</v>
      </c>
      <c r="N337" s="6">
        <v>3.104334335378117</v>
      </c>
      <c r="O337" s="6">
        <v>2.8570724919239678</v>
      </c>
      <c r="P337" s="6">
        <v>3.8846784847530369</v>
      </c>
      <c r="Q337" s="6">
        <v>3.5341654695377258</v>
      </c>
      <c r="R337" s="6">
        <v>27.709594279068416</v>
      </c>
      <c r="S337" s="6">
        <v>19.115835227411178</v>
      </c>
      <c r="T337" s="6">
        <v>12.884297370910645</v>
      </c>
      <c r="U337" s="6">
        <f>_xll.BDP($A337,"TRAILING_12M_R&amp;D_%_SALES",$A$1,$A$2)</f>
        <v>3.1875552697162148</v>
      </c>
      <c r="V337" s="6">
        <v>20</v>
      </c>
      <c r="W337" s="6">
        <v>201040</v>
      </c>
      <c r="X337" s="6">
        <v>20104010</v>
      </c>
      <c r="Y337" s="7" t="s">
        <v>43</v>
      </c>
      <c r="Z337" s="7" t="s">
        <v>81</v>
      </c>
      <c r="AA337" s="7" t="s">
        <v>82</v>
      </c>
      <c r="AB337" s="6">
        <v>64.068000793457031</v>
      </c>
      <c r="AC337" s="6">
        <v>0.93625100941205908</v>
      </c>
      <c r="AD337" s="6">
        <v>-6.4305703392583453</v>
      </c>
      <c r="AE337" s="6">
        <v>86000</v>
      </c>
      <c r="AF337" s="6">
        <v>95000</v>
      </c>
    </row>
    <row r="338" spans="1:32" s="4" customFormat="1" ht="12.75" x14ac:dyDescent="0.2">
      <c r="A338" s="7" t="s">
        <v>1165</v>
      </c>
      <c r="B338" s="7" t="s">
        <v>1166</v>
      </c>
      <c r="C338" s="7" t="s">
        <v>1167</v>
      </c>
      <c r="D338" s="6">
        <v>-0.67468702793121305</v>
      </c>
      <c r="E338" s="6">
        <v>-0.79028737545013406</v>
      </c>
      <c r="F338" s="6">
        <v>-0.10144422203302401</v>
      </c>
      <c r="G338" s="6">
        <v>-0.15088246762752502</v>
      </c>
      <c r="H338" s="6">
        <v>1.3334032297134399</v>
      </c>
      <c r="I338" s="6">
        <v>0.59451431035995506</v>
      </c>
      <c r="J338" s="6">
        <v>0.19643872976303101</v>
      </c>
      <c r="K338" s="6">
        <v>-0.74378830194473311</v>
      </c>
      <c r="L338" s="6">
        <v>1.0205646753311159</v>
      </c>
      <c r="M338" s="6">
        <v>-0.94972437620163008</v>
      </c>
      <c r="N338" s="6">
        <v>1.727530597545448</v>
      </c>
      <c r="O338" s="6">
        <v>1.8296919075174731</v>
      </c>
      <c r="P338" s="6">
        <v>1.89245091683238</v>
      </c>
      <c r="Q338" s="6">
        <v>1.7633038394966241</v>
      </c>
      <c r="R338" s="6">
        <v>19.035021007576105</v>
      </c>
      <c r="S338" s="6">
        <v>16.62022116381943</v>
      </c>
      <c r="T338" s="6">
        <v>10.870776176452637</v>
      </c>
      <c r="U338" s="6" t="str">
        <f>_xll.BDP($A338,"TRAILING_12M_R&amp;D_%_SALES",$A$1,$A$2)</f>
        <v>#N/A N/A</v>
      </c>
      <c r="V338" s="6">
        <v>55</v>
      </c>
      <c r="W338" s="6">
        <v>551010</v>
      </c>
      <c r="X338" s="6">
        <v>55101010</v>
      </c>
      <c r="Y338" s="7" t="s">
        <v>181</v>
      </c>
      <c r="Z338" s="7" t="s">
        <v>186</v>
      </c>
      <c r="AA338" s="7" t="s">
        <v>186</v>
      </c>
      <c r="AB338" s="6">
        <v>65.717735290527344</v>
      </c>
      <c r="AC338" s="6">
        <v>0.6565351907479211</v>
      </c>
      <c r="AD338" s="6">
        <v>4.4658410245496327</v>
      </c>
      <c r="AE338" s="6">
        <v>12369</v>
      </c>
      <c r="AF338" s="6">
        <v>13000</v>
      </c>
    </row>
    <row r="339" spans="1:32" s="4" customFormat="1" ht="12.75" x14ac:dyDescent="0.2">
      <c r="A339" s="7" t="s">
        <v>1168</v>
      </c>
      <c r="B339" s="7" t="s">
        <v>1169</v>
      </c>
      <c r="C339" s="7" t="s">
        <v>1170</v>
      </c>
      <c r="D339" s="6">
        <v>-0.22551549971103702</v>
      </c>
      <c r="E339" s="6">
        <v>-0.81832444667816207</v>
      </c>
      <c r="F339" s="6">
        <v>-0.10689105838537201</v>
      </c>
      <c r="G339" s="6">
        <v>8.6183719336987014E-2</v>
      </c>
      <c r="H339" s="6">
        <v>1.031250476837158</v>
      </c>
      <c r="I339" s="6">
        <v>0.5981004834175111</v>
      </c>
      <c r="J339" s="6">
        <v>0.16446135938167603</v>
      </c>
      <c r="K339" s="6">
        <v>-1.0826753377914431</v>
      </c>
      <c r="L339" s="6">
        <v>0.70782679319381703</v>
      </c>
      <c r="M339" s="6">
        <v>-0.76518738269805908</v>
      </c>
      <c r="N339" s="6">
        <v>1.767257046181689</v>
      </c>
      <c r="O339" s="6">
        <v>2.1339962252984259</v>
      </c>
      <c r="P339" s="6">
        <v>1.7480521706147449</v>
      </c>
      <c r="Q339" s="6">
        <v>1.2979989632789259</v>
      </c>
      <c r="R339" s="6">
        <v>18.06089576439086</v>
      </c>
      <c r="S339" s="6">
        <v>18.260528197402088</v>
      </c>
      <c r="T339" s="6">
        <v>7.2869777679443359</v>
      </c>
      <c r="U339" s="6" t="str">
        <f>_xll.BDP($A339,"TRAILING_12M_R&amp;D_%_SALES",$A$1,$A$2)</f>
        <v>#N/A N/A</v>
      </c>
      <c r="V339" s="6">
        <v>55</v>
      </c>
      <c r="W339" s="6">
        <v>551010</v>
      </c>
      <c r="X339" s="6">
        <v>55101010</v>
      </c>
      <c r="Y339" s="7" t="s">
        <v>181</v>
      </c>
      <c r="Z339" s="7" t="s">
        <v>186</v>
      </c>
      <c r="AA339" s="7" t="s">
        <v>186</v>
      </c>
      <c r="AB339" s="6">
        <v>58.837139129638672</v>
      </c>
      <c r="AC339" s="6">
        <v>0.70694844032836002</v>
      </c>
      <c r="AD339" s="6">
        <v>9.1034414635794647</v>
      </c>
      <c r="AE339" s="6">
        <v>31518</v>
      </c>
      <c r="AF339" s="6">
        <v>34396</v>
      </c>
    </row>
    <row r="340" spans="1:32" s="4" customFormat="1" ht="12.75" x14ac:dyDescent="0.2">
      <c r="A340" s="7" t="s">
        <v>1171</v>
      </c>
      <c r="B340" s="7" t="s">
        <v>1172</v>
      </c>
      <c r="C340" s="7" t="s">
        <v>1173</v>
      </c>
      <c r="D340" s="6">
        <v>0.43889185786247303</v>
      </c>
      <c r="E340" s="6">
        <v>-0.68405520915985107</v>
      </c>
      <c r="F340" s="6">
        <v>0.75493687391281106</v>
      </c>
      <c r="G340" s="6">
        <v>2.1598503589630131</v>
      </c>
      <c r="H340" s="6">
        <v>1.429530024528503</v>
      </c>
      <c r="I340" s="6">
        <v>-0.51869112253189109</v>
      </c>
      <c r="J340" s="6">
        <v>1.5517135858535771</v>
      </c>
      <c r="K340" s="6">
        <v>-1.046006321907043</v>
      </c>
      <c r="L340" s="6">
        <v>1.8407799005508421</v>
      </c>
      <c r="M340" s="6">
        <v>-0.70729976892471302</v>
      </c>
      <c r="N340" s="6">
        <v>0.307509585546619</v>
      </c>
      <c r="O340" s="6">
        <v>0.31019978639307</v>
      </c>
      <c r="P340" s="6">
        <v>1.109990455581682</v>
      </c>
      <c r="Q340" s="6">
        <v>0.98327032579806506</v>
      </c>
      <c r="R340" s="6">
        <v>7.1576102134238218</v>
      </c>
      <c r="S340" s="6">
        <v>6.4173087239192306</v>
      </c>
      <c r="T340" s="6">
        <v>22.896923065185547</v>
      </c>
      <c r="U340" s="6" t="str">
        <f>_xll.BDP($A340,"TRAILING_12M_R&amp;D_%_SALES",$A$1,$A$2)</f>
        <v>#N/A N/A</v>
      </c>
      <c r="V340" s="6">
        <v>25</v>
      </c>
      <c r="W340" s="6">
        <v>251020</v>
      </c>
      <c r="X340" s="6">
        <v>25102010</v>
      </c>
      <c r="Y340" s="7" t="s">
        <v>108</v>
      </c>
      <c r="Z340" s="7" t="s">
        <v>422</v>
      </c>
      <c r="AA340" s="7" t="s">
        <v>423</v>
      </c>
      <c r="AB340" s="6">
        <v>71.994766235351563</v>
      </c>
      <c r="AC340" s="6">
        <v>1.284731548674698</v>
      </c>
      <c r="AD340" s="6">
        <v>-41.342990103534106</v>
      </c>
      <c r="AE340" s="6">
        <v>183000</v>
      </c>
      <c r="AF340" s="6">
        <v>201000</v>
      </c>
    </row>
    <row r="341" spans="1:32" s="4" customFormat="1" ht="12.75" x14ac:dyDescent="0.2">
      <c r="A341" s="7" t="s">
        <v>1174</v>
      </c>
      <c r="B341" s="7" t="s">
        <v>1175</v>
      </c>
      <c r="C341" s="7" t="s">
        <v>1176</v>
      </c>
      <c r="D341" s="6">
        <v>-0.55178540945053101</v>
      </c>
      <c r="E341" s="6">
        <v>-0.61340141296386708</v>
      </c>
      <c r="F341" s="6">
        <v>1.317170381546021</v>
      </c>
      <c r="G341" s="6">
        <v>-0.86234748363494906</v>
      </c>
      <c r="H341" s="6">
        <v>-1.290419340133667</v>
      </c>
      <c r="I341" s="6">
        <v>0.42876556515693703</v>
      </c>
      <c r="J341" s="6">
        <v>0.88706147670745805</v>
      </c>
      <c r="K341" s="6">
        <v>-0.66281831264495805</v>
      </c>
      <c r="L341" s="6">
        <v>1.8371647596359251</v>
      </c>
      <c r="M341" s="6">
        <v>-0.91752737760543812</v>
      </c>
      <c r="N341" s="6">
        <v>2.1264930411368188</v>
      </c>
      <c r="O341" s="6">
        <v>2.63103269743922</v>
      </c>
      <c r="P341" s="6">
        <v>2.1136568537891369</v>
      </c>
      <c r="Q341" s="6">
        <v>1.8091687595117441</v>
      </c>
      <c r="R341" s="6">
        <v>10.613361273889263</v>
      </c>
      <c r="S341" s="6">
        <v>9.0609762682113519</v>
      </c>
      <c r="T341" s="6">
        <v>20.708728790283203</v>
      </c>
      <c r="U341" s="6" t="str">
        <f>_xll.BDP($A341,"TRAILING_12M_R&amp;D_%_SALES",$A$1,$A$2)</f>
        <v>#N/A N/A</v>
      </c>
      <c r="V341" s="6">
        <v>40</v>
      </c>
      <c r="W341" s="6">
        <v>402010</v>
      </c>
      <c r="X341" s="6">
        <v>40201020</v>
      </c>
      <c r="Y341" s="7" t="s">
        <v>53</v>
      </c>
      <c r="Z341" s="7" t="s">
        <v>344</v>
      </c>
      <c r="AA341" s="7" t="s">
        <v>345</v>
      </c>
      <c r="AB341" s="6">
        <v>50.055324554443359</v>
      </c>
      <c r="AC341" s="6">
        <v>0.35189881835500803</v>
      </c>
      <c r="AD341" s="6">
        <v>0.43630272682542204</v>
      </c>
      <c r="AE341" s="6">
        <v>48059</v>
      </c>
      <c r="AF341" s="6">
        <v>44916</v>
      </c>
    </row>
    <row r="342" spans="1:32" s="4" customFormat="1" ht="12.75" x14ac:dyDescent="0.2">
      <c r="A342" s="7" t="s">
        <v>1177</v>
      </c>
      <c r="B342" s="7" t="s">
        <v>1178</v>
      </c>
      <c r="C342" s="7" t="s">
        <v>1179</v>
      </c>
      <c r="D342" s="6">
        <v>-0.55178540945053101</v>
      </c>
      <c r="E342" s="6">
        <v>-0.61340141296386708</v>
      </c>
      <c r="F342" s="6">
        <v>1.317170381546021</v>
      </c>
      <c r="G342" s="6">
        <v>-0.86234748363494906</v>
      </c>
      <c r="H342" s="6">
        <v>-1.290419340133667</v>
      </c>
      <c r="I342" s="6">
        <v>0.42876556515693703</v>
      </c>
      <c r="J342" s="6">
        <v>0.88706147670745805</v>
      </c>
      <c r="K342" s="6">
        <v>-0.66281831264495805</v>
      </c>
      <c r="L342" s="6">
        <v>1.8371647596359251</v>
      </c>
      <c r="M342" s="6">
        <v>-0.91752737760543812</v>
      </c>
      <c r="N342" s="6">
        <v>2.1264930411368188</v>
      </c>
      <c r="O342" s="6"/>
      <c r="P342" s="6">
        <v>2.1136568537891369</v>
      </c>
      <c r="Q342" s="6"/>
      <c r="R342" s="6">
        <v>10.613361273889263</v>
      </c>
      <c r="S342" s="6"/>
      <c r="T342" s="6">
        <v>20.708728790283203</v>
      </c>
      <c r="U342" s="6" t="str">
        <f>_xll.BDP($A342,"TRAILING_12M_R&amp;D_%_SALES",$A$1,$A$2)</f>
        <v>#N/A N/A</v>
      </c>
      <c r="V342" s="6">
        <v>40</v>
      </c>
      <c r="W342" s="6">
        <v>402010</v>
      </c>
      <c r="X342" s="6">
        <v>40201020</v>
      </c>
      <c r="Y342" s="7" t="s">
        <v>53</v>
      </c>
      <c r="Z342" s="7" t="s">
        <v>344</v>
      </c>
      <c r="AA342" s="7" t="s">
        <v>345</v>
      </c>
      <c r="AB342" s="6">
        <v>50.055324554443359</v>
      </c>
      <c r="AC342" s="6">
        <v>0.44693958789172605</v>
      </c>
      <c r="AD342" s="6">
        <v>5.130635444359144</v>
      </c>
      <c r="AE342" s="6">
        <v>48059</v>
      </c>
      <c r="AF342" s="6">
        <v>44916</v>
      </c>
    </row>
    <row r="343" spans="1:32" s="4" customFormat="1" ht="12.75" x14ac:dyDescent="0.2">
      <c r="A343" s="7" t="s">
        <v>1180</v>
      </c>
      <c r="B343" s="7" t="s">
        <v>1181</v>
      </c>
      <c r="C343" s="7" t="s">
        <v>1182</v>
      </c>
      <c r="D343" s="6">
        <v>-0.99848771095275912</v>
      </c>
      <c r="E343" s="6">
        <v>0.47440236806869501</v>
      </c>
      <c r="F343" s="6">
        <v>-0.7824654579162601</v>
      </c>
      <c r="G343" s="6">
        <v>1.6069338321685791</v>
      </c>
      <c r="H343" s="6">
        <v>-0.30017259716987604</v>
      </c>
      <c r="I343" s="6">
        <v>1.0636249780654909</v>
      </c>
      <c r="J343" s="6">
        <v>1.7457219362258911</v>
      </c>
      <c r="K343" s="6">
        <v>3.4163929522038006E-2</v>
      </c>
      <c r="L343" s="6">
        <v>2.4438672065734859</v>
      </c>
      <c r="M343" s="6">
        <v>0.89181411266326904</v>
      </c>
      <c r="N343" s="6">
        <v>2.8758991807858862</v>
      </c>
      <c r="O343" s="6">
        <v>2.6737497710527052</v>
      </c>
      <c r="P343" s="6">
        <v>1.7353804492390401</v>
      </c>
      <c r="Q343" s="6">
        <v>1.4380905118982241</v>
      </c>
      <c r="R343" s="6">
        <v>6.1198769954605883</v>
      </c>
      <c r="S343" s="6">
        <v>5.6454653264661445</v>
      </c>
      <c r="T343" s="6">
        <v>34.565349578857422</v>
      </c>
      <c r="U343" s="6" t="str">
        <f>_xll.BDP($A343,"TRAILING_12M_R&amp;D_%_SALES",$A$1,$A$2)</f>
        <v>#N/A N/A</v>
      </c>
      <c r="V343" s="6">
        <v>10</v>
      </c>
      <c r="W343" s="6">
        <v>101020</v>
      </c>
      <c r="X343" s="6">
        <v>10102020</v>
      </c>
      <c r="Y343" s="7" t="s">
        <v>505</v>
      </c>
      <c r="Z343" s="7" t="s">
        <v>556</v>
      </c>
      <c r="AA343" s="7" t="s">
        <v>776</v>
      </c>
      <c r="AB343" s="6">
        <v>61.120613098144531</v>
      </c>
      <c r="AC343" s="6">
        <v>0.85460811779993207</v>
      </c>
      <c r="AD343" s="6">
        <v>36.185568803647961</v>
      </c>
      <c r="AE343" s="6">
        <v>870</v>
      </c>
      <c r="AF343" s="6">
        <v>158</v>
      </c>
    </row>
    <row r="344" spans="1:32" s="4" customFormat="1" ht="12.75" x14ac:dyDescent="0.2">
      <c r="A344" s="7" t="s">
        <v>1183</v>
      </c>
      <c r="B344" s="7" t="s">
        <v>1184</v>
      </c>
      <c r="C344" s="7" t="s">
        <v>1185</v>
      </c>
      <c r="D344" s="6">
        <v>-0.97041422128677413</v>
      </c>
      <c r="E344" s="6">
        <v>-0.89228802919387806</v>
      </c>
      <c r="F344" s="6">
        <v>-8.6130790412426009E-2</v>
      </c>
      <c r="G344" s="6">
        <v>0.10834036022424701</v>
      </c>
      <c r="H344" s="6">
        <v>-0.15049430727958701</v>
      </c>
      <c r="I344" s="6">
        <v>5.5882178246975008E-2</v>
      </c>
      <c r="J344" s="6">
        <v>1.099066376686096</v>
      </c>
      <c r="K344" s="6">
        <v>0.133336052298546</v>
      </c>
      <c r="L344" s="6">
        <v>-0.62273663282394409</v>
      </c>
      <c r="M344" s="6">
        <v>-0.85990083217620805</v>
      </c>
      <c r="N344" s="6">
        <v>2.4676074231669221</v>
      </c>
      <c r="O344" s="6">
        <v>2.3898660882725631</v>
      </c>
      <c r="P344" s="6">
        <v>1.220165170990972</v>
      </c>
      <c r="Q344" s="6">
        <v>1.080069112958542</v>
      </c>
      <c r="R344" s="6">
        <v>14.730927733866697</v>
      </c>
      <c r="S344" s="6">
        <v>7.8712563314903194</v>
      </c>
      <c r="T344" s="6">
        <v>13.633796691894531</v>
      </c>
      <c r="U344" s="6" t="str">
        <f>_xll.BDP($A344,"TRAILING_12M_R&amp;D_%_SALES",$A$1,$A$2)</f>
        <v>#N/A N/A</v>
      </c>
      <c r="V344" s="6">
        <v>40</v>
      </c>
      <c r="W344" s="6">
        <v>401010</v>
      </c>
      <c r="X344" s="6">
        <v>40101010</v>
      </c>
      <c r="Y344" s="7" t="s">
        <v>53</v>
      </c>
      <c r="Z344" s="7" t="s">
        <v>76</v>
      </c>
      <c r="AA344" s="7" t="s">
        <v>77</v>
      </c>
      <c r="AB344" s="6">
        <v>29.373302459716797</v>
      </c>
      <c r="AC344" s="6">
        <v>0.97631327099408005</v>
      </c>
      <c r="AD344" s="6">
        <v>-6.2316023884321332</v>
      </c>
      <c r="AE344" s="6">
        <v>6578</v>
      </c>
      <c r="AF344" s="6">
        <v>5734</v>
      </c>
    </row>
    <row r="345" spans="1:32" s="4" customFormat="1" ht="12.75" x14ac:dyDescent="0.2">
      <c r="A345" s="7" t="s">
        <v>1186</v>
      </c>
      <c r="B345" s="7" t="s">
        <v>1187</v>
      </c>
      <c r="C345" s="7" t="s">
        <v>1188</v>
      </c>
      <c r="D345" s="6">
        <v>-0.97041422128677413</v>
      </c>
      <c r="E345" s="6">
        <v>-0.89228802919387806</v>
      </c>
      <c r="F345" s="6">
        <v>-8.6130790412426009E-2</v>
      </c>
      <c r="G345" s="6">
        <v>0.10834036022424701</v>
      </c>
      <c r="H345" s="6">
        <v>-0.15049430727958701</v>
      </c>
      <c r="I345" s="6">
        <v>5.5882178246975008E-2</v>
      </c>
      <c r="J345" s="6">
        <v>1.099066376686096</v>
      </c>
      <c r="K345" s="6">
        <v>0.133336052298546</v>
      </c>
      <c r="L345" s="6">
        <v>-0.62273663282394409</v>
      </c>
      <c r="M345" s="6">
        <v>-0.85990083217620805</v>
      </c>
      <c r="N345" s="6">
        <v>2.4676074231669221</v>
      </c>
      <c r="O345" s="6"/>
      <c r="P345" s="6">
        <v>1.220165170990972</v>
      </c>
      <c r="Q345" s="6"/>
      <c r="R345" s="6">
        <v>14.730927733866697</v>
      </c>
      <c r="S345" s="6"/>
      <c r="T345" s="6">
        <v>13.633796691894531</v>
      </c>
      <c r="U345" s="6" t="str">
        <f>_xll.BDP($A345,"TRAILING_12M_R&amp;D_%_SALES",$A$1,$A$2)</f>
        <v>#N/A N/A</v>
      </c>
      <c r="V345" s="6">
        <v>40</v>
      </c>
      <c r="W345" s="6">
        <v>401010</v>
      </c>
      <c r="X345" s="6">
        <v>40101010</v>
      </c>
      <c r="Y345" s="7" t="s">
        <v>53</v>
      </c>
      <c r="Z345" s="7" t="s">
        <v>76</v>
      </c>
      <c r="AA345" s="7" t="s">
        <v>77</v>
      </c>
      <c r="AB345" s="6">
        <v>29.373302459716797</v>
      </c>
      <c r="AC345" s="6">
        <v>0.57399953450006203</v>
      </c>
      <c r="AD345" s="6">
        <v>-8.411292231173551</v>
      </c>
      <c r="AE345" s="6">
        <v>6578</v>
      </c>
      <c r="AF345" s="6">
        <v>5734</v>
      </c>
    </row>
    <row r="346" spans="1:32" s="4" customFormat="1" ht="12.75" x14ac:dyDescent="0.2">
      <c r="A346" s="7" t="s">
        <v>1189</v>
      </c>
      <c r="B346" s="7" t="s">
        <v>1190</v>
      </c>
      <c r="C346" s="7" t="s">
        <v>1191</v>
      </c>
      <c r="D346" s="6">
        <v>-0.32853597402572604</v>
      </c>
      <c r="E346" s="6">
        <v>-0.17473447322845501</v>
      </c>
      <c r="F346" s="6">
        <v>0.651295065879822</v>
      </c>
      <c r="G346" s="6">
        <v>1.122924208641052</v>
      </c>
      <c r="H346" s="6">
        <v>-0.24773703515529602</v>
      </c>
      <c r="I346" s="6">
        <v>0.58616012334823608</v>
      </c>
      <c r="J346" s="6">
        <v>0.36793673038482705</v>
      </c>
      <c r="K346" s="6">
        <v>-0.60282742977142301</v>
      </c>
      <c r="L346" s="6">
        <v>-4.8907291144133003E-2</v>
      </c>
      <c r="M346" s="6">
        <v>9.1461196541786013E-2</v>
      </c>
      <c r="N346" s="6">
        <v>2.3844691427201639</v>
      </c>
      <c r="O346" s="6">
        <v>2.4358820877525171</v>
      </c>
      <c r="P346" s="6">
        <v>3.6312692108041271</v>
      </c>
      <c r="Q346" s="6">
        <v>3.36042008574581</v>
      </c>
      <c r="R346" s="6">
        <v>13.844673057618415</v>
      </c>
      <c r="S346" s="6">
        <v>22.324355964855641</v>
      </c>
      <c r="T346" s="6">
        <v>27.39251708984375</v>
      </c>
      <c r="U346" s="6" t="str">
        <f>_xll.BDP($A346,"TRAILING_12M_R&amp;D_%_SALES",$A$1,$A$2)</f>
        <v>#N/A N/A</v>
      </c>
      <c r="V346" s="6">
        <v>15</v>
      </c>
      <c r="W346" s="6">
        <v>151040</v>
      </c>
      <c r="X346" s="6">
        <v>15104025</v>
      </c>
      <c r="Y346" s="7" t="s">
        <v>38</v>
      </c>
      <c r="Z346" s="7" t="s">
        <v>71</v>
      </c>
      <c r="AA346" s="7" t="s">
        <v>1192</v>
      </c>
      <c r="AB346" s="6">
        <v>75.223823547363281</v>
      </c>
      <c r="AC346" s="6">
        <v>1.248952118003543</v>
      </c>
      <c r="AD346" s="6">
        <v>-7.0891681605441006</v>
      </c>
      <c r="AE346" s="6">
        <v>24700</v>
      </c>
      <c r="AF346" s="6">
        <v>25200</v>
      </c>
    </row>
    <row r="347" spans="1:32" s="4" customFormat="1" ht="12.75" x14ac:dyDescent="0.2">
      <c r="A347" s="7" t="s">
        <v>1193</v>
      </c>
      <c r="B347" s="7" t="s">
        <v>1194</v>
      </c>
      <c r="C347" s="7" t="s">
        <v>1195</v>
      </c>
      <c r="D347" s="6">
        <v>4.5056242495775001E-2</v>
      </c>
      <c r="E347" s="6">
        <v>-0.82936590909957908</v>
      </c>
      <c r="F347" s="6">
        <v>0.192162230610847</v>
      </c>
      <c r="G347" s="6">
        <v>0.63474243879318204</v>
      </c>
      <c r="H347" s="6">
        <v>0.97032004594802912</v>
      </c>
      <c r="I347" s="6">
        <v>-0.44578006863594105</v>
      </c>
      <c r="J347" s="6">
        <v>0.8024959564208981</v>
      </c>
      <c r="K347" s="6">
        <v>-0.17603653669357303</v>
      </c>
      <c r="L347" s="6">
        <v>0.47220152616500904</v>
      </c>
      <c r="M347" s="6">
        <v>-0.35826498270034801</v>
      </c>
      <c r="N347" s="6">
        <v>0.47681150574524006</v>
      </c>
      <c r="O347" s="6">
        <v>0.47267897285146704</v>
      </c>
      <c r="P347" s="6">
        <v>1.812779812324814</v>
      </c>
      <c r="Q347" s="6">
        <v>1.5599120982609169</v>
      </c>
      <c r="R347" s="6">
        <v>9.5101704799134357</v>
      </c>
      <c r="S347" s="6">
        <v>11.234007856120591</v>
      </c>
      <c r="T347" s="6">
        <v>13.588829040527344</v>
      </c>
      <c r="U347" s="6" t="str">
        <f>_xll.BDP($A347,"TRAILING_12M_R&amp;D_%_SALES",$A$1,$A$2)</f>
        <v>#N/A N/A</v>
      </c>
      <c r="V347" s="6">
        <v>20</v>
      </c>
      <c r="W347" s="6">
        <v>203010</v>
      </c>
      <c r="X347" s="6">
        <v>20301010</v>
      </c>
      <c r="Y347" s="7" t="s">
        <v>43</v>
      </c>
      <c r="Z347" s="7" t="s">
        <v>949</v>
      </c>
      <c r="AA347" s="7" t="s">
        <v>949</v>
      </c>
      <c r="AB347" s="6">
        <v>64.279251098632813</v>
      </c>
      <c r="AC347" s="6">
        <v>1.0014121717263449</v>
      </c>
      <c r="AD347" s="6">
        <v>-31.641880390521983</v>
      </c>
      <c r="AE347" s="6">
        <v>345000</v>
      </c>
      <c r="AF347" s="6">
        <v>343000</v>
      </c>
    </row>
    <row r="348" spans="1:32" s="4" customFormat="1" ht="12.75" x14ac:dyDescent="0.2">
      <c r="A348" s="7" t="s">
        <v>1196</v>
      </c>
      <c r="B348" s="7" t="s">
        <v>1197</v>
      </c>
      <c r="C348" s="7" t="s">
        <v>1198</v>
      </c>
      <c r="D348" s="6">
        <v>-0.75663852691650402</v>
      </c>
      <c r="E348" s="6">
        <v>-0.7813862562179571</v>
      </c>
      <c r="F348" s="6">
        <v>-0.392336636781693</v>
      </c>
      <c r="G348" s="6">
        <v>-3.7949625402689001E-2</v>
      </c>
      <c r="H348" s="6">
        <v>1.1919230222702031</v>
      </c>
      <c r="I348" s="6">
        <v>0.48011198639869701</v>
      </c>
      <c r="J348" s="6">
        <v>0.14668396115303001</v>
      </c>
      <c r="K348" s="6">
        <v>-0.68973892927169811</v>
      </c>
      <c r="L348" s="6">
        <v>0.98150914907455411</v>
      </c>
      <c r="M348" s="6">
        <v>-0.78694295883178711</v>
      </c>
      <c r="N348" s="6">
        <v>1.987560975361734</v>
      </c>
      <c r="O348" s="6">
        <v>1.9535483427602871</v>
      </c>
      <c r="P348" s="6">
        <v>2.2256661621915761</v>
      </c>
      <c r="Q348" s="6">
        <v>2.1940823619423759</v>
      </c>
      <c r="R348" s="6">
        <v>16.938152127835508</v>
      </c>
      <c r="S348" s="6">
        <v>16.849610736953114</v>
      </c>
      <c r="T348" s="6">
        <v>13.54297924041748</v>
      </c>
      <c r="U348" s="6" t="str">
        <f>_xll.BDP($A348,"TRAILING_12M_R&amp;D_%_SALES",$A$1,$A$2)</f>
        <v>#N/A N/A</v>
      </c>
      <c r="V348" s="6">
        <v>55</v>
      </c>
      <c r="W348" s="6">
        <v>551010</v>
      </c>
      <c r="X348" s="6">
        <v>55101010</v>
      </c>
      <c r="Y348" s="7" t="s">
        <v>181</v>
      </c>
      <c r="Z348" s="7" t="s">
        <v>186</v>
      </c>
      <c r="AA348" s="7" t="s">
        <v>186</v>
      </c>
      <c r="AB348" s="6">
        <v>66.773963928222656</v>
      </c>
      <c r="AC348" s="6">
        <v>0.66036017825418203</v>
      </c>
      <c r="AD348" s="6">
        <v>5.411517249968667</v>
      </c>
      <c r="AE348" s="6">
        <v>12395</v>
      </c>
      <c r="AF348" s="6">
        <v>15707</v>
      </c>
    </row>
    <row r="349" spans="1:32" s="4" customFormat="1" ht="12.75" x14ac:dyDescent="0.2">
      <c r="A349" s="7" t="s">
        <v>1199</v>
      </c>
      <c r="B349" s="7" t="s">
        <v>1200</v>
      </c>
      <c r="C349" s="7" t="s">
        <v>1201</v>
      </c>
      <c r="D349" s="6">
        <v>-5.2760809659958004E-2</v>
      </c>
      <c r="E349" s="6">
        <v>-3.0002050399780269</v>
      </c>
      <c r="F349" s="6">
        <v>-0.33873793482780501</v>
      </c>
      <c r="G349" s="6">
        <v>3.000037670135498</v>
      </c>
      <c r="H349" s="6">
        <v>4.8723880201578001E-2</v>
      </c>
      <c r="I349" s="6">
        <v>3.0001323223114009</v>
      </c>
      <c r="J349" s="6">
        <v>-3.0000078678131099</v>
      </c>
      <c r="K349" s="6">
        <v>2.684235572814941</v>
      </c>
      <c r="L349" s="6">
        <v>-1.077917098999023</v>
      </c>
      <c r="M349" s="6">
        <v>3.000092744827271</v>
      </c>
      <c r="N349" s="6">
        <v>6.0876623400000001E-7</v>
      </c>
      <c r="O349" s="6"/>
      <c r="P349" s="6"/>
      <c r="Q349" s="6"/>
      <c r="R349" s="6"/>
      <c r="S349" s="6"/>
      <c r="T349" s="6"/>
      <c r="U349" s="6" t="str">
        <f>_xll.BDP($A349,"TRAILING_12M_R&amp;D_%_SALES",$A$1,$A$2)</f>
        <v>#N/A N/A</v>
      </c>
      <c r="V349" s="6"/>
      <c r="W349" s="6"/>
      <c r="X349" s="6"/>
      <c r="Y349" s="7" t="s">
        <v>1202</v>
      </c>
      <c r="Z349" s="7" t="s">
        <v>1202</v>
      </c>
      <c r="AA349" s="7" t="s">
        <v>1202</v>
      </c>
      <c r="AB349" s="6"/>
      <c r="AC349" s="6">
        <v>1.161226738709721</v>
      </c>
      <c r="AD349" s="6">
        <v>-93.927125670175172</v>
      </c>
      <c r="AE349" s="6">
        <v>5</v>
      </c>
      <c r="AF349" s="6"/>
    </row>
    <row r="350" spans="1:32" s="4" customFormat="1" ht="12.75" x14ac:dyDescent="0.2">
      <c r="A350" s="7" t="s">
        <v>1203</v>
      </c>
      <c r="B350" s="7" t="s">
        <v>1204</v>
      </c>
      <c r="C350" s="7" t="s">
        <v>1205</v>
      </c>
      <c r="D350" s="6">
        <v>-0.94277733564376809</v>
      </c>
      <c r="E350" s="6">
        <v>-0.8177771568298341</v>
      </c>
      <c r="F350" s="6">
        <v>-1.4523646831512451</v>
      </c>
      <c r="G350" s="6">
        <v>-0.98475939035415605</v>
      </c>
      <c r="H350" s="6">
        <v>-0.27497044205665599</v>
      </c>
      <c r="I350" s="6">
        <v>0.22606053948402402</v>
      </c>
      <c r="J350" s="6">
        <v>0.44531252980232205</v>
      </c>
      <c r="K350" s="6">
        <v>-0.53578352928161599</v>
      </c>
      <c r="L350" s="6">
        <v>2.2498898506164551</v>
      </c>
      <c r="M350" s="6">
        <v>-0.76344227790832508</v>
      </c>
      <c r="N350" s="6">
        <v>3.9961963352005458</v>
      </c>
      <c r="O350" s="6"/>
      <c r="P350" s="6">
        <v>1.6117560381258731</v>
      </c>
      <c r="Q350" s="6"/>
      <c r="R350" s="6">
        <v>17.929182682802075</v>
      </c>
      <c r="S350" s="6"/>
      <c r="T350" s="6">
        <v>8.9204330444335938</v>
      </c>
      <c r="U350" s="6" t="str">
        <f>_xll.BDP($A350,"TRAILING_12M_R&amp;D_%_SALES",$A$1,$A$2)</f>
        <v>#N/A N/A</v>
      </c>
      <c r="V350" s="6">
        <v>40</v>
      </c>
      <c r="W350" s="6">
        <v>401010</v>
      </c>
      <c r="X350" s="6">
        <v>40101010</v>
      </c>
      <c r="Y350" s="7" t="s">
        <v>53</v>
      </c>
      <c r="Z350" s="7" t="s">
        <v>76</v>
      </c>
      <c r="AA350" s="7" t="s">
        <v>77</v>
      </c>
      <c r="AB350" s="6">
        <v>74.680618286132813</v>
      </c>
      <c r="AC350" s="6"/>
      <c r="AD350" s="6"/>
      <c r="AE350" s="6">
        <v>9888</v>
      </c>
      <c r="AF350" s="6">
        <v>9108</v>
      </c>
    </row>
    <row r="351" spans="1:32" s="4" customFormat="1" ht="12.75" x14ac:dyDescent="0.2">
      <c r="A351" s="7" t="s">
        <v>1206</v>
      </c>
      <c r="B351" s="7" t="s">
        <v>1207</v>
      </c>
      <c r="C351" s="7" t="s">
        <v>1208</v>
      </c>
      <c r="D351" s="6">
        <v>-0.22454158961772902</v>
      </c>
      <c r="E351" s="6">
        <v>-0.19275417923927302</v>
      </c>
      <c r="F351" s="6">
        <v>-1.1843104362487791</v>
      </c>
      <c r="G351" s="6">
        <v>-0.162750914692879</v>
      </c>
      <c r="H351" s="6">
        <v>9.5297671854496002E-2</v>
      </c>
      <c r="I351" s="6">
        <v>0.17741928994655601</v>
      </c>
      <c r="J351" s="6">
        <v>8.7548933923244004E-2</v>
      </c>
      <c r="K351" s="6">
        <v>3.7767603993416006E-2</v>
      </c>
      <c r="L351" s="6">
        <v>-0.81727248430252109</v>
      </c>
      <c r="M351" s="6">
        <v>-0.73644787073135409</v>
      </c>
      <c r="N351" s="6">
        <v>3.78095894607078</v>
      </c>
      <c r="O351" s="6">
        <v>3.5648216650964302</v>
      </c>
      <c r="P351" s="6">
        <v>2.1196505310707852</v>
      </c>
      <c r="Q351" s="6">
        <v>1.844421430910864</v>
      </c>
      <c r="R351" s="6">
        <v>27.298612058491464</v>
      </c>
      <c r="S351" s="6">
        <v>13.831640437904987</v>
      </c>
      <c r="T351" s="6">
        <v>6.7213587760925293</v>
      </c>
      <c r="U351" s="6">
        <f>_xll.BDP($A351,"TRAILING_12M_R&amp;D_%_SALES",$A$1,$A$2)</f>
        <v>0</v>
      </c>
      <c r="V351" s="6">
        <v>40</v>
      </c>
      <c r="W351" s="6">
        <v>402010</v>
      </c>
      <c r="X351" s="6">
        <v>40201060</v>
      </c>
      <c r="Y351" s="7" t="s">
        <v>53</v>
      </c>
      <c r="Z351" s="7" t="s">
        <v>344</v>
      </c>
      <c r="AA351" s="7" t="s">
        <v>579</v>
      </c>
      <c r="AB351" s="6">
        <v>44.140430450439453</v>
      </c>
      <c r="AC351" s="6">
        <v>0.96529026550801311</v>
      </c>
      <c r="AD351" s="6">
        <v>-3.3008008601682741</v>
      </c>
      <c r="AE351" s="6">
        <v>44000</v>
      </c>
      <c r="AF351" s="6">
        <v>23000</v>
      </c>
    </row>
    <row r="352" spans="1:32" s="4" customFormat="1" ht="12.75" x14ac:dyDescent="0.2">
      <c r="A352" s="7" t="s">
        <v>1209</v>
      </c>
      <c r="B352" s="7" t="s">
        <v>1210</v>
      </c>
      <c r="C352" s="7" t="s">
        <v>1211</v>
      </c>
      <c r="D352" s="6">
        <v>-0.40456229448318504</v>
      </c>
      <c r="E352" s="6">
        <v>-0.66747128963470503</v>
      </c>
      <c r="F352" s="6">
        <v>0.48857477307319602</v>
      </c>
      <c r="G352" s="6">
        <v>0.14987201988697102</v>
      </c>
      <c r="H352" s="6">
        <v>-8.9721038937569011E-2</v>
      </c>
      <c r="I352" s="6">
        <v>-0.63004243373870805</v>
      </c>
      <c r="J352" s="6">
        <v>0.64469641447067305</v>
      </c>
      <c r="K352" s="6">
        <v>-0.39963310956955</v>
      </c>
      <c r="L352" s="6">
        <v>0.553092181682587</v>
      </c>
      <c r="M352" s="6">
        <v>-0.83374345302581809</v>
      </c>
      <c r="N352" s="6">
        <v>2.8474964864000949</v>
      </c>
      <c r="O352" s="6">
        <v>2.6733780700093179</v>
      </c>
      <c r="P352" s="6">
        <v>0.89512660578530612</v>
      </c>
      <c r="Q352" s="6">
        <v>0.89709500081180604</v>
      </c>
      <c r="R352" s="6">
        <v>20.701539116899472</v>
      </c>
      <c r="S352" s="6">
        <v>10.157262854751512</v>
      </c>
      <c r="T352" s="6">
        <v>1.9992860555648799</v>
      </c>
      <c r="U352" s="6" t="str">
        <f>_xll.BDP($A352,"TRAILING_12M_R&amp;D_%_SALES",$A$1,$A$2)</f>
        <v>#N/A N/A</v>
      </c>
      <c r="V352" s="6">
        <v>40</v>
      </c>
      <c r="W352" s="6">
        <v>402010</v>
      </c>
      <c r="X352" s="6">
        <v>40201060</v>
      </c>
      <c r="Y352" s="7" t="s">
        <v>53</v>
      </c>
      <c r="Z352" s="7" t="s">
        <v>344</v>
      </c>
      <c r="AA352" s="7" t="s">
        <v>579</v>
      </c>
      <c r="AB352" s="6">
        <v>56.1915283203125</v>
      </c>
      <c r="AC352" s="6">
        <v>1.054998854793479</v>
      </c>
      <c r="AD352" s="6">
        <v>-36.936119530161335</v>
      </c>
      <c r="AE352" s="6">
        <v>65000</v>
      </c>
      <c r="AF352" s="6">
        <v>55000</v>
      </c>
    </row>
    <row r="353" spans="1:32" s="4" customFormat="1" ht="12.75" x14ac:dyDescent="0.2">
      <c r="A353" s="7" t="s">
        <v>1212</v>
      </c>
      <c r="B353" s="7" t="s">
        <v>1213</v>
      </c>
      <c r="C353" s="7" t="s">
        <v>1214</v>
      </c>
      <c r="D353" s="6">
        <v>-0.42888560891151406</v>
      </c>
      <c r="E353" s="6">
        <v>-0.80662828683853105</v>
      </c>
      <c r="F353" s="6">
        <v>0.12897868454456302</v>
      </c>
      <c r="G353" s="6">
        <v>0.11874055862426801</v>
      </c>
      <c r="H353" s="6">
        <v>-4.7522116452456006E-2</v>
      </c>
      <c r="I353" s="6">
        <v>-0.48060968518257102</v>
      </c>
      <c r="J353" s="6">
        <v>1.232356905937195</v>
      </c>
      <c r="K353" s="6">
        <v>-0.42434555292129505</v>
      </c>
      <c r="L353" s="6">
        <v>1.159649610519409</v>
      </c>
      <c r="M353" s="6">
        <v>-0.98947101831436213</v>
      </c>
      <c r="N353" s="6">
        <v>2.617941176683205</v>
      </c>
      <c r="O353" s="6">
        <v>2.4082445593894599</v>
      </c>
      <c r="P353" s="6">
        <v>1.5402823295929782</v>
      </c>
      <c r="Q353" s="6">
        <v>1.324347754322851</v>
      </c>
      <c r="R353" s="6">
        <v>9.8342245185837225</v>
      </c>
      <c r="S353" s="6">
        <v>8.3175401622686689</v>
      </c>
      <c r="T353" s="6">
        <v>12.892542839050293</v>
      </c>
      <c r="U353" s="6" t="str">
        <f>_xll.BDP($A353,"TRAILING_12M_R&amp;D_%_SALES",$A$1,$A$2)</f>
        <v>#N/A N/A</v>
      </c>
      <c r="V353" s="6">
        <v>40</v>
      </c>
      <c r="W353" s="6">
        <v>401010</v>
      </c>
      <c r="X353" s="6">
        <v>40101010</v>
      </c>
      <c r="Y353" s="7" t="s">
        <v>53</v>
      </c>
      <c r="Z353" s="7" t="s">
        <v>76</v>
      </c>
      <c r="AA353" s="7" t="s">
        <v>77</v>
      </c>
      <c r="AB353" s="6">
        <v>60.175033569335938</v>
      </c>
      <c r="AC353" s="6">
        <v>1.0491820857272161</v>
      </c>
      <c r="AD353" s="6">
        <v>-22.009947354337612</v>
      </c>
      <c r="AE353" s="6">
        <v>19112</v>
      </c>
      <c r="AF353" s="6">
        <v>17844</v>
      </c>
    </row>
    <row r="354" spans="1:32" s="4" customFormat="1" ht="12.75" x14ac:dyDescent="0.2">
      <c r="A354" s="7" t="s">
        <v>1215</v>
      </c>
      <c r="B354" s="7" t="s">
        <v>1216</v>
      </c>
      <c r="C354" s="7" t="s">
        <v>1217</v>
      </c>
      <c r="D354" s="6">
        <v>-0.71980583667755105</v>
      </c>
      <c r="E354" s="6">
        <v>-0.48529216647148105</v>
      </c>
      <c r="F354" s="6">
        <v>0.131721571087837</v>
      </c>
      <c r="G354" s="6">
        <v>-0.70664232969284102</v>
      </c>
      <c r="H354" s="6">
        <v>-1.214449524879456</v>
      </c>
      <c r="I354" s="6">
        <v>0.14729499816894501</v>
      </c>
      <c r="J354" s="6">
        <v>0.34918326139450101</v>
      </c>
      <c r="K354" s="6">
        <v>-1.3134350776672361</v>
      </c>
      <c r="L354" s="6">
        <v>-0.157279923558235</v>
      </c>
      <c r="M354" s="6">
        <v>-0.40362936258316001</v>
      </c>
      <c r="N354" s="6">
        <v>0.95483096612334994</v>
      </c>
      <c r="O354" s="6">
        <v>0.97565080009776706</v>
      </c>
      <c r="P354" s="6">
        <v>2.0985417976963898</v>
      </c>
      <c r="Q354" s="6">
        <v>1.8917508464496611</v>
      </c>
      <c r="R354" s="6">
        <v>17.185030464359357</v>
      </c>
      <c r="S354" s="6">
        <v>12.838388871617191</v>
      </c>
      <c r="T354" s="6">
        <v>12.920653343200684</v>
      </c>
      <c r="U354" s="6">
        <f>_xll.BDP($A354,"TRAILING_12M_R&amp;D_%_SALES",$A$1,$A$2)</f>
        <v>2.934639331107225</v>
      </c>
      <c r="V354" s="6">
        <v>45</v>
      </c>
      <c r="W354" s="6">
        <v>451020</v>
      </c>
      <c r="X354" s="6">
        <v>45102010</v>
      </c>
      <c r="Y354" s="7" t="s">
        <v>66</v>
      </c>
      <c r="Z354" s="7" t="s">
        <v>138</v>
      </c>
      <c r="AA354" s="7" t="s">
        <v>139</v>
      </c>
      <c r="AB354" s="6">
        <v>63.896991729736328</v>
      </c>
      <c r="AC354" s="6">
        <v>0.58125099695381</v>
      </c>
      <c r="AD354" s="6">
        <v>-21.251086616609172</v>
      </c>
      <c r="AE354" s="6">
        <v>124216</v>
      </c>
      <c r="AF354" s="6">
        <v>155069</v>
      </c>
    </row>
    <row r="355" spans="1:32" s="4" customFormat="1" ht="12.75" x14ac:dyDescent="0.2">
      <c r="A355" s="7" t="s">
        <v>1218</v>
      </c>
      <c r="B355" s="7" t="s">
        <v>1219</v>
      </c>
      <c r="C355" s="7" t="s">
        <v>1220</v>
      </c>
      <c r="D355" s="6">
        <v>-0.71980583667755105</v>
      </c>
      <c r="E355" s="6">
        <v>-0.48529216647148105</v>
      </c>
      <c r="F355" s="6">
        <v>0.131721571087837</v>
      </c>
      <c r="G355" s="6">
        <v>-0.70664232969284102</v>
      </c>
      <c r="H355" s="6">
        <v>-1.214449524879456</v>
      </c>
      <c r="I355" s="6">
        <v>0.14729499816894501</v>
      </c>
      <c r="J355" s="6">
        <v>0.34918326139450101</v>
      </c>
      <c r="K355" s="6">
        <v>-1.3134350776672361</v>
      </c>
      <c r="L355" s="6">
        <v>-0.157279923558235</v>
      </c>
      <c r="M355" s="6">
        <v>-0.40362936258316001</v>
      </c>
      <c r="N355" s="6">
        <v>0.95483096612334994</v>
      </c>
      <c r="O355" s="6"/>
      <c r="P355" s="6">
        <v>2.0985417976963898</v>
      </c>
      <c r="Q355" s="6"/>
      <c r="R355" s="6">
        <v>17.185030464359357</v>
      </c>
      <c r="S355" s="6"/>
      <c r="T355" s="6">
        <v>12.920653343200684</v>
      </c>
      <c r="U355" s="6">
        <f>_xll.BDP($A355,"TRAILING_12M_R&amp;D_%_SALES",$A$1,$A$2)</f>
        <v>2.934639331107225</v>
      </c>
      <c r="V355" s="6">
        <v>45</v>
      </c>
      <c r="W355" s="6">
        <v>451020</v>
      </c>
      <c r="X355" s="6">
        <v>45102010</v>
      </c>
      <c r="Y355" s="7" t="s">
        <v>66</v>
      </c>
      <c r="Z355" s="7" t="s">
        <v>138</v>
      </c>
      <c r="AA355" s="7" t="s">
        <v>139</v>
      </c>
      <c r="AB355" s="6">
        <v>63.896991729736328</v>
      </c>
      <c r="AC355" s="6">
        <v>0.76555912158387507</v>
      </c>
      <c r="AD355" s="6">
        <v>-21.653891041260319</v>
      </c>
      <c r="AE355" s="6">
        <v>124216</v>
      </c>
      <c r="AF355" s="6">
        <v>155069</v>
      </c>
    </row>
    <row r="356" spans="1:32" s="4" customFormat="1" ht="12.75" x14ac:dyDescent="0.2">
      <c r="A356" s="7" t="s">
        <v>1221</v>
      </c>
      <c r="B356" s="7" t="s">
        <v>1222</v>
      </c>
      <c r="C356" s="7" t="s">
        <v>1223</v>
      </c>
      <c r="D356" s="6">
        <v>-0.99801784753799405</v>
      </c>
      <c r="E356" s="6">
        <v>-0.83782899379730202</v>
      </c>
      <c r="F356" s="6">
        <v>0.88996338844299305</v>
      </c>
      <c r="G356" s="6">
        <v>-0.82871699333190907</v>
      </c>
      <c r="H356" s="6">
        <v>0.88058084249496504</v>
      </c>
      <c r="I356" s="6">
        <v>-1.2400990724563601</v>
      </c>
      <c r="J356" s="6">
        <v>1.489691376686096</v>
      </c>
      <c r="K356" s="6">
        <v>-0.82157438993454002</v>
      </c>
      <c r="L356" s="6">
        <v>1.4056658744812009</v>
      </c>
      <c r="M356" s="6">
        <v>-0.565870761871338</v>
      </c>
      <c r="N356" s="6">
        <v>0.47047413375248803</v>
      </c>
      <c r="O356" s="6">
        <v>0.42988064508209101</v>
      </c>
      <c r="P356" s="6">
        <v>0.59593368875346109</v>
      </c>
      <c r="Q356" s="6">
        <v>0.64239454092263804</v>
      </c>
      <c r="R356" s="6">
        <v>11.754599884484492</v>
      </c>
      <c r="S356" s="6">
        <v>10.706721603148909</v>
      </c>
      <c r="T356" s="6">
        <v>5.596123218536377</v>
      </c>
      <c r="U356" s="6">
        <f>_xll.BDP($A356,"TRAILING_12M_R&amp;D_%_SALES",$A$1,$A$2)</f>
        <v>0.94865454407041905</v>
      </c>
      <c r="V356" s="6">
        <v>35</v>
      </c>
      <c r="W356" s="6">
        <v>351020</v>
      </c>
      <c r="X356" s="6">
        <v>35102015</v>
      </c>
      <c r="Y356" s="7" t="s">
        <v>86</v>
      </c>
      <c r="Z356" s="7" t="s">
        <v>601</v>
      </c>
      <c r="AA356" s="7" t="s">
        <v>709</v>
      </c>
      <c r="AB356" s="6">
        <v>52.218086242675781</v>
      </c>
      <c r="AC356" s="6">
        <v>0.33720646053416203</v>
      </c>
      <c r="AD356" s="6">
        <v>-47.998314658615946</v>
      </c>
      <c r="AE356" s="6">
        <v>122909</v>
      </c>
      <c r="AF356" s="6">
        <v>109319</v>
      </c>
    </row>
    <row r="357" spans="1:32" s="4" customFormat="1" ht="12.75" x14ac:dyDescent="0.2">
      <c r="A357" s="7" t="s">
        <v>1224</v>
      </c>
      <c r="B357" s="7" t="s">
        <v>1225</v>
      </c>
      <c r="C357" s="7" t="s">
        <v>1226</v>
      </c>
      <c r="D357" s="6">
        <v>-0.99801784753799405</v>
      </c>
      <c r="E357" s="6">
        <v>-0.83782899379730202</v>
      </c>
      <c r="F357" s="6">
        <v>0.88996338844299305</v>
      </c>
      <c r="G357" s="6">
        <v>-0.82871699333190907</v>
      </c>
      <c r="H357" s="6">
        <v>0.88058084249496504</v>
      </c>
      <c r="I357" s="6">
        <v>-1.2400990724563601</v>
      </c>
      <c r="J357" s="6">
        <v>1.489691376686096</v>
      </c>
      <c r="K357" s="6">
        <v>-0.82157438993454002</v>
      </c>
      <c r="L357" s="6">
        <v>1.4056658744812009</v>
      </c>
      <c r="M357" s="6">
        <v>-0.565870761871338</v>
      </c>
      <c r="N357" s="6">
        <v>0.47047413375248803</v>
      </c>
      <c r="O357" s="6">
        <v>0.44094472918178301</v>
      </c>
      <c r="P357" s="6">
        <v>0.59593368875346109</v>
      </c>
      <c r="Q357" s="6">
        <v>0.65714278530711101</v>
      </c>
      <c r="R357" s="6">
        <v>11.754599884484492</v>
      </c>
      <c r="S357" s="6">
        <v>10.952552359013893</v>
      </c>
      <c r="T357" s="6">
        <v>5.596123218536377</v>
      </c>
      <c r="U357" s="6">
        <f>_xll.BDP($A357,"TRAILING_12M_R&amp;D_%_SALES",$A$1,$A$2)</f>
        <v>0.94865454407041905</v>
      </c>
      <c r="V357" s="6">
        <v>35</v>
      </c>
      <c r="W357" s="6">
        <v>351020</v>
      </c>
      <c r="X357" s="6">
        <v>35102015</v>
      </c>
      <c r="Y357" s="7" t="s">
        <v>86</v>
      </c>
      <c r="Z357" s="7" t="s">
        <v>601</v>
      </c>
      <c r="AA357" s="7" t="s">
        <v>709</v>
      </c>
      <c r="AB357" s="6">
        <v>52.218086242675781</v>
      </c>
      <c r="AC357" s="6">
        <v>0.664601240662133</v>
      </c>
      <c r="AD357" s="6">
        <v>-48.216709599455697</v>
      </c>
      <c r="AE357" s="6">
        <v>122909</v>
      </c>
      <c r="AF357" s="6">
        <v>109319</v>
      </c>
    </row>
    <row r="358" spans="1:32" s="4" customFormat="1" ht="12.75" x14ac:dyDescent="0.2">
      <c r="A358" s="7" t="s">
        <v>1227</v>
      </c>
      <c r="B358" s="7" t="s">
        <v>1228</v>
      </c>
      <c r="C358" s="7" t="s">
        <v>1229</v>
      </c>
      <c r="D358" s="6">
        <v>-0.180774256587029</v>
      </c>
      <c r="E358" s="6">
        <v>-0.48062545061111506</v>
      </c>
      <c r="F358" s="6">
        <v>-0.46001297235488903</v>
      </c>
      <c r="G358" s="6">
        <v>-0.74750846624374401</v>
      </c>
      <c r="H358" s="6">
        <v>1.2159320116043091</v>
      </c>
      <c r="I358" s="6">
        <v>0.46084639430046104</v>
      </c>
      <c r="J358" s="6">
        <v>2.3732833862304692</v>
      </c>
      <c r="K358" s="6">
        <v>-0.94249385595321711</v>
      </c>
      <c r="L358" s="6">
        <v>2.821846485137939</v>
      </c>
      <c r="M358" s="6">
        <v>-0.82642763853073109</v>
      </c>
      <c r="N358" s="6">
        <v>0.57399585727407409</v>
      </c>
      <c r="O358" s="6">
        <v>0.55528431442338899</v>
      </c>
      <c r="P358" s="6">
        <v>0.90509744472087206</v>
      </c>
      <c r="Q358" s="6">
        <v>0.71086888492218203</v>
      </c>
      <c r="R358" s="6">
        <v>6.1698562519667206</v>
      </c>
      <c r="S358" s="6">
        <v>7.8854708035226935</v>
      </c>
      <c r="T358" s="6">
        <v>15.466212272644043</v>
      </c>
      <c r="U358" s="6" t="str">
        <f>_xll.BDP($A358,"TRAILING_12M_R&amp;D_%_SALES",$A$1,$A$2)</f>
        <v>#N/A N/A</v>
      </c>
      <c r="V358" s="6">
        <v>50</v>
      </c>
      <c r="W358" s="6">
        <v>501010</v>
      </c>
      <c r="X358" s="6">
        <v>50101020</v>
      </c>
      <c r="Y358" s="7" t="s">
        <v>367</v>
      </c>
      <c r="Z358" s="7" t="s">
        <v>458</v>
      </c>
      <c r="AA358" s="7" t="s">
        <v>459</v>
      </c>
      <c r="AB358" s="6">
        <v>65.345535278320313</v>
      </c>
      <c r="AC358" s="6">
        <v>0.36458348868598001</v>
      </c>
      <c r="AD358" s="6">
        <v>1.3074509415905271</v>
      </c>
      <c r="AE358" s="6">
        <v>139698</v>
      </c>
      <c r="AF358" s="6">
        <v>141257</v>
      </c>
    </row>
    <row r="359" spans="1:32" s="4" customFormat="1" ht="12.75" x14ac:dyDescent="0.2">
      <c r="A359" s="7" t="s">
        <v>1230</v>
      </c>
      <c r="B359" s="7" t="s">
        <v>1210</v>
      </c>
      <c r="C359" s="7" t="s">
        <v>1231</v>
      </c>
      <c r="D359" s="6">
        <v>-0.91675364971160911</v>
      </c>
      <c r="E359" s="6">
        <v>-0.46169462800025901</v>
      </c>
      <c r="F359" s="6">
        <v>7.7070556581020008E-2</v>
      </c>
      <c r="G359" s="6">
        <v>-0.11222644895315201</v>
      </c>
      <c r="H359" s="6">
        <v>-0.48660695552825906</v>
      </c>
      <c r="I359" s="6">
        <v>-0.33197090029716503</v>
      </c>
      <c r="J359" s="6">
        <v>1.9932070970535281</v>
      </c>
      <c r="K359" s="6">
        <v>0.23764112591743503</v>
      </c>
      <c r="L359" s="6">
        <v>1.5561174154281621</v>
      </c>
      <c r="M359" s="6">
        <v>-0.54371488094329801</v>
      </c>
      <c r="N359" s="6">
        <v>0.7602262835320921</v>
      </c>
      <c r="O359" s="6">
        <v>0.88537363688093806</v>
      </c>
      <c r="P359" s="6">
        <v>1.7955542001411051</v>
      </c>
      <c r="Q359" s="6">
        <v>1.433702036046727</v>
      </c>
      <c r="R359" s="6">
        <v>6.312520965597038</v>
      </c>
      <c r="S359" s="6">
        <v>7.1814239489462341</v>
      </c>
      <c r="T359" s="6">
        <v>23.384738922119141</v>
      </c>
      <c r="U359" s="6" t="str">
        <f>_xll.BDP($A359,"TRAILING_12M_R&amp;D_%_SALES",$A$1,$A$2)</f>
        <v>#N/A N/A</v>
      </c>
      <c r="V359" s="6">
        <v>40</v>
      </c>
      <c r="W359" s="6">
        <v>403010</v>
      </c>
      <c r="X359" s="6">
        <v>40301040</v>
      </c>
      <c r="Y359" s="7" t="s">
        <v>53</v>
      </c>
      <c r="Z359" s="7" t="s">
        <v>54</v>
      </c>
      <c r="AA359" s="7" t="s">
        <v>125</v>
      </c>
      <c r="AB359" s="6">
        <v>39.975856781005859</v>
      </c>
      <c r="AC359" s="6">
        <v>0.95678965134356808</v>
      </c>
      <c r="AD359" s="6">
        <v>-21.375329816618173</v>
      </c>
      <c r="AE359" s="6"/>
      <c r="AF359" s="6">
        <v>55219</v>
      </c>
    </row>
    <row r="360" spans="1:32" s="4" customFormat="1" ht="12.75" x14ac:dyDescent="0.2">
      <c r="A360" s="7" t="s">
        <v>1232</v>
      </c>
      <c r="B360" s="7" t="s">
        <v>1233</v>
      </c>
      <c r="C360" s="7" t="s">
        <v>1234</v>
      </c>
      <c r="D360" s="6">
        <v>-0.18980707228183702</v>
      </c>
      <c r="E360" s="6">
        <v>-3.0002915859222412</v>
      </c>
      <c r="F360" s="6">
        <v>3.0400089919567004E-2</v>
      </c>
      <c r="G360" s="6">
        <v>3.0003430843353271</v>
      </c>
      <c r="H360" s="6">
        <v>0.68741756677627608</v>
      </c>
      <c r="I360" s="6">
        <v>0.179388508200645</v>
      </c>
      <c r="J360" s="6">
        <v>1.506426095962524</v>
      </c>
      <c r="K360" s="6">
        <v>7.8764170408249012E-2</v>
      </c>
      <c r="L360" s="6">
        <v>-0.81665444374084506</v>
      </c>
      <c r="M360" s="6">
        <v>3.000052928924561</v>
      </c>
      <c r="N360" s="6"/>
      <c r="O360" s="6"/>
      <c r="P360" s="6"/>
      <c r="Q360" s="6"/>
      <c r="R360" s="6"/>
      <c r="S360" s="6"/>
      <c r="T360" s="6"/>
      <c r="U360" s="6" t="str">
        <f>_xll.BDP($A360,"TRAILING_12M_R&amp;D_%_SALES",$A$1,$A$2)</f>
        <v>#N/A N/A</v>
      </c>
      <c r="V360" s="6">
        <v>10</v>
      </c>
      <c r="W360" s="6">
        <v>101020</v>
      </c>
      <c r="X360" s="6">
        <v>10102020</v>
      </c>
      <c r="Y360" s="7" t="s">
        <v>505</v>
      </c>
      <c r="Z360" s="7" t="s">
        <v>556</v>
      </c>
      <c r="AA360" s="7" t="s">
        <v>776</v>
      </c>
      <c r="AB360" s="6"/>
      <c r="AC360" s="6">
        <v>25.134547116442956</v>
      </c>
      <c r="AD360" s="6">
        <v>-98.999999977262632</v>
      </c>
      <c r="AE360" s="6"/>
      <c r="AF360" s="6"/>
    </row>
    <row r="361" spans="1:32" s="4" customFormat="1" ht="12.75" x14ac:dyDescent="0.2">
      <c r="A361" s="7" t="s">
        <v>1235</v>
      </c>
      <c r="B361" s="7" t="s">
        <v>1236</v>
      </c>
      <c r="C361" s="7" t="s">
        <v>1237</v>
      </c>
      <c r="D361" s="6">
        <v>-0.47680702805519104</v>
      </c>
      <c r="E361" s="6">
        <v>-3.0003259181976318</v>
      </c>
      <c r="F361" s="6">
        <v>1.354989767074585</v>
      </c>
      <c r="G361" s="6">
        <v>-0.86845099925994906</v>
      </c>
      <c r="H361" s="6">
        <v>0.13664808869361902</v>
      </c>
      <c r="I361" s="6">
        <v>-0.77689379453659102</v>
      </c>
      <c r="J361" s="6">
        <v>-1.8640010356903081</v>
      </c>
      <c r="K361" s="6">
        <v>2.00734543800354</v>
      </c>
      <c r="L361" s="6">
        <v>2.6827766895294189</v>
      </c>
      <c r="M361" s="6">
        <v>2.121269702911377</v>
      </c>
      <c r="N361" s="6">
        <v>0.10294567579227801</v>
      </c>
      <c r="O361" s="6">
        <v>1.5846377312708979</v>
      </c>
      <c r="P361" s="6">
        <v>2.134874009665114</v>
      </c>
      <c r="Q361" s="6">
        <v>1.3891393892094941</v>
      </c>
      <c r="R361" s="6"/>
      <c r="S361" s="6">
        <v>8.4606573290660503</v>
      </c>
      <c r="T361" s="6">
        <v>58.822238922119141</v>
      </c>
      <c r="U361" s="6" t="str">
        <f>_xll.BDP($A361,"TRAILING_12M_R&amp;D_%_SALES",$A$1,$A$2)</f>
        <v>#N/A N/A</v>
      </c>
      <c r="V361" s="6">
        <v>55</v>
      </c>
      <c r="W361" s="6">
        <v>551010</v>
      </c>
      <c r="X361" s="6">
        <v>55101010</v>
      </c>
      <c r="Y361" s="7" t="s">
        <v>181</v>
      </c>
      <c r="Z361" s="7" t="s">
        <v>186</v>
      </c>
      <c r="AA361" s="7" t="s">
        <v>186</v>
      </c>
      <c r="AB361" s="6">
        <v>72.155715942382813</v>
      </c>
      <c r="AC361" s="6">
        <v>0.29074825243739505</v>
      </c>
      <c r="AD361" s="6">
        <v>-43.359288401764729</v>
      </c>
      <c r="AE361" s="6">
        <v>19140</v>
      </c>
      <c r="AF361" s="6">
        <v>8108</v>
      </c>
    </row>
    <row r="362" spans="1:32" s="4" customFormat="1" ht="12.75" x14ac:dyDescent="0.2">
      <c r="A362" s="7" t="s">
        <v>1238</v>
      </c>
      <c r="B362" s="7" t="s">
        <v>1239</v>
      </c>
      <c r="C362" s="7" t="s">
        <v>1240</v>
      </c>
      <c r="D362" s="6">
        <v>-0.47680702805519104</v>
      </c>
      <c r="E362" s="6">
        <v>-3.0003259181976318</v>
      </c>
      <c r="F362" s="6">
        <v>1.354989767074585</v>
      </c>
      <c r="G362" s="6">
        <v>-0.86845099925994906</v>
      </c>
      <c r="H362" s="6">
        <v>0.13664808869361902</v>
      </c>
      <c r="I362" s="6">
        <v>-0.77689379453659102</v>
      </c>
      <c r="J362" s="6">
        <v>-1.8640010356903081</v>
      </c>
      <c r="K362" s="6">
        <v>2.00734543800354</v>
      </c>
      <c r="L362" s="6">
        <v>2.6827766895294189</v>
      </c>
      <c r="M362" s="6">
        <v>2.121269702911377</v>
      </c>
      <c r="N362" s="6">
        <v>0.10294567579227801</v>
      </c>
      <c r="O362" s="6">
        <v>1.537937052417834</v>
      </c>
      <c r="P362" s="6">
        <v>2.134874009665114</v>
      </c>
      <c r="Q362" s="6">
        <v>1.337878977127261</v>
      </c>
      <c r="R362" s="6"/>
      <c r="S362" s="6">
        <v>8.1484520755582626</v>
      </c>
      <c r="T362" s="6">
        <v>58.822238922119141</v>
      </c>
      <c r="U362" s="6" t="str">
        <f>_xll.BDP($A362,"TRAILING_12M_R&amp;D_%_SALES",$A$1,$A$2)</f>
        <v>#N/A N/A</v>
      </c>
      <c r="V362" s="6">
        <v>55</v>
      </c>
      <c r="W362" s="6">
        <v>551010</v>
      </c>
      <c r="X362" s="6">
        <v>55101010</v>
      </c>
      <c r="Y362" s="7" t="s">
        <v>181</v>
      </c>
      <c r="Z362" s="7" t="s">
        <v>186</v>
      </c>
      <c r="AA362" s="7" t="s">
        <v>186</v>
      </c>
      <c r="AB362" s="6">
        <v>72.155715942382813</v>
      </c>
      <c r="AC362" s="6">
        <v>0.89355183489709511</v>
      </c>
      <c r="AD362" s="6">
        <v>-44.301140717269661</v>
      </c>
      <c r="AE362" s="6">
        <v>19140</v>
      </c>
      <c r="AF362" s="6">
        <v>8108</v>
      </c>
    </row>
    <row r="363" spans="1:32" s="4" customFormat="1" ht="12.75" x14ac:dyDescent="0.2">
      <c r="A363" s="7" t="s">
        <v>1241</v>
      </c>
      <c r="B363" s="7" t="s">
        <v>1242</v>
      </c>
      <c r="C363" s="7" t="s">
        <v>1243</v>
      </c>
      <c r="D363" s="6">
        <v>-0.50920903682708707</v>
      </c>
      <c r="E363" s="6">
        <v>-0.85744345188140902</v>
      </c>
      <c r="F363" s="6">
        <v>0.25953757762908902</v>
      </c>
      <c r="G363" s="6">
        <v>-5.3419798612595007E-2</v>
      </c>
      <c r="H363" s="6">
        <v>0.150036811828613</v>
      </c>
      <c r="I363" s="6">
        <v>-1.1042653322219851</v>
      </c>
      <c r="J363" s="6">
        <v>0.21427413821220401</v>
      </c>
      <c r="K363" s="6">
        <v>-0.41938087344169606</v>
      </c>
      <c r="L363" s="6">
        <v>-0.37616604566574102</v>
      </c>
      <c r="M363" s="6">
        <v>-1.012475967407227</v>
      </c>
      <c r="N363" s="6">
        <v>3.541692520474109</v>
      </c>
      <c r="O363" s="6">
        <v>3.7220174568458688</v>
      </c>
      <c r="P363" s="6">
        <v>1.653131223287011</v>
      </c>
      <c r="Q363" s="6">
        <v>1.482398711776721</v>
      </c>
      <c r="R363" s="6">
        <v>14.528009280762767</v>
      </c>
      <c r="S363" s="6">
        <v>16.90556573844561</v>
      </c>
      <c r="T363" s="6">
        <v>12.052626609802246</v>
      </c>
      <c r="U363" s="6" t="str">
        <f>_xll.BDP($A363,"TRAILING_12M_R&amp;D_%_SALES",$A$1,$A$2)</f>
        <v>#N/A N/A</v>
      </c>
      <c r="V363" s="6">
        <v>40</v>
      </c>
      <c r="W363" s="6">
        <v>401010</v>
      </c>
      <c r="X363" s="6">
        <v>40101015</v>
      </c>
      <c r="Y363" s="7" t="s">
        <v>53</v>
      </c>
      <c r="Z363" s="7" t="s">
        <v>76</v>
      </c>
      <c r="AA363" s="7" t="s">
        <v>675</v>
      </c>
      <c r="AB363" s="6">
        <v>39.814907073974609</v>
      </c>
      <c r="AC363" s="6">
        <v>1.2076436930688781</v>
      </c>
      <c r="AD363" s="6">
        <v>-40.643772936573143</v>
      </c>
      <c r="AE363" s="6">
        <v>6295</v>
      </c>
      <c r="AF363" s="6">
        <v>3566</v>
      </c>
    </row>
    <row r="364" spans="1:32" s="4" customFormat="1" ht="12.75" x14ac:dyDescent="0.2">
      <c r="A364" s="7" t="s">
        <v>1244</v>
      </c>
      <c r="B364" s="7" t="s">
        <v>1245</v>
      </c>
      <c r="C364" s="7" t="s">
        <v>1246</v>
      </c>
      <c r="D364" s="6">
        <v>-0.52844530344009399</v>
      </c>
      <c r="E364" s="6">
        <v>-0.38487285375595104</v>
      </c>
      <c r="F364" s="6">
        <v>1.2475904226303101</v>
      </c>
      <c r="G364" s="6">
        <v>-0.19549989700317402</v>
      </c>
      <c r="H364" s="6">
        <v>-0.58697897195816007</v>
      </c>
      <c r="I364" s="6">
        <v>0.92068296670913707</v>
      </c>
      <c r="J364" s="6">
        <v>-0.29609897732734702</v>
      </c>
      <c r="K364" s="6">
        <v>-0.49297368526458701</v>
      </c>
      <c r="L364" s="6">
        <v>-0.41213333606720004</v>
      </c>
      <c r="M364" s="6">
        <v>-0.47348430752754206</v>
      </c>
      <c r="N364" s="6">
        <v>3.575523560507377</v>
      </c>
      <c r="O364" s="6">
        <v>2.980268855676278</v>
      </c>
      <c r="P364" s="6">
        <v>5.2696345885206783</v>
      </c>
      <c r="Q364" s="6">
        <v>4.4028638956941153</v>
      </c>
      <c r="R364" s="6">
        <v>30.100621793825503</v>
      </c>
      <c r="S364" s="6">
        <v>32.128839467266026</v>
      </c>
      <c r="T364" s="6">
        <v>20.412248611450195</v>
      </c>
      <c r="U364" s="6">
        <f>_xll.BDP($A364,"TRAILING_12M_R&amp;D_%_SALES",$A$1,$A$2)</f>
        <v>0</v>
      </c>
      <c r="V364" s="6">
        <v>25</v>
      </c>
      <c r="W364" s="6">
        <v>255040</v>
      </c>
      <c r="X364" s="6">
        <v>25504010</v>
      </c>
      <c r="Y364" s="7" t="s">
        <v>108</v>
      </c>
      <c r="Z364" s="7" t="s">
        <v>388</v>
      </c>
      <c r="AA364" s="7" t="s">
        <v>1247</v>
      </c>
      <c r="AB364" s="6">
        <v>50.799716949462891</v>
      </c>
      <c r="AC364" s="6">
        <v>0.34082942792154203</v>
      </c>
      <c r="AD364" s="6">
        <v>-2.443058091095696</v>
      </c>
      <c r="AE364" s="6">
        <v>57576</v>
      </c>
      <c r="AF364" s="6">
        <v>76143</v>
      </c>
    </row>
    <row r="365" spans="1:32" s="4" customFormat="1" ht="12.75" x14ac:dyDescent="0.2">
      <c r="A365" s="7" t="s">
        <v>1248</v>
      </c>
      <c r="B365" s="7" t="s">
        <v>1249</v>
      </c>
      <c r="C365" s="7" t="s">
        <v>1250</v>
      </c>
      <c r="D365" s="6">
        <v>-0.52844530344009399</v>
      </c>
      <c r="E365" s="6">
        <v>-0.38487285375595104</v>
      </c>
      <c r="F365" s="6">
        <v>1.2475904226303101</v>
      </c>
      <c r="G365" s="6">
        <v>-0.19549989700317402</v>
      </c>
      <c r="H365" s="6">
        <v>-0.58697897195816007</v>
      </c>
      <c r="I365" s="6">
        <v>0.92068296670913707</v>
      </c>
      <c r="J365" s="6">
        <v>-0.29609897732734702</v>
      </c>
      <c r="K365" s="6">
        <v>-0.49297368526458701</v>
      </c>
      <c r="L365" s="6">
        <v>-0.41213333606720004</v>
      </c>
      <c r="M365" s="6">
        <v>-0.47348430752754206</v>
      </c>
      <c r="N365" s="6">
        <v>3.575523560507377</v>
      </c>
      <c r="O365" s="6">
        <v>3.042026473386966</v>
      </c>
      <c r="P365" s="6">
        <v>5.2696345885206783</v>
      </c>
      <c r="Q365" s="6"/>
      <c r="R365" s="6">
        <v>30.100621793825503</v>
      </c>
      <c r="S365" s="6">
        <v>31.898939405500801</v>
      </c>
      <c r="T365" s="6">
        <v>20.412248611450195</v>
      </c>
      <c r="U365" s="6">
        <f>_xll.BDP($A365,"TRAILING_12M_R&amp;D_%_SALES",$A$1,$A$2)</f>
        <v>0</v>
      </c>
      <c r="V365" s="6">
        <v>25</v>
      </c>
      <c r="W365" s="6">
        <v>255040</v>
      </c>
      <c r="X365" s="6">
        <v>25504010</v>
      </c>
      <c r="Y365" s="7" t="s">
        <v>108</v>
      </c>
      <c r="Z365" s="7" t="s">
        <v>388</v>
      </c>
      <c r="AA365" s="7" t="s">
        <v>1247</v>
      </c>
      <c r="AB365" s="6">
        <v>50.799716949462891</v>
      </c>
      <c r="AC365" s="6">
        <v>0.68655718472717209</v>
      </c>
      <c r="AD365" s="6">
        <v>7.4847270810428856</v>
      </c>
      <c r="AE365" s="6">
        <v>57576</v>
      </c>
      <c r="AF365" s="6">
        <v>76143</v>
      </c>
    </row>
    <row r="366" spans="1:32" s="4" customFormat="1" ht="12.75" x14ac:dyDescent="0.2">
      <c r="A366" s="7" t="s">
        <v>1251</v>
      </c>
      <c r="B366" s="7" t="s">
        <v>1252</v>
      </c>
      <c r="C366" s="7" t="s">
        <v>1253</v>
      </c>
      <c r="D366" s="6">
        <v>-0.55239212512970004</v>
      </c>
      <c r="E366" s="6">
        <v>-1.098876357078552</v>
      </c>
      <c r="F366" s="6">
        <v>-0.335164874792099</v>
      </c>
      <c r="G366" s="6">
        <v>-0.63290369510650601</v>
      </c>
      <c r="H366" s="6">
        <v>-4.0288466960192004E-2</v>
      </c>
      <c r="I366" s="6">
        <v>1.0427238941192629</v>
      </c>
      <c r="J366" s="6">
        <v>-9.4262257218361012E-2</v>
      </c>
      <c r="K366" s="6">
        <v>8.086889982223501E-2</v>
      </c>
      <c r="L366" s="6">
        <v>-6.0077805072069002E-2</v>
      </c>
      <c r="M366" s="6">
        <v>-0.40622562170028703</v>
      </c>
      <c r="N366" s="6">
        <v>0.58188742553958706</v>
      </c>
      <c r="O366" s="6">
        <v>0.52506619664615006</v>
      </c>
      <c r="P366" s="6">
        <v>1.040076776073142</v>
      </c>
      <c r="Q366" s="6">
        <v>0.82638451397284807</v>
      </c>
      <c r="R366" s="6">
        <v>21.466002504675426</v>
      </c>
      <c r="S366" s="6">
        <v>6.9396465453718124</v>
      </c>
      <c r="T366" s="6">
        <v>9.8083353042602539</v>
      </c>
      <c r="U366" s="6" t="str">
        <f>_xll.BDP($A366,"TRAILING_12M_R&amp;D_%_SALES",$A$1,$A$2)</f>
        <v>#N/A N/A</v>
      </c>
      <c r="V366" s="6">
        <v>40</v>
      </c>
      <c r="W366" s="6">
        <v>403010</v>
      </c>
      <c r="X366" s="6">
        <v>40301040</v>
      </c>
      <c r="Y366" s="7" t="s">
        <v>53</v>
      </c>
      <c r="Z366" s="7" t="s">
        <v>54</v>
      </c>
      <c r="AA366" s="7" t="s">
        <v>125</v>
      </c>
      <c r="AB366" s="6">
        <v>31.707071304321289</v>
      </c>
      <c r="AC366" s="6">
        <v>0.77344139068831508</v>
      </c>
      <c r="AD366" s="6">
        <v>23.595655844793594</v>
      </c>
      <c r="AE366" s="6">
        <v>39000</v>
      </c>
      <c r="AF366" s="6">
        <v>30034</v>
      </c>
    </row>
    <row r="367" spans="1:32" s="4" customFormat="1" ht="12.75" x14ac:dyDescent="0.2">
      <c r="A367" s="7" t="s">
        <v>1254</v>
      </c>
      <c r="B367" s="7" t="s">
        <v>1255</v>
      </c>
      <c r="C367" s="7" t="s">
        <v>1256</v>
      </c>
      <c r="D367" s="6">
        <v>-0.47325512766838101</v>
      </c>
      <c r="E367" s="6">
        <v>-0.75732928514480602</v>
      </c>
      <c r="F367" s="6">
        <v>1.4972643852233891</v>
      </c>
      <c r="G367" s="6">
        <v>-0.75452739000320401</v>
      </c>
      <c r="H367" s="6">
        <v>1.114169120788574</v>
      </c>
      <c r="I367" s="6">
        <v>-0.31520387530326804</v>
      </c>
      <c r="J367" s="6">
        <v>1.978319644927979</v>
      </c>
      <c r="K367" s="6">
        <v>-0.6616268754005431</v>
      </c>
      <c r="L367" s="6">
        <v>0.9165541529655461</v>
      </c>
      <c r="M367" s="6">
        <v>-0.88546478748321511</v>
      </c>
      <c r="N367" s="6">
        <v>0.36602762489200402</v>
      </c>
      <c r="O367" s="6">
        <v>0.34430767840376902</v>
      </c>
      <c r="P367" s="6">
        <v>0.69146848424739904</v>
      </c>
      <c r="Q367" s="6">
        <v>0.6821139403024391</v>
      </c>
      <c r="R367" s="6">
        <v>9.1017619045266951</v>
      </c>
      <c r="S367" s="6">
        <v>7.6361489527333593</v>
      </c>
      <c r="T367" s="6">
        <v>7.6556711196899414</v>
      </c>
      <c r="U367" s="6">
        <f>_xll.BDP($A367,"TRAILING_12M_R&amp;D_%_SALES",$A$1,$A$2)</f>
        <v>3.633825648414986</v>
      </c>
      <c r="V367" s="6">
        <v>35</v>
      </c>
      <c r="W367" s="6">
        <v>351020</v>
      </c>
      <c r="X367" s="6">
        <v>35102015</v>
      </c>
      <c r="Y367" s="7" t="s">
        <v>86</v>
      </c>
      <c r="Z367" s="7" t="s">
        <v>601</v>
      </c>
      <c r="AA367" s="7" t="s">
        <v>709</v>
      </c>
      <c r="AB367" s="6">
        <v>46.474197387695313</v>
      </c>
      <c r="AC367" s="6">
        <v>0.30918621014541503</v>
      </c>
      <c r="AD367" s="6">
        <v>-29.061508863404619</v>
      </c>
      <c r="AE367" s="6">
        <v>316078</v>
      </c>
      <c r="AF367" s="6">
        <v>232873</v>
      </c>
    </row>
    <row r="368" spans="1:32" s="4" customFormat="1" ht="12.75" x14ac:dyDescent="0.2">
      <c r="A368" s="7" t="s">
        <v>1257</v>
      </c>
      <c r="B368" s="7" t="s">
        <v>1258</v>
      </c>
      <c r="C368" s="7" t="s">
        <v>1259</v>
      </c>
      <c r="D368" s="6">
        <v>-0.47325512766838101</v>
      </c>
      <c r="E368" s="6">
        <v>-0.75732928514480602</v>
      </c>
      <c r="F368" s="6">
        <v>1.4972643852233891</v>
      </c>
      <c r="G368" s="6">
        <v>-0.75452739000320401</v>
      </c>
      <c r="H368" s="6">
        <v>1.114169120788574</v>
      </c>
      <c r="I368" s="6">
        <v>-0.31520387530326804</v>
      </c>
      <c r="J368" s="6">
        <v>1.978319644927979</v>
      </c>
      <c r="K368" s="6">
        <v>-0.6616268754005431</v>
      </c>
      <c r="L368" s="6">
        <v>0.9165541529655461</v>
      </c>
      <c r="M368" s="6">
        <v>-0.88546478748321511</v>
      </c>
      <c r="N368" s="6">
        <v>0.36602762489200402</v>
      </c>
      <c r="O368" s="6"/>
      <c r="P368" s="6">
        <v>0.69146848424739904</v>
      </c>
      <c r="Q368" s="6"/>
      <c r="R368" s="6">
        <v>9.1017619045266951</v>
      </c>
      <c r="S368" s="6"/>
      <c r="T368" s="6">
        <v>7.6556711196899414</v>
      </c>
      <c r="U368" s="6">
        <f>_xll.BDP($A368,"TRAILING_12M_R&amp;D_%_SALES",$A$1,$A$2)</f>
        <v>3.633825648414986</v>
      </c>
      <c r="V368" s="6">
        <v>35</v>
      </c>
      <c r="W368" s="6">
        <v>351020</v>
      </c>
      <c r="X368" s="6">
        <v>35102015</v>
      </c>
      <c r="Y368" s="7" t="s">
        <v>86</v>
      </c>
      <c r="Z368" s="7" t="s">
        <v>601</v>
      </c>
      <c r="AA368" s="7" t="s">
        <v>709</v>
      </c>
      <c r="AB368" s="6">
        <v>46.474197387695313</v>
      </c>
      <c r="AC368" s="6">
        <v>0.79927884907301505</v>
      </c>
      <c r="AD368" s="6">
        <v>-27.952071496418075</v>
      </c>
      <c r="AE368" s="6">
        <v>316078</v>
      </c>
      <c r="AF368" s="6">
        <v>232873</v>
      </c>
    </row>
    <row r="369" spans="1:32" s="4" customFormat="1" ht="12.75" x14ac:dyDescent="0.2">
      <c r="A369" s="7" t="s">
        <v>1260</v>
      </c>
      <c r="B369" s="7" t="s">
        <v>1261</v>
      </c>
      <c r="C369" s="7" t="s">
        <v>1262</v>
      </c>
      <c r="D369" s="6">
        <v>-0.61517798900604204</v>
      </c>
      <c r="E369" s="6">
        <v>0.48568290472030606</v>
      </c>
      <c r="F369" s="6">
        <v>0.90808612108230602</v>
      </c>
      <c r="G369" s="6">
        <v>-0.60230475664138805</v>
      </c>
      <c r="H369" s="6">
        <v>-0.47178715467453003</v>
      </c>
      <c r="I369" s="6">
        <v>1.0131256580352781</v>
      </c>
      <c r="J369" s="6">
        <v>0.99357259273529108</v>
      </c>
      <c r="K369" s="6">
        <v>0.64184105396270807</v>
      </c>
      <c r="L369" s="6">
        <v>3.00003981590271</v>
      </c>
      <c r="M369" s="6">
        <v>2.268949031829834</v>
      </c>
      <c r="N369" s="6">
        <v>2.474264711619985</v>
      </c>
      <c r="O369" s="6"/>
      <c r="P369" s="6">
        <v>2.481846563966204</v>
      </c>
      <c r="Q369" s="6"/>
      <c r="R369" s="6">
        <v>6.9393751606252829</v>
      </c>
      <c r="S369" s="6"/>
      <c r="T369" s="6">
        <v>35.346794128417969</v>
      </c>
      <c r="U369" s="6">
        <f>_xll.BDP($A369,"TRAILING_12M_R&amp;D_%_SALES",$A$1,$A$2)</f>
        <v>1.7068395937844123</v>
      </c>
      <c r="V369" s="6">
        <v>15</v>
      </c>
      <c r="W369" s="6">
        <v>151040</v>
      </c>
      <c r="X369" s="6">
        <v>15104050</v>
      </c>
      <c r="Y369" s="7" t="s">
        <v>38</v>
      </c>
      <c r="Z369" s="7" t="s">
        <v>71</v>
      </c>
      <c r="AA369" s="7" t="s">
        <v>303</v>
      </c>
      <c r="AB369" s="6">
        <v>74.046875</v>
      </c>
      <c r="AC369" s="6">
        <v>0.82582288006037308</v>
      </c>
      <c r="AD369" s="6">
        <v>12.205443562780127</v>
      </c>
      <c r="AE369" s="6"/>
      <c r="AF369" s="6"/>
    </row>
    <row r="370" spans="1:32" s="4" customFormat="1" ht="12.75" x14ac:dyDescent="0.2">
      <c r="A370" s="7" t="s">
        <v>1263</v>
      </c>
      <c r="B370" s="7" t="s">
        <v>1264</v>
      </c>
      <c r="C370" s="7" t="s">
        <v>1265</v>
      </c>
      <c r="D370" s="6">
        <v>-0.61517798900604204</v>
      </c>
      <c r="E370" s="6">
        <v>0.48568290472030606</v>
      </c>
      <c r="F370" s="6">
        <v>0.90808612108230602</v>
      </c>
      <c r="G370" s="6">
        <v>-0.60230475664138805</v>
      </c>
      <c r="H370" s="6">
        <v>-0.47178715467453003</v>
      </c>
      <c r="I370" s="6">
        <v>1.0131256580352781</v>
      </c>
      <c r="J370" s="6">
        <v>0.99357259273529108</v>
      </c>
      <c r="K370" s="6">
        <v>0.64184105396270807</v>
      </c>
      <c r="L370" s="6">
        <v>3.00003981590271</v>
      </c>
      <c r="M370" s="6">
        <v>2.268949031829834</v>
      </c>
      <c r="N370" s="6">
        <v>2.474264711619985</v>
      </c>
      <c r="O370" s="6">
        <v>2.9145877282669792</v>
      </c>
      <c r="P370" s="6">
        <v>2.481846563966204</v>
      </c>
      <c r="Q370" s="6">
        <v>2.3173088602494141</v>
      </c>
      <c r="R370" s="6">
        <v>6.9393751606252829</v>
      </c>
      <c r="S370" s="6">
        <v>10.573266510017701</v>
      </c>
      <c r="T370" s="6">
        <v>35.346794128417969</v>
      </c>
      <c r="U370" s="6">
        <f>_xll.BDP($A370,"TRAILING_12M_R&amp;D_%_SALES",$A$1,$A$2)</f>
        <v>1.7068395937844123</v>
      </c>
      <c r="V370" s="6">
        <v>15</v>
      </c>
      <c r="W370" s="6">
        <v>151040</v>
      </c>
      <c r="X370" s="6">
        <v>15104050</v>
      </c>
      <c r="Y370" s="7" t="s">
        <v>38</v>
      </c>
      <c r="Z370" s="7" t="s">
        <v>71</v>
      </c>
      <c r="AA370" s="7" t="s">
        <v>303</v>
      </c>
      <c r="AB370" s="6">
        <v>74.046875</v>
      </c>
      <c r="AC370" s="6">
        <v>0.63668313271618604</v>
      </c>
      <c r="AD370" s="6">
        <v>10.587761932025796</v>
      </c>
      <c r="AE370" s="6"/>
      <c r="AF370" s="6"/>
    </row>
    <row r="371" spans="1:32" s="4" customFormat="1" ht="12.75" x14ac:dyDescent="0.2">
      <c r="A371" s="7" t="s">
        <v>1266</v>
      </c>
      <c r="B371" s="7" t="s">
        <v>1267</v>
      </c>
      <c r="C371" s="7" t="s">
        <v>1268</v>
      </c>
      <c r="D371" s="6">
        <v>-0.89593595266342207</v>
      </c>
      <c r="E371" s="6">
        <v>-0.72977560758590709</v>
      </c>
      <c r="F371" s="6">
        <v>-0.70991724729538008</v>
      </c>
      <c r="G371" s="6">
        <v>-0.26777192950248702</v>
      </c>
      <c r="H371" s="6">
        <v>1.164752125740051</v>
      </c>
      <c r="I371" s="6">
        <v>0.16948477923870101</v>
      </c>
      <c r="J371" s="6">
        <v>0.32849377393722501</v>
      </c>
      <c r="K371" s="6">
        <v>-0.72102534770965609</v>
      </c>
      <c r="L371" s="6">
        <v>1.1902602910995479</v>
      </c>
      <c r="M371" s="6">
        <v>-1.006024956703186</v>
      </c>
      <c r="N371" s="6">
        <v>2.4689982824918468</v>
      </c>
      <c r="O371" s="6">
        <v>2.4378952888230723</v>
      </c>
      <c r="P371" s="6">
        <v>1.3344266459867411</v>
      </c>
      <c r="Q371" s="6">
        <v>1.3178124343649591</v>
      </c>
      <c r="R371" s="6">
        <v>20.183446497376899</v>
      </c>
      <c r="S371" s="6">
        <v>18.223620976630688</v>
      </c>
      <c r="T371" s="6">
        <v>6.9568967819213867</v>
      </c>
      <c r="U371" s="6" t="str">
        <f>_xll.BDP($A371,"TRAILING_12M_R&amp;D_%_SALES",$A$1,$A$2)</f>
        <v>#N/A N/A</v>
      </c>
      <c r="V371" s="6">
        <v>55</v>
      </c>
      <c r="W371" s="6">
        <v>551010</v>
      </c>
      <c r="X371" s="6">
        <v>55101010</v>
      </c>
      <c r="Y371" s="7" t="s">
        <v>181</v>
      </c>
      <c r="Z371" s="7" t="s">
        <v>186</v>
      </c>
      <c r="AA371" s="7" t="s">
        <v>186</v>
      </c>
      <c r="AB371" s="6">
        <v>50.608589172363281</v>
      </c>
      <c r="AC371" s="6">
        <v>0.57941894132899907</v>
      </c>
      <c r="AD371" s="6">
        <v>-13.352077441747024</v>
      </c>
      <c r="AE371" s="6">
        <v>9095</v>
      </c>
      <c r="AF371" s="6">
        <v>8375</v>
      </c>
    </row>
    <row r="372" spans="1:32" s="4" customFormat="1" ht="12.75" x14ac:dyDescent="0.2">
      <c r="A372" s="7" t="s">
        <v>1269</v>
      </c>
      <c r="B372" s="7" t="s">
        <v>1270</v>
      </c>
      <c r="C372" s="7" t="s">
        <v>1271</v>
      </c>
      <c r="D372" s="6">
        <v>-4.9581628292799003E-2</v>
      </c>
      <c r="E372" s="6">
        <v>-0.69006854295730602</v>
      </c>
      <c r="F372" s="6">
        <v>-4.0833670645952003E-2</v>
      </c>
      <c r="G372" s="6">
        <v>-0.95127576589584406</v>
      </c>
      <c r="H372" s="6">
        <v>-0.34285214543342601</v>
      </c>
      <c r="I372" s="6">
        <v>-0.18907633423805201</v>
      </c>
      <c r="J372" s="6">
        <v>0.95549434423446711</v>
      </c>
      <c r="K372" s="6">
        <v>-0.24196223914623302</v>
      </c>
      <c r="L372" s="6">
        <v>2.097112894058228</v>
      </c>
      <c r="M372" s="6">
        <v>-0.93693399429321311</v>
      </c>
      <c r="N372" s="6">
        <v>0.82062039361846206</v>
      </c>
      <c r="O372" s="6">
        <v>1.179342411267571</v>
      </c>
      <c r="P372" s="6">
        <v>1.301824796078094</v>
      </c>
      <c r="Q372" s="6"/>
      <c r="R372" s="6">
        <v>7.1730622136250881</v>
      </c>
      <c r="S372" s="6"/>
      <c r="T372" s="6">
        <v>13.785684585571289</v>
      </c>
      <c r="U372" s="6" t="str">
        <f>_xll.BDP($A372,"TRAILING_12M_R&amp;D_%_SALES",$A$1,$A$2)</f>
        <v>#N/A N/A</v>
      </c>
      <c r="V372" s="6">
        <v>40</v>
      </c>
      <c r="W372" s="6">
        <v>403010</v>
      </c>
      <c r="X372" s="6">
        <v>40301020</v>
      </c>
      <c r="Y372" s="7" t="s">
        <v>53</v>
      </c>
      <c r="Z372" s="7" t="s">
        <v>54</v>
      </c>
      <c r="AA372" s="7" t="s">
        <v>55</v>
      </c>
      <c r="AB372" s="6">
        <v>71.773460388183594</v>
      </c>
      <c r="AC372" s="6">
        <v>0.44014378862929404</v>
      </c>
      <c r="AD372" s="6"/>
      <c r="AE372" s="6">
        <v>44993</v>
      </c>
      <c r="AF372" s="6">
        <v>40711</v>
      </c>
    </row>
    <row r="373" spans="1:32" s="4" customFormat="1" ht="12.75" x14ac:dyDescent="0.2">
      <c r="A373" s="7" t="s">
        <v>1272</v>
      </c>
      <c r="B373" s="7" t="s">
        <v>1273</v>
      </c>
      <c r="C373" s="7" t="s">
        <v>1274</v>
      </c>
      <c r="D373" s="6">
        <v>-3.6990314722061005E-2</v>
      </c>
      <c r="E373" s="6">
        <v>-0.69569969177246105</v>
      </c>
      <c r="F373" s="6">
        <v>-2.3967795073986001E-2</v>
      </c>
      <c r="G373" s="6">
        <v>-0.9417560696601871</v>
      </c>
      <c r="H373" s="6">
        <v>-0.35366606712341303</v>
      </c>
      <c r="I373" s="6">
        <v>-0.22531270980835003</v>
      </c>
      <c r="J373" s="6">
        <v>0.8913798928260801</v>
      </c>
      <c r="K373" s="6">
        <v>-0.24879714846611001</v>
      </c>
      <c r="L373" s="6">
        <v>2.034547090530396</v>
      </c>
      <c r="M373" s="6">
        <v>-0.94259583950042702</v>
      </c>
      <c r="N373" s="6">
        <v>0.82062039361846206</v>
      </c>
      <c r="O373" s="6"/>
      <c r="P373" s="6">
        <v>1.301824796078094</v>
      </c>
      <c r="Q373" s="6"/>
      <c r="R373" s="6">
        <v>7.1730622136250881</v>
      </c>
      <c r="S373" s="6"/>
      <c r="T373" s="6">
        <v>13.785684585571289</v>
      </c>
      <c r="U373" s="6" t="str">
        <f>_xll.BDP($A373,"TRAILING_12M_R&amp;D_%_SALES",$A$1,$A$2)</f>
        <v>#N/A N/A</v>
      </c>
      <c r="V373" s="6">
        <v>40</v>
      </c>
      <c r="W373" s="6">
        <v>403010</v>
      </c>
      <c r="X373" s="6">
        <v>40301020</v>
      </c>
      <c r="Y373" s="7" t="s">
        <v>53</v>
      </c>
      <c r="Z373" s="7" t="s">
        <v>54</v>
      </c>
      <c r="AA373" s="7" t="s">
        <v>55</v>
      </c>
      <c r="AB373" s="6">
        <v>71.773460388183594</v>
      </c>
      <c r="AC373" s="6">
        <v>0.32859691165357102</v>
      </c>
      <c r="AD373" s="6">
        <v>119.80764352958961</v>
      </c>
      <c r="AE373" s="6">
        <v>44993</v>
      </c>
      <c r="AF373" s="6">
        <v>40711</v>
      </c>
    </row>
    <row r="374" spans="1:32" s="4" customFormat="1" ht="12.75" x14ac:dyDescent="0.2">
      <c r="A374" s="7" t="s">
        <v>1275</v>
      </c>
      <c r="B374" s="7" t="s">
        <v>1276</v>
      </c>
      <c r="C374" s="7" t="s">
        <v>1277</v>
      </c>
      <c r="D374" s="6">
        <v>-0.96896582841873202</v>
      </c>
      <c r="E374" s="6">
        <v>-0.93185484409332309</v>
      </c>
      <c r="F374" s="6">
        <v>1.50184166431427</v>
      </c>
      <c r="G374" s="6">
        <v>-0.51302599906921409</v>
      </c>
      <c r="H374" s="6">
        <v>-0.67899835109710704</v>
      </c>
      <c r="I374" s="6">
        <v>0.55953449010848999</v>
      </c>
      <c r="J374" s="6">
        <v>1.736649632453918</v>
      </c>
      <c r="K374" s="6">
        <v>-0.94571155309677102</v>
      </c>
      <c r="L374" s="6">
        <v>0.99482804536819502</v>
      </c>
      <c r="M374" s="6">
        <v>-0.7573079466819761</v>
      </c>
      <c r="N374" s="6">
        <v>0.49305014800086405</v>
      </c>
      <c r="O374" s="6">
        <v>0.37599095141733102</v>
      </c>
      <c r="P374" s="6">
        <v>0.75766836043221408</v>
      </c>
      <c r="Q374" s="6">
        <v>0.69993311514857204</v>
      </c>
      <c r="R374" s="6">
        <v>15.085565411964064</v>
      </c>
      <c r="S374" s="6">
        <v>6.2064484620812239</v>
      </c>
      <c r="T374" s="6">
        <v>5.3243160247802734</v>
      </c>
      <c r="U374" s="6">
        <f>_xll.BDP($A374,"TRAILING_12M_R&amp;D_%_SALES",$A$1,$A$2)</f>
        <v>2.9051473236160552</v>
      </c>
      <c r="V374" s="6">
        <v>25</v>
      </c>
      <c r="W374" s="6">
        <v>251020</v>
      </c>
      <c r="X374" s="6">
        <v>25102010</v>
      </c>
      <c r="Y374" s="7" t="s">
        <v>108</v>
      </c>
      <c r="Z374" s="7" t="s">
        <v>422</v>
      </c>
      <c r="AA374" s="7" t="s">
        <v>423</v>
      </c>
      <c r="AB374" s="6">
        <v>52.972537994384766</v>
      </c>
      <c r="AC374" s="6">
        <v>0.43698948849830405</v>
      </c>
      <c r="AD374" s="6">
        <v>-11.77370781474808</v>
      </c>
      <c r="AE374" s="6">
        <v>36910</v>
      </c>
      <c r="AF374" s="6">
        <v>32599</v>
      </c>
    </row>
    <row r="375" spans="1:32" s="4" customFormat="1" ht="12.75" x14ac:dyDescent="0.2">
      <c r="A375" s="7" t="s">
        <v>1278</v>
      </c>
      <c r="B375" s="7" t="s">
        <v>1279</v>
      </c>
      <c r="C375" s="7" t="s">
        <v>1280</v>
      </c>
      <c r="D375" s="6">
        <v>-0.96896582841873202</v>
      </c>
      <c r="E375" s="6">
        <v>-0.93185484409332309</v>
      </c>
      <c r="F375" s="6">
        <v>1.50184166431427</v>
      </c>
      <c r="G375" s="6">
        <v>-0.51302599906921409</v>
      </c>
      <c r="H375" s="6">
        <v>-0.67899835109710704</v>
      </c>
      <c r="I375" s="6">
        <v>0.55953449010848999</v>
      </c>
      <c r="J375" s="6">
        <v>1.736649632453918</v>
      </c>
      <c r="K375" s="6">
        <v>-0.94571155309677102</v>
      </c>
      <c r="L375" s="6">
        <v>0.99482804536819502</v>
      </c>
      <c r="M375" s="6">
        <v>-0.7573079466819761</v>
      </c>
      <c r="N375" s="6">
        <v>0.49305014800086405</v>
      </c>
      <c r="O375" s="6">
        <v>0.34829766489057301</v>
      </c>
      <c r="P375" s="6">
        <v>0.75766836043221408</v>
      </c>
      <c r="Q375" s="6"/>
      <c r="R375" s="6">
        <v>15.085565411964064</v>
      </c>
      <c r="S375" s="6">
        <v>4.6504860781915625</v>
      </c>
      <c r="T375" s="6">
        <v>5.3243160247802734</v>
      </c>
      <c r="U375" s="6">
        <f>_xll.BDP($A375,"TRAILING_12M_R&amp;D_%_SALES",$A$1,$A$2)</f>
        <v>2.9051473236160552</v>
      </c>
      <c r="V375" s="6">
        <v>25</v>
      </c>
      <c r="W375" s="6">
        <v>251020</v>
      </c>
      <c r="X375" s="6">
        <v>25102010</v>
      </c>
      <c r="Y375" s="7" t="s">
        <v>108</v>
      </c>
      <c r="Z375" s="7" t="s">
        <v>422</v>
      </c>
      <c r="AA375" s="7" t="s">
        <v>423</v>
      </c>
      <c r="AB375" s="6">
        <v>52.972537994384766</v>
      </c>
      <c r="AC375" s="6">
        <v>0.71559445630595209</v>
      </c>
      <c r="AD375" s="6">
        <v>-12.552522642236664</v>
      </c>
      <c r="AE375" s="6">
        <v>36910</v>
      </c>
      <c r="AF375" s="6">
        <v>32599</v>
      </c>
    </row>
    <row r="376" spans="1:32" s="4" customFormat="1" ht="12.75" x14ac:dyDescent="0.2">
      <c r="A376" s="7" t="s">
        <v>1281</v>
      </c>
      <c r="B376" s="7" t="s">
        <v>1282</v>
      </c>
      <c r="C376" s="7" t="s">
        <v>1283</v>
      </c>
      <c r="D376" s="6">
        <v>-0.7272009849548341</v>
      </c>
      <c r="E376" s="6">
        <v>-0.71015608310699507</v>
      </c>
      <c r="F376" s="6">
        <v>-0.22028881311416601</v>
      </c>
      <c r="G376" s="6">
        <v>-0.80377346277236905</v>
      </c>
      <c r="H376" s="6">
        <v>-0.88458847999572809</v>
      </c>
      <c r="I376" s="6">
        <v>-0.21965053677558902</v>
      </c>
      <c r="J376" s="6">
        <v>0.501204073429108</v>
      </c>
      <c r="K376" s="6">
        <v>-0.86178570985794112</v>
      </c>
      <c r="L376" s="6">
        <v>5.6247089058161004E-2</v>
      </c>
      <c r="M376" s="6">
        <v>-0.78421568870544411</v>
      </c>
      <c r="N376" s="6">
        <v>0.99417929200666311</v>
      </c>
      <c r="O376" s="6">
        <v>1.212315411904038</v>
      </c>
      <c r="P376" s="6">
        <v>0.97546028633584203</v>
      </c>
      <c r="Q376" s="6">
        <v>0.96456555161453505</v>
      </c>
      <c r="R376" s="6">
        <v>12.639993960881423</v>
      </c>
      <c r="S376" s="6">
        <v>12.64889985506697</v>
      </c>
      <c r="T376" s="6">
        <v>8.3796567916870117</v>
      </c>
      <c r="U376" s="6">
        <f>_xll.BDP($A376,"TRAILING_12M_R&amp;D_%_SALES",$A$1,$A$2)</f>
        <v>5.1341770762049705</v>
      </c>
      <c r="V376" s="6">
        <v>45</v>
      </c>
      <c r="W376" s="6">
        <v>452020</v>
      </c>
      <c r="X376" s="6">
        <v>45202030</v>
      </c>
      <c r="Y376" s="7" t="s">
        <v>66</v>
      </c>
      <c r="Z376" s="7" t="s">
        <v>67</v>
      </c>
      <c r="AA376" s="7" t="s">
        <v>67</v>
      </c>
      <c r="AB376" s="6">
        <v>67.206520080566406</v>
      </c>
      <c r="AC376" s="6">
        <v>0.32901759711971701</v>
      </c>
      <c r="AD376" s="6">
        <v>-33.98591564595754</v>
      </c>
      <c r="AE376" s="6">
        <v>75474</v>
      </c>
      <c r="AF376" s="6">
        <v>78501</v>
      </c>
    </row>
    <row r="377" spans="1:32" s="4" customFormat="1" ht="12.75" x14ac:dyDescent="0.2">
      <c r="A377" s="7" t="s">
        <v>1284</v>
      </c>
      <c r="B377" s="7" t="s">
        <v>1285</v>
      </c>
      <c r="C377" s="7" t="s">
        <v>1286</v>
      </c>
      <c r="D377" s="6">
        <v>-0.7272009849548341</v>
      </c>
      <c r="E377" s="6">
        <v>-0.71015608310699507</v>
      </c>
      <c r="F377" s="6">
        <v>-0.22028881311416601</v>
      </c>
      <c r="G377" s="6">
        <v>-0.80377346277236905</v>
      </c>
      <c r="H377" s="6">
        <v>-0.88458847999572809</v>
      </c>
      <c r="I377" s="6">
        <v>-0.21965053677558902</v>
      </c>
      <c r="J377" s="6">
        <v>0.501204073429108</v>
      </c>
      <c r="K377" s="6">
        <v>-0.86178570985794112</v>
      </c>
      <c r="L377" s="6">
        <v>5.6247089058161004E-2</v>
      </c>
      <c r="M377" s="6">
        <v>-0.78421568870544411</v>
      </c>
      <c r="N377" s="6">
        <v>0.99417929200666311</v>
      </c>
      <c r="O377" s="6">
        <v>1.2599898312989462</v>
      </c>
      <c r="P377" s="6">
        <v>0.97546028633584203</v>
      </c>
      <c r="Q377" s="6"/>
      <c r="R377" s="6">
        <v>12.639993960881423</v>
      </c>
      <c r="S377" s="6">
        <v>13.391124823723803</v>
      </c>
      <c r="T377" s="6">
        <v>8.3796567916870117</v>
      </c>
      <c r="U377" s="6">
        <f>_xll.BDP($A377,"TRAILING_12M_R&amp;D_%_SALES",$A$1,$A$2)</f>
        <v>5.1341770762049705</v>
      </c>
      <c r="V377" s="6">
        <v>45</v>
      </c>
      <c r="W377" s="6">
        <v>452020</v>
      </c>
      <c r="X377" s="6">
        <v>45202030</v>
      </c>
      <c r="Y377" s="7" t="s">
        <v>66</v>
      </c>
      <c r="Z377" s="7" t="s">
        <v>67</v>
      </c>
      <c r="AA377" s="7" t="s">
        <v>67</v>
      </c>
      <c r="AB377" s="6">
        <v>67.206520080566406</v>
      </c>
      <c r="AC377" s="6">
        <v>0.81514260595126409</v>
      </c>
      <c r="AD377" s="6">
        <v>-31.412235272772946</v>
      </c>
      <c r="AE377" s="6">
        <v>75474</v>
      </c>
      <c r="AF377" s="6">
        <v>78501</v>
      </c>
    </row>
    <row r="378" spans="1:32" s="4" customFormat="1" ht="12.75" x14ac:dyDescent="0.2">
      <c r="A378" s="7" t="s">
        <v>1287</v>
      </c>
      <c r="B378" s="7" t="s">
        <v>1288</v>
      </c>
      <c r="C378" s="7" t="s">
        <v>1289</v>
      </c>
      <c r="D378" s="6">
        <v>-0.52969324588775601</v>
      </c>
      <c r="E378" s="6">
        <v>-0.16886189579963701</v>
      </c>
      <c r="F378" s="6">
        <v>1.66816782951355</v>
      </c>
      <c r="G378" s="6">
        <v>-0.78212875127792403</v>
      </c>
      <c r="H378" s="6">
        <v>-0.62929618358612105</v>
      </c>
      <c r="I378" s="6">
        <v>0.656646728515625</v>
      </c>
      <c r="J378" s="6">
        <v>1.384938716888428</v>
      </c>
      <c r="K378" s="6">
        <v>-0.34638446569442705</v>
      </c>
      <c r="L378" s="6">
        <v>1.1271626949310301</v>
      </c>
      <c r="M378" s="6">
        <v>-0.84751516580581709</v>
      </c>
      <c r="N378" s="6">
        <v>1.4002339770163761</v>
      </c>
      <c r="O378" s="6">
        <v>2.965834276839225</v>
      </c>
      <c r="P378" s="6">
        <v>1.6733910308797819</v>
      </c>
      <c r="Q378" s="6">
        <v>1.538702124096194</v>
      </c>
      <c r="R378" s="6">
        <v>9.3910612889061458</v>
      </c>
      <c r="S378" s="6">
        <v>7.721351832342366</v>
      </c>
      <c r="T378" s="6">
        <v>18.048305511474609</v>
      </c>
      <c r="U378" s="6" t="str">
        <f>_xll.BDP($A378,"TRAILING_12M_R&amp;D_%_SALES",$A$1,$A$2)</f>
        <v>#N/A N/A</v>
      </c>
      <c r="V378" s="6">
        <v>40</v>
      </c>
      <c r="W378" s="6">
        <v>401010</v>
      </c>
      <c r="X378" s="6">
        <v>40101010</v>
      </c>
      <c r="Y378" s="7" t="s">
        <v>53</v>
      </c>
      <c r="Z378" s="7" t="s">
        <v>76</v>
      </c>
      <c r="AA378" s="7" t="s">
        <v>77</v>
      </c>
      <c r="AB378" s="6">
        <v>58.977970123291016</v>
      </c>
      <c r="AC378" s="6">
        <v>0.65819127572895209</v>
      </c>
      <c r="AD378" s="6">
        <v>28.058258124432321</v>
      </c>
      <c r="AE378" s="6">
        <v>30885</v>
      </c>
      <c r="AF378" s="6">
        <v>27913</v>
      </c>
    </row>
    <row r="379" spans="1:32" s="4" customFormat="1" ht="12.75" x14ac:dyDescent="0.2">
      <c r="A379" s="7" t="s">
        <v>1290</v>
      </c>
      <c r="B379" s="7" t="s">
        <v>1291</v>
      </c>
      <c r="C379" s="7" t="s">
        <v>1292</v>
      </c>
      <c r="D379" s="6">
        <v>-0.52969324588775601</v>
      </c>
      <c r="E379" s="6">
        <v>-0.16886189579963701</v>
      </c>
      <c r="F379" s="6">
        <v>1.66816782951355</v>
      </c>
      <c r="G379" s="6">
        <v>-0.78212875127792403</v>
      </c>
      <c r="H379" s="6">
        <v>-0.62929618358612105</v>
      </c>
      <c r="I379" s="6">
        <v>0.656646728515625</v>
      </c>
      <c r="J379" s="6">
        <v>1.384938716888428</v>
      </c>
      <c r="K379" s="6">
        <v>-0.34638446569442705</v>
      </c>
      <c r="L379" s="6">
        <v>1.1271626949310301</v>
      </c>
      <c r="M379" s="6">
        <v>-0.84751516580581709</v>
      </c>
      <c r="N379" s="6">
        <v>1.4002339770163761</v>
      </c>
      <c r="O379" s="6">
        <v>2.9600512230645268</v>
      </c>
      <c r="P379" s="6">
        <v>1.6733910308797819</v>
      </c>
      <c r="Q379" s="6">
        <v>1.535702048841175</v>
      </c>
      <c r="R379" s="6">
        <v>9.3910612889061458</v>
      </c>
      <c r="S379" s="6">
        <v>7.7062969265675072</v>
      </c>
      <c r="T379" s="6">
        <v>18.048305511474609</v>
      </c>
      <c r="U379" s="6" t="str">
        <f>_xll.BDP($A379,"TRAILING_12M_R&amp;D_%_SALES",$A$1,$A$2)</f>
        <v>#N/A N/A</v>
      </c>
      <c r="V379" s="6">
        <v>40</v>
      </c>
      <c r="W379" s="6">
        <v>401010</v>
      </c>
      <c r="X379" s="6">
        <v>40101010</v>
      </c>
      <c r="Y379" s="7" t="s">
        <v>53</v>
      </c>
      <c r="Z379" s="7" t="s">
        <v>76</v>
      </c>
      <c r="AA379" s="7" t="s">
        <v>77</v>
      </c>
      <c r="AB379" s="6">
        <v>58.977970123291016</v>
      </c>
      <c r="AC379" s="6">
        <v>0.73124101448840007</v>
      </c>
      <c r="AD379" s="6">
        <v>19.946454186116071</v>
      </c>
      <c r="AE379" s="6">
        <v>30885</v>
      </c>
      <c r="AF379" s="6">
        <v>27913</v>
      </c>
    </row>
    <row r="380" spans="1:32" s="4" customFormat="1" ht="12.75" x14ac:dyDescent="0.2">
      <c r="A380" s="7" t="s">
        <v>1293</v>
      </c>
      <c r="B380" s="7" t="s">
        <v>1294</v>
      </c>
      <c r="C380" s="7" t="s">
        <v>1295</v>
      </c>
      <c r="D380" s="6">
        <v>-0.14175042510032701</v>
      </c>
      <c r="E380" s="6">
        <v>-0.45741021633148204</v>
      </c>
      <c r="F380" s="6">
        <v>-6.9784894585609006E-2</v>
      </c>
      <c r="G380" s="6">
        <v>-0.50051629543304399</v>
      </c>
      <c r="H380" s="6">
        <v>-0.27670657634735102</v>
      </c>
      <c r="I380" s="6">
        <v>0.80086833238601707</v>
      </c>
      <c r="J380" s="6">
        <v>-1.4382293447850001E-3</v>
      </c>
      <c r="K380" s="6">
        <v>-0.61496347188949607</v>
      </c>
      <c r="L380" s="6">
        <v>0.17267628014087702</v>
      </c>
      <c r="M380" s="6">
        <v>-0.7561454772949221</v>
      </c>
      <c r="N380" s="6">
        <v>1.7652129665090301</v>
      </c>
      <c r="O380" s="6">
        <v>1.6213538472572742</v>
      </c>
      <c r="P380" s="6">
        <v>3.8591775203142089</v>
      </c>
      <c r="Q380" s="6">
        <v>3.545240169435115</v>
      </c>
      <c r="R380" s="6">
        <v>20.658617885709202</v>
      </c>
      <c r="S380" s="6">
        <v>17.786180556043</v>
      </c>
      <c r="T380" s="6">
        <v>20.076711654663086</v>
      </c>
      <c r="U380" s="6">
        <f>_xll.BDP($A380,"TRAILING_12M_R&amp;D_%_SALES",$A$1,$A$2)</f>
        <v>1.1840891944002012</v>
      </c>
      <c r="V380" s="6">
        <v>20</v>
      </c>
      <c r="W380" s="6">
        <v>201010</v>
      </c>
      <c r="X380" s="6">
        <v>20101010</v>
      </c>
      <c r="Y380" s="7" t="s">
        <v>43</v>
      </c>
      <c r="Z380" s="7" t="s">
        <v>393</v>
      </c>
      <c r="AA380" s="7" t="s">
        <v>393</v>
      </c>
      <c r="AB380" s="6">
        <v>52.529926300048828</v>
      </c>
      <c r="AC380" s="6">
        <v>0.72897088667223409</v>
      </c>
      <c r="AD380" s="6">
        <v>22.216503132692257</v>
      </c>
      <c r="AE380" s="6">
        <v>103100</v>
      </c>
      <c r="AF380" s="6">
        <v>98800</v>
      </c>
    </row>
    <row r="381" spans="1:32" s="4" customFormat="1" ht="12.75" x14ac:dyDescent="0.2">
      <c r="A381" s="7" t="s">
        <v>1296</v>
      </c>
      <c r="B381" s="7" t="s">
        <v>1297</v>
      </c>
      <c r="C381" s="7" t="s">
        <v>1298</v>
      </c>
      <c r="D381" s="6">
        <v>0.43259406089782704</v>
      </c>
      <c r="E381" s="6">
        <v>-1.6041817665100102</v>
      </c>
      <c r="F381" s="6">
        <v>-7.0500820875167999E-2</v>
      </c>
      <c r="G381" s="6">
        <v>-9.7722828388214014E-2</v>
      </c>
      <c r="H381" s="6">
        <v>-1.7471380531788001E-2</v>
      </c>
      <c r="I381" s="6">
        <v>-0.16919864714145702</v>
      </c>
      <c r="J381" s="6">
        <v>-0.33088576793670704</v>
      </c>
      <c r="K381" s="6">
        <v>-1.0670315027236941</v>
      </c>
      <c r="L381" s="6">
        <v>-0.62789803743362405</v>
      </c>
      <c r="M381" s="6">
        <v>-0.36579093337059004</v>
      </c>
      <c r="N381" s="6">
        <v>1.2257236187085661</v>
      </c>
      <c r="O381" s="6">
        <v>1.182252997273133</v>
      </c>
      <c r="P381" s="6">
        <v>2.9093604652317913</v>
      </c>
      <c r="Q381" s="6">
        <v>2.8556452596394291</v>
      </c>
      <c r="R381" s="6"/>
      <c r="S381" s="6">
        <v>18.719159213285327</v>
      </c>
      <c r="T381" s="6">
        <v>-18.201333999633789</v>
      </c>
      <c r="U381" s="6">
        <f>_xll.BDP($A381,"TRAILING_12M_R&amp;D_%_SALES",$A$1,$A$2)</f>
        <v>3.396304325384536</v>
      </c>
      <c r="V381" s="6">
        <v>20</v>
      </c>
      <c r="W381" s="6">
        <v>201010</v>
      </c>
      <c r="X381" s="6">
        <v>20101010</v>
      </c>
      <c r="Y381" s="7" t="s">
        <v>43</v>
      </c>
      <c r="Z381" s="7" t="s">
        <v>393</v>
      </c>
      <c r="AA381" s="7" t="s">
        <v>393</v>
      </c>
      <c r="AB381" s="6">
        <v>60.738357543945313</v>
      </c>
      <c r="AC381" s="6">
        <v>0.99721143294453507</v>
      </c>
      <c r="AD381" s="6">
        <v>-11.134066915725416</v>
      </c>
      <c r="AE381" s="6">
        <v>168000</v>
      </c>
      <c r="AF381" s="6">
        <v>295000</v>
      </c>
    </row>
    <row r="382" spans="1:32" s="4" customFormat="1" ht="12.75" x14ac:dyDescent="0.2">
      <c r="A382" s="7" t="s">
        <v>1299</v>
      </c>
      <c r="B382" s="7" t="s">
        <v>1300</v>
      </c>
      <c r="C382" s="7" t="s">
        <v>1301</v>
      </c>
      <c r="D382" s="6">
        <v>-1.8650196492672001E-2</v>
      </c>
      <c r="E382" s="6">
        <v>-0.33739316463470503</v>
      </c>
      <c r="F382" s="6">
        <v>-0.40906375646591203</v>
      </c>
      <c r="G382" s="6">
        <v>-7.6767526566982006E-2</v>
      </c>
      <c r="H382" s="6">
        <v>0.27586290240287803</v>
      </c>
      <c r="I382" s="6">
        <v>0.94771885871887207</v>
      </c>
      <c r="J382" s="6">
        <v>-1.4054358936846001E-2</v>
      </c>
      <c r="K382" s="6">
        <v>-0.85718828439712502</v>
      </c>
      <c r="L382" s="6">
        <v>0.85764306783676103</v>
      </c>
      <c r="M382" s="6">
        <v>-0.63386285305023204</v>
      </c>
      <c r="N382" s="6">
        <v>3.9720097190865422</v>
      </c>
      <c r="O382" s="6">
        <v>4.2164844424010202</v>
      </c>
      <c r="P382" s="6">
        <v>5.106773825796977</v>
      </c>
      <c r="Q382" s="6">
        <v>4.1414024315515299</v>
      </c>
      <c r="R382" s="6">
        <v>15.16356860768415</v>
      </c>
      <c r="S382" s="6">
        <v>12.854114679967342</v>
      </c>
      <c r="T382" s="6">
        <v>15.67060661315918</v>
      </c>
      <c r="U382" s="6">
        <f>_xll.BDP($A382,"TRAILING_12M_R&amp;D_%_SALES",$A$1,$A$2)</f>
        <v>20.543943240705318</v>
      </c>
      <c r="V382" s="6">
        <v>35</v>
      </c>
      <c r="W382" s="6">
        <v>352010</v>
      </c>
      <c r="X382" s="6">
        <v>35201010</v>
      </c>
      <c r="Y382" s="7" t="s">
        <v>86</v>
      </c>
      <c r="Z382" s="7" t="s">
        <v>87</v>
      </c>
      <c r="AA382" s="7" t="s">
        <v>87</v>
      </c>
      <c r="AB382" s="6">
        <v>65.234886169433594</v>
      </c>
      <c r="AC382" s="6">
        <v>0.67322237133189911</v>
      </c>
      <c r="AD382" s="6">
        <v>22.337406125801106</v>
      </c>
      <c r="AE382" s="6">
        <v>14400</v>
      </c>
      <c r="AF382" s="6">
        <v>9000</v>
      </c>
    </row>
    <row r="383" spans="1:32" s="4" customFormat="1" ht="12.75" x14ac:dyDescent="0.2">
      <c r="A383" s="7" t="s">
        <v>1302</v>
      </c>
      <c r="B383" s="7" t="s">
        <v>1303</v>
      </c>
      <c r="C383" s="7" t="s">
        <v>1304</v>
      </c>
      <c r="D383" s="6">
        <v>-0.51998209953308105</v>
      </c>
      <c r="E383" s="6">
        <v>0.94650793075561512</v>
      </c>
      <c r="F383" s="6">
        <v>0.32472971081733704</v>
      </c>
      <c r="G383" s="6">
        <v>-8.2162410020828011E-2</v>
      </c>
      <c r="H383" s="6">
        <v>0.264088004827499</v>
      </c>
      <c r="I383" s="6">
        <v>1.0608149766921999</v>
      </c>
      <c r="J383" s="6">
        <v>-8.7019197642803012E-2</v>
      </c>
      <c r="K383" s="6">
        <v>-0.71533817052841209</v>
      </c>
      <c r="L383" s="6">
        <v>0.41892883181572005</v>
      </c>
      <c r="M383" s="6">
        <v>-0.82116907835006703</v>
      </c>
      <c r="N383" s="6">
        <v>2.6052404676431609</v>
      </c>
      <c r="O383" s="6">
        <v>2.4616409650914672</v>
      </c>
      <c r="P383" s="6">
        <v>4.8895652277399435</v>
      </c>
      <c r="Q383" s="6">
        <v>4.5039762579923011</v>
      </c>
      <c r="R383" s="6">
        <v>20.123939659775317</v>
      </c>
      <c r="S383" s="6">
        <v>19.646405599361042</v>
      </c>
      <c r="T383" s="6">
        <v>29.614622116088867</v>
      </c>
      <c r="U383" s="6" t="str">
        <f>_xll.BDP($A383,"TRAILING_12M_R&amp;D_%_SALES",$A$1,$A$2)</f>
        <v>#N/A N/A</v>
      </c>
      <c r="V383" s="6">
        <v>30</v>
      </c>
      <c r="W383" s="6">
        <v>302020</v>
      </c>
      <c r="X383" s="6">
        <v>30202030</v>
      </c>
      <c r="Y383" s="7" t="s">
        <v>91</v>
      </c>
      <c r="Z383" s="7" t="s">
        <v>168</v>
      </c>
      <c r="AA383" s="7" t="s">
        <v>906</v>
      </c>
      <c r="AB383" s="6">
        <v>66.019515991210938</v>
      </c>
      <c r="AC383" s="6">
        <v>0.49872602081489903</v>
      </c>
      <c r="AD383" s="6">
        <v>28.735430362382751</v>
      </c>
      <c r="AE383" s="6">
        <v>32500</v>
      </c>
      <c r="AF383" s="6">
        <v>38000</v>
      </c>
    </row>
    <row r="384" spans="1:32" s="4" customFormat="1" ht="12.75" x14ac:dyDescent="0.2">
      <c r="A384" s="7" t="s">
        <v>1305</v>
      </c>
      <c r="B384" s="7" t="s">
        <v>1306</v>
      </c>
      <c r="C384" s="7" t="s">
        <v>1307</v>
      </c>
      <c r="D384" s="6">
        <v>0.59873521327972401</v>
      </c>
      <c r="E384" s="6">
        <v>-0.22796232998371102</v>
      </c>
      <c r="F384" s="6">
        <v>0.77062517404556308</v>
      </c>
      <c r="G384" s="6">
        <v>-0.8250790238380431</v>
      </c>
      <c r="H384" s="6">
        <v>-8.5960455238819011E-2</v>
      </c>
      <c r="I384" s="6">
        <v>1.408835291862488</v>
      </c>
      <c r="J384" s="6">
        <v>1.513108611106873</v>
      </c>
      <c r="K384" s="6">
        <v>-1.0347386598587041</v>
      </c>
      <c r="L384" s="6">
        <v>1.136457204818726</v>
      </c>
      <c r="M384" s="6">
        <v>0.200336053967476</v>
      </c>
      <c r="N384" s="6">
        <v>0.35957654875727801</v>
      </c>
      <c r="O384" s="6">
        <v>0.33735486445325003</v>
      </c>
      <c r="P384" s="6">
        <v>1.8373987449038549</v>
      </c>
      <c r="Q384" s="6">
        <v>1.684874155964873</v>
      </c>
      <c r="R384" s="6">
        <v>5.5665334912952362</v>
      </c>
      <c r="S384" s="6">
        <v>6.5043476514510514</v>
      </c>
      <c r="T384" s="6">
        <v>37.030433654785156</v>
      </c>
      <c r="U384" s="6">
        <f>_xll.BDP($A384,"TRAILING_12M_R&amp;D_%_SALES",$A$1,$A$2)</f>
        <v>0</v>
      </c>
      <c r="V384" s="6">
        <v>15</v>
      </c>
      <c r="W384" s="6">
        <v>151040</v>
      </c>
      <c r="X384" s="6">
        <v>15104020</v>
      </c>
      <c r="Y384" s="7" t="s">
        <v>38</v>
      </c>
      <c r="Z384" s="7" t="s">
        <v>71</v>
      </c>
      <c r="AA384" s="7" t="s">
        <v>72</v>
      </c>
      <c r="AB384" s="6">
        <v>76.159339904785156</v>
      </c>
      <c r="AC384" s="6">
        <v>0.79639362592320206</v>
      </c>
      <c r="AD384" s="6">
        <v>40.159901927839847</v>
      </c>
      <c r="AE384" s="6">
        <v>81284</v>
      </c>
      <c r="AF384" s="6">
        <v>95958</v>
      </c>
    </row>
    <row r="385" spans="1:32" s="4" customFormat="1" ht="12.75" x14ac:dyDescent="0.2">
      <c r="A385" s="7" t="s">
        <v>1308</v>
      </c>
      <c r="B385" s="7" t="s">
        <v>1309</v>
      </c>
      <c r="C385" s="7" t="s">
        <v>1310</v>
      </c>
      <c r="D385" s="6">
        <v>0.59873521327972401</v>
      </c>
      <c r="E385" s="6">
        <v>-0.22796232998371102</v>
      </c>
      <c r="F385" s="6">
        <v>0.77062517404556308</v>
      </c>
      <c r="G385" s="6">
        <v>-0.8250790238380431</v>
      </c>
      <c r="H385" s="6">
        <v>-8.5960455238819011E-2</v>
      </c>
      <c r="I385" s="6">
        <v>1.408835291862488</v>
      </c>
      <c r="J385" s="6">
        <v>1.513108611106873</v>
      </c>
      <c r="K385" s="6">
        <v>-1.0347386598587041</v>
      </c>
      <c r="L385" s="6">
        <v>1.136457204818726</v>
      </c>
      <c r="M385" s="6">
        <v>0.200336053967476</v>
      </c>
      <c r="N385" s="6">
        <v>0.35957654875727801</v>
      </c>
      <c r="O385" s="6">
        <v>0.33913711963755805</v>
      </c>
      <c r="P385" s="6">
        <v>1.8373987449038549</v>
      </c>
      <c r="Q385" s="6">
        <v>1.6937753391146662</v>
      </c>
      <c r="R385" s="6">
        <v>5.5665334912952362</v>
      </c>
      <c r="S385" s="6">
        <v>6.5387100049486468</v>
      </c>
      <c r="T385" s="6">
        <v>37.030433654785156</v>
      </c>
      <c r="U385" s="6">
        <f>_xll.BDP($A385,"TRAILING_12M_R&amp;D_%_SALES",$A$1,$A$2)</f>
        <v>0</v>
      </c>
      <c r="V385" s="6">
        <v>15</v>
      </c>
      <c r="W385" s="6">
        <v>151040</v>
      </c>
      <c r="X385" s="6">
        <v>15104020</v>
      </c>
      <c r="Y385" s="7" t="s">
        <v>38</v>
      </c>
      <c r="Z385" s="7" t="s">
        <v>71</v>
      </c>
      <c r="AA385" s="7" t="s">
        <v>72</v>
      </c>
      <c r="AB385" s="6">
        <v>76.159339904785156</v>
      </c>
      <c r="AC385" s="6">
        <v>0.88768403250554706</v>
      </c>
      <c r="AD385" s="6">
        <v>40.952693510287254</v>
      </c>
      <c r="AE385" s="6">
        <v>81284</v>
      </c>
      <c r="AF385" s="6">
        <v>95958</v>
      </c>
    </row>
    <row r="386" spans="1:32" s="4" customFormat="1" ht="12.75" x14ac:dyDescent="0.2">
      <c r="A386" s="7" t="s">
        <v>1311</v>
      </c>
      <c r="B386" s="7" t="s">
        <v>1312</v>
      </c>
      <c r="C386" s="7" t="s">
        <v>1313</v>
      </c>
      <c r="D386" s="6">
        <v>-0.80685836076736506</v>
      </c>
      <c r="E386" s="6">
        <v>-0.58100152015686002</v>
      </c>
      <c r="F386" s="6">
        <v>-0.47318747639656106</v>
      </c>
      <c r="G386" s="6">
        <v>-0.23047143220901503</v>
      </c>
      <c r="H386" s="6">
        <v>-4.1117187589407002E-2</v>
      </c>
      <c r="I386" s="6">
        <v>-3.7696190178394005E-2</v>
      </c>
      <c r="J386" s="6">
        <v>0.34593072533607505</v>
      </c>
      <c r="K386" s="6">
        <v>-0.45784828066825906</v>
      </c>
      <c r="L386" s="6">
        <v>0.85014355182647705</v>
      </c>
      <c r="M386" s="6">
        <v>-0.54041987657547008</v>
      </c>
      <c r="N386" s="6">
        <v>1.8655427944558851</v>
      </c>
      <c r="O386" s="6">
        <v>1.7776419550532991</v>
      </c>
      <c r="P386" s="6">
        <v>2.3295480067895351</v>
      </c>
      <c r="Q386" s="6">
        <v>2.3322335621242622</v>
      </c>
      <c r="R386" s="6">
        <v>13.863786297909702</v>
      </c>
      <c r="S386" s="6">
        <v>14.189672024178725</v>
      </c>
      <c r="T386" s="6">
        <v>15.698493003845215</v>
      </c>
      <c r="U386" s="6">
        <f>_xll.BDP($A386,"TRAILING_12M_R&amp;D_%_SALES",$A$1,$A$2)</f>
        <v>8.3015703613355694</v>
      </c>
      <c r="V386" s="6">
        <v>45</v>
      </c>
      <c r="W386" s="6">
        <v>452030</v>
      </c>
      <c r="X386" s="6">
        <v>45203015</v>
      </c>
      <c r="Y386" s="7" t="s">
        <v>66</v>
      </c>
      <c r="Z386" s="7" t="s">
        <v>339</v>
      </c>
      <c r="AA386" s="7" t="s">
        <v>340</v>
      </c>
      <c r="AB386" s="6">
        <v>57.619956970214844</v>
      </c>
      <c r="AC386" s="6">
        <v>0.98908159502732107</v>
      </c>
      <c r="AD386" s="6">
        <v>-11.552093482109926</v>
      </c>
      <c r="AE386" s="6">
        <v>61200</v>
      </c>
      <c r="AF386" s="6">
        <v>40700</v>
      </c>
    </row>
    <row r="387" spans="1:32" s="4" customFormat="1" ht="12.75" x14ac:dyDescent="0.2">
      <c r="A387" s="7" t="s">
        <v>1314</v>
      </c>
      <c r="B387" s="7" t="s">
        <v>1315</v>
      </c>
      <c r="C387" s="7" t="s">
        <v>1316</v>
      </c>
      <c r="D387" s="6">
        <v>0.46278727054595903</v>
      </c>
      <c r="E387" s="6">
        <v>-0.75905764102935802</v>
      </c>
      <c r="F387" s="6">
        <v>7.5559273362160007E-2</v>
      </c>
      <c r="G387" s="6">
        <v>0.87713330984115612</v>
      </c>
      <c r="H387" s="6">
        <v>1.1222177743911741</v>
      </c>
      <c r="I387" s="6">
        <v>-0.87770926952362105</v>
      </c>
      <c r="J387" s="6">
        <v>2.361249685287476</v>
      </c>
      <c r="K387" s="6">
        <v>-0.78681993484497104</v>
      </c>
      <c r="L387" s="6">
        <v>-0.28043252229690602</v>
      </c>
      <c r="M387" s="6">
        <v>-0.76868778467178311</v>
      </c>
      <c r="N387" s="6">
        <v>0.332314034985147</v>
      </c>
      <c r="O387" s="6">
        <v>0.30247805546182305</v>
      </c>
      <c r="P387" s="6">
        <v>0.72156768406737704</v>
      </c>
      <c r="Q387" s="6">
        <v>0.64570419395352008</v>
      </c>
      <c r="R387" s="6">
        <v>5.4212796288353147</v>
      </c>
      <c r="S387" s="6">
        <v>5.670447373174488</v>
      </c>
      <c r="T387" s="6">
        <v>14.448287010192871</v>
      </c>
      <c r="U387" s="6" t="str">
        <f>_xll.BDP($A387,"TRAILING_12M_R&amp;D_%_SALES",$A$1,$A$2)</f>
        <v>#N/A N/A</v>
      </c>
      <c r="V387" s="6">
        <v>25</v>
      </c>
      <c r="W387" s="6">
        <v>251020</v>
      </c>
      <c r="X387" s="6">
        <v>25102010</v>
      </c>
      <c r="Y387" s="7" t="s">
        <v>108</v>
      </c>
      <c r="Z387" s="7" t="s">
        <v>422</v>
      </c>
      <c r="AA387" s="7" t="s">
        <v>423</v>
      </c>
      <c r="AB387" s="6">
        <v>75.907859802246094</v>
      </c>
      <c r="AC387" s="6">
        <v>1.239325936834563</v>
      </c>
      <c r="AD387" s="6">
        <v>-41.867489218965126</v>
      </c>
      <c r="AE387" s="6">
        <v>157000</v>
      </c>
      <c r="AF387" s="6">
        <v>225000</v>
      </c>
    </row>
    <row r="388" spans="1:32" s="4" customFormat="1" ht="12.75" x14ac:dyDescent="0.2">
      <c r="A388" s="7" t="s">
        <v>1317</v>
      </c>
      <c r="B388" s="7" t="s">
        <v>1318</v>
      </c>
      <c r="C388" s="7" t="s">
        <v>1319</v>
      </c>
      <c r="D388" s="6">
        <v>-0.99070984125137307</v>
      </c>
      <c r="E388" s="6">
        <v>-0.61449784040451005</v>
      </c>
      <c r="F388" s="6">
        <v>1.3545669317245479</v>
      </c>
      <c r="G388" s="6">
        <v>-0.42996999621391302</v>
      </c>
      <c r="H388" s="6">
        <v>-0.79074335098266602</v>
      </c>
      <c r="I388" s="6">
        <v>-1.4061974287033081</v>
      </c>
      <c r="J388" s="6">
        <v>4.1203562170267001E-2</v>
      </c>
      <c r="K388" s="6">
        <v>0.16135387122631101</v>
      </c>
      <c r="L388" s="6">
        <v>0.57689833641052202</v>
      </c>
      <c r="M388" s="6">
        <v>-0.27505841851234403</v>
      </c>
      <c r="N388" s="6">
        <v>0.47796448103681805</v>
      </c>
      <c r="O388" s="6"/>
      <c r="P388" s="6">
        <v>0.47995370764468503</v>
      </c>
      <c r="Q388" s="6"/>
      <c r="R388" s="6">
        <v>4.7576769057419241</v>
      </c>
      <c r="S388" s="6"/>
      <c r="T388" s="6">
        <v>10.751162528991699</v>
      </c>
      <c r="U388" s="6" t="str">
        <f>_xll.BDP($A388,"TRAILING_12M_R&amp;D_%_SALES",$A$1,$A$2)</f>
        <v>#N/A N/A</v>
      </c>
      <c r="V388" s="6">
        <v>25</v>
      </c>
      <c r="W388" s="6">
        <v>251020</v>
      </c>
      <c r="X388" s="6">
        <v>25102010</v>
      </c>
      <c r="Y388" s="7" t="s">
        <v>108</v>
      </c>
      <c r="Z388" s="7" t="s">
        <v>422</v>
      </c>
      <c r="AA388" s="7" t="s">
        <v>423</v>
      </c>
      <c r="AB388" s="6">
        <v>62.327735900878906</v>
      </c>
      <c r="AC388" s="6"/>
      <c r="AD388" s="6"/>
      <c r="AE388" s="6">
        <v>96989</v>
      </c>
      <c r="AF388" s="6">
        <v>75672</v>
      </c>
    </row>
    <row r="389" spans="1:32" s="4" customFormat="1" ht="12.75" x14ac:dyDescent="0.2">
      <c r="A389" s="7" t="s">
        <v>1320</v>
      </c>
      <c r="B389" s="7" t="s">
        <v>1321</v>
      </c>
      <c r="C389" s="7" t="s">
        <v>1322</v>
      </c>
      <c r="D389" s="6">
        <v>-0.67931544780731201</v>
      </c>
      <c r="E389" s="6">
        <v>-0.42894211411476102</v>
      </c>
      <c r="F389" s="6">
        <v>0.10886237770319</v>
      </c>
      <c r="G389" s="6">
        <v>-0.322094976902008</v>
      </c>
      <c r="H389" s="6">
        <v>-0.70687478780746504</v>
      </c>
      <c r="I389" s="6">
        <v>0.37837466597557101</v>
      </c>
      <c r="J389" s="6">
        <v>0.79348355531692505</v>
      </c>
      <c r="K389" s="6">
        <v>-0.40124493837356601</v>
      </c>
      <c r="L389" s="6">
        <v>0.87252175807952903</v>
      </c>
      <c r="M389" s="6">
        <v>-0.48011010885238603</v>
      </c>
      <c r="N389" s="6">
        <v>2.6385602849118901</v>
      </c>
      <c r="O389" s="6">
        <v>2.6762339208977313</v>
      </c>
      <c r="P389" s="6">
        <v>1.266626609348978</v>
      </c>
      <c r="Q389" s="6">
        <v>1.279229522491842</v>
      </c>
      <c r="R389" s="6">
        <v>17.124639357966423</v>
      </c>
      <c r="S389" s="6">
        <v>22.011736264119868</v>
      </c>
      <c r="T389" s="6">
        <v>7.9735479354858398</v>
      </c>
      <c r="U389" s="6">
        <f>_xll.BDP($A389,"TRAILING_12M_R&amp;D_%_SALES",$A$1,$A$2)</f>
        <v>0</v>
      </c>
      <c r="V389" s="6">
        <v>15</v>
      </c>
      <c r="W389" s="6">
        <v>151040</v>
      </c>
      <c r="X389" s="6">
        <v>15104030</v>
      </c>
      <c r="Y389" s="7" t="s">
        <v>38</v>
      </c>
      <c r="Z389" s="7" t="s">
        <v>71</v>
      </c>
      <c r="AA389" s="7" t="s">
        <v>1323</v>
      </c>
      <c r="AB389" s="6">
        <v>68.574592590332031</v>
      </c>
      <c r="AC389" s="6">
        <v>0.66782460086751005</v>
      </c>
      <c r="AD389" s="6">
        <v>-5.2986593961079294</v>
      </c>
      <c r="AE389" s="6"/>
      <c r="AF389" s="6">
        <v>18180</v>
      </c>
    </row>
    <row r="390" spans="1:32" s="4" customFormat="1" ht="12.75" x14ac:dyDescent="0.2">
      <c r="A390" s="7" t="s">
        <v>1324</v>
      </c>
      <c r="B390" s="7" t="s">
        <v>1325</v>
      </c>
      <c r="C390" s="7" t="s">
        <v>1326</v>
      </c>
      <c r="D390" s="6">
        <v>1.7045691013336182</v>
      </c>
      <c r="E390" s="6">
        <v>0.14758111536502802</v>
      </c>
      <c r="F390" s="6">
        <v>-0.74888128042221103</v>
      </c>
      <c r="G390" s="6">
        <v>-0.24464046955108601</v>
      </c>
      <c r="H390" s="6">
        <v>-1.107137799263</v>
      </c>
      <c r="I390" s="6">
        <v>-0.89162987470626809</v>
      </c>
      <c r="J390" s="6">
        <v>7.7722594141960005E-2</v>
      </c>
      <c r="K390" s="6">
        <v>0.92347913980484009</v>
      </c>
      <c r="L390" s="6">
        <v>-0.81727248430252109</v>
      </c>
      <c r="M390" s="6">
        <v>1.079303503036499</v>
      </c>
      <c r="N390" s="6">
        <v>4.1136627186989472</v>
      </c>
      <c r="O390" s="6">
        <v>4.4026226838444211</v>
      </c>
      <c r="P390" s="6">
        <v>4.5122795873332917</v>
      </c>
      <c r="Q390" s="6">
        <v>3.923523207466566</v>
      </c>
      <c r="R390" s="6">
        <v>17.289489616706305</v>
      </c>
      <c r="S390" s="6">
        <v>15.166945756149762</v>
      </c>
      <c r="T390" s="6">
        <v>26.893192291259766</v>
      </c>
      <c r="U390" s="6">
        <f>_xll.BDP($A390,"TRAILING_12M_R&amp;D_%_SALES",$A$1,$A$2)</f>
        <v>14.092418104211784</v>
      </c>
      <c r="V390" s="6">
        <v>50</v>
      </c>
      <c r="W390" s="6">
        <v>502030</v>
      </c>
      <c r="X390" s="6">
        <v>50203010</v>
      </c>
      <c r="Y390" s="7" t="s">
        <v>367</v>
      </c>
      <c r="Z390" s="7" t="s">
        <v>418</v>
      </c>
      <c r="AA390" s="7" t="s">
        <v>418</v>
      </c>
      <c r="AB390" s="6">
        <v>59.078563690185547</v>
      </c>
      <c r="AC390" s="6">
        <v>1.225664029259993</v>
      </c>
      <c r="AD390" s="6">
        <v>-39.227066746652007</v>
      </c>
      <c r="AE390" s="6">
        <v>156500</v>
      </c>
      <c r="AF390" s="6">
        <v>72053</v>
      </c>
    </row>
    <row r="391" spans="1:32" s="4" customFormat="1" ht="12.75" x14ac:dyDescent="0.2">
      <c r="A391" s="7" t="s">
        <v>1327</v>
      </c>
      <c r="B391" s="7" t="s">
        <v>1328</v>
      </c>
      <c r="C391" s="7" t="s">
        <v>1329</v>
      </c>
      <c r="D391" s="6">
        <v>1.7045691013336182</v>
      </c>
      <c r="E391" s="6">
        <v>0.14758111536502802</v>
      </c>
      <c r="F391" s="6">
        <v>-0.74888128042221103</v>
      </c>
      <c r="G391" s="6">
        <v>-0.24464046955108601</v>
      </c>
      <c r="H391" s="6">
        <v>-1.107137799263</v>
      </c>
      <c r="I391" s="6">
        <v>-0.89162987470626809</v>
      </c>
      <c r="J391" s="6">
        <v>7.7722594141960005E-2</v>
      </c>
      <c r="K391" s="6">
        <v>0.92347913980484009</v>
      </c>
      <c r="L391" s="6">
        <v>-0.81727248430252109</v>
      </c>
      <c r="M391" s="6">
        <v>1.079303503036499</v>
      </c>
      <c r="N391" s="6">
        <v>4.1136627186989472</v>
      </c>
      <c r="O391" s="6">
        <v>4.4026226838444211</v>
      </c>
      <c r="P391" s="6">
        <v>4.5122795873332917</v>
      </c>
      <c r="Q391" s="6">
        <v>3.9014138698184908</v>
      </c>
      <c r="R391" s="6">
        <v>17.289489616706305</v>
      </c>
      <c r="S391" s="6">
        <v>15.081478917525075</v>
      </c>
      <c r="T391" s="6">
        <v>26.893192291259766</v>
      </c>
      <c r="U391" s="6">
        <f>_xll.BDP($A391,"TRAILING_12M_R&amp;D_%_SALES",$A$1,$A$2)</f>
        <v>14.092418104211784</v>
      </c>
      <c r="V391" s="6">
        <v>50</v>
      </c>
      <c r="W391" s="6">
        <v>502030</v>
      </c>
      <c r="X391" s="6">
        <v>50203010</v>
      </c>
      <c r="Y391" s="7" t="s">
        <v>367</v>
      </c>
      <c r="Z391" s="7" t="s">
        <v>418</v>
      </c>
      <c r="AA391" s="7" t="s">
        <v>418</v>
      </c>
      <c r="AB391" s="6">
        <v>59.078563690185547</v>
      </c>
      <c r="AC391" s="6">
        <v>1.2284911994997869</v>
      </c>
      <c r="AD391" s="6">
        <v>-39.651367086800292</v>
      </c>
      <c r="AE391" s="6">
        <v>156500</v>
      </c>
      <c r="AF391" s="6">
        <v>72053</v>
      </c>
    </row>
    <row r="392" spans="1:32" s="4" customFormat="1" ht="12.75" x14ac:dyDescent="0.2">
      <c r="A392" s="7" t="s">
        <v>1330</v>
      </c>
      <c r="B392" s="7" t="s">
        <v>1331</v>
      </c>
      <c r="C392" s="7" t="s">
        <v>1332</v>
      </c>
      <c r="D392" s="6">
        <v>-0.90212500095367409</v>
      </c>
      <c r="E392" s="6">
        <v>-0.31497111916542103</v>
      </c>
      <c r="F392" s="6">
        <v>-0.26252663135528603</v>
      </c>
      <c r="G392" s="6">
        <v>-0.21130880713462802</v>
      </c>
      <c r="H392" s="6">
        <v>5.2912537939850002E-3</v>
      </c>
      <c r="I392" s="6">
        <v>1.006830096244812</v>
      </c>
      <c r="J392" s="6">
        <v>-0.10840171575546301</v>
      </c>
      <c r="K392" s="6">
        <v>-0.49874693155288702</v>
      </c>
      <c r="L392" s="6">
        <v>0.174016058444977</v>
      </c>
      <c r="M392" s="6">
        <v>-0.34972107410430903</v>
      </c>
      <c r="N392" s="6">
        <v>1.150649179480193</v>
      </c>
      <c r="O392" s="6">
        <v>1.088245108682681</v>
      </c>
      <c r="P392" s="6">
        <v>6.6744831999586776</v>
      </c>
      <c r="Q392" s="6">
        <v>5.8582400060144195</v>
      </c>
      <c r="R392" s="6">
        <v>21.67346717725157</v>
      </c>
      <c r="S392" s="6">
        <v>20.197182717799723</v>
      </c>
      <c r="T392" s="6">
        <v>34.660877227783203</v>
      </c>
      <c r="U392" s="6">
        <f>_xll.BDP($A392,"TRAILING_12M_R&amp;D_%_SALES",$A$1,$A$2)</f>
        <v>0</v>
      </c>
      <c r="V392" s="6">
        <v>25</v>
      </c>
      <c r="W392" s="6">
        <v>255010</v>
      </c>
      <c r="X392" s="6">
        <v>25501010</v>
      </c>
      <c r="Y392" s="7" t="s">
        <v>108</v>
      </c>
      <c r="Z392" s="7" t="s">
        <v>1333</v>
      </c>
      <c r="AA392" s="7" t="s">
        <v>1333</v>
      </c>
      <c r="AB392" s="6">
        <v>41.907253265380859</v>
      </c>
      <c r="AC392" s="6">
        <v>0.8127822645046171</v>
      </c>
      <c r="AD392" s="6">
        <v>27.542055736181336</v>
      </c>
      <c r="AE392" s="6">
        <v>52000</v>
      </c>
      <c r="AF392" s="6">
        <v>40000</v>
      </c>
    </row>
    <row r="393" spans="1:32" s="4" customFormat="1" ht="12.75" x14ac:dyDescent="0.2">
      <c r="A393" s="7" t="s">
        <v>1334</v>
      </c>
      <c r="B393" s="7" t="s">
        <v>1335</v>
      </c>
      <c r="C393" s="7" t="s">
        <v>1336</v>
      </c>
      <c r="D393" s="6">
        <v>-0.41790032386779802</v>
      </c>
      <c r="E393" s="6">
        <v>-0.67521101236343406</v>
      </c>
      <c r="F393" s="6">
        <v>-0.26597413420677202</v>
      </c>
      <c r="G393" s="6">
        <v>-0.86861145496368408</v>
      </c>
      <c r="H393" s="6">
        <v>5.6212499737740007E-2</v>
      </c>
      <c r="I393" s="6">
        <v>0.11576161533594101</v>
      </c>
      <c r="J393" s="6">
        <v>0.30126106739044201</v>
      </c>
      <c r="K393" s="6">
        <v>-0.98155075311660811</v>
      </c>
      <c r="L393" s="6">
        <v>1.0711261034011841</v>
      </c>
      <c r="M393" s="6">
        <v>-0.97775381803512607</v>
      </c>
      <c r="N393" s="6">
        <v>1.2231131714921779</v>
      </c>
      <c r="O393" s="6">
        <v>1.164292934569618</v>
      </c>
      <c r="P393" s="6">
        <v>1.702311664852719</v>
      </c>
      <c r="Q393" s="6">
        <v>1.672483804898163</v>
      </c>
      <c r="R393" s="6">
        <v>19.827070334313024</v>
      </c>
      <c r="S393" s="6">
        <v>13.902306764555226</v>
      </c>
      <c r="T393" s="6">
        <v>9.0805454254150391</v>
      </c>
      <c r="U393" s="6">
        <f>_xll.BDP($A393,"TRAILING_12M_R&amp;D_%_SALES",$A$1,$A$2)</f>
        <v>1.5619831673343378</v>
      </c>
      <c r="V393" s="6">
        <v>30</v>
      </c>
      <c r="W393" s="6">
        <v>302020</v>
      </c>
      <c r="X393" s="6">
        <v>30202030</v>
      </c>
      <c r="Y393" s="7" t="s">
        <v>91</v>
      </c>
      <c r="Z393" s="7" t="s">
        <v>168</v>
      </c>
      <c r="AA393" s="7" t="s">
        <v>906</v>
      </c>
      <c r="AB393" s="6">
        <v>63.48455810546875</v>
      </c>
      <c r="AC393" s="6">
        <v>0.50849003173501206</v>
      </c>
      <c r="AD393" s="6">
        <v>-11.798322270934559</v>
      </c>
      <c r="AE393" s="6">
        <v>98105</v>
      </c>
      <c r="AF393" s="6">
        <v>99187</v>
      </c>
    </row>
    <row r="394" spans="1:32" s="4" customFormat="1" ht="12.75" x14ac:dyDescent="0.2">
      <c r="A394" s="7" t="s">
        <v>1337</v>
      </c>
      <c r="B394" s="7" t="s">
        <v>1338</v>
      </c>
      <c r="C394" s="7" t="s">
        <v>1339</v>
      </c>
      <c r="D394" s="6">
        <v>-0.79806476831436202</v>
      </c>
      <c r="E394" s="6">
        <v>-0.96086722612381004</v>
      </c>
      <c r="F394" s="6">
        <v>-0.85405606031417802</v>
      </c>
      <c r="G394" s="6">
        <v>0.19083145260810902</v>
      </c>
      <c r="H394" s="6">
        <v>0.16430644690990401</v>
      </c>
      <c r="I394" s="6">
        <v>-0.42955785989761402</v>
      </c>
      <c r="J394" s="6">
        <v>0.35033020377159102</v>
      </c>
      <c r="K394" s="6">
        <v>-0.23273499310016602</v>
      </c>
      <c r="L394" s="6">
        <v>-0.31390574574470503</v>
      </c>
      <c r="M394" s="6">
        <v>-0.76374280452728305</v>
      </c>
      <c r="N394" s="6">
        <v>3.125879974355342</v>
      </c>
      <c r="O394" s="6">
        <v>3.1385837554039018</v>
      </c>
      <c r="P394" s="6">
        <v>1.184742999629508</v>
      </c>
      <c r="Q394" s="6">
        <v>1.1313690030625589</v>
      </c>
      <c r="R394" s="6">
        <v>19.944371738433205</v>
      </c>
      <c r="S394" s="6">
        <v>9.587827383891165</v>
      </c>
      <c r="T394" s="6">
        <v>0.28946700692176802</v>
      </c>
      <c r="U394" s="6" t="str">
        <f>_xll.BDP($A394,"TRAILING_12M_R&amp;D_%_SALES",$A$1,$A$2)</f>
        <v>#N/A N/A</v>
      </c>
      <c r="V394" s="6">
        <v>40</v>
      </c>
      <c r="W394" s="6">
        <v>402010</v>
      </c>
      <c r="X394" s="6">
        <v>40201060</v>
      </c>
      <c r="Y394" s="7" t="s">
        <v>53</v>
      </c>
      <c r="Z394" s="7" t="s">
        <v>344</v>
      </c>
      <c r="AA394" s="7" t="s">
        <v>579</v>
      </c>
      <c r="AB394" s="6">
        <v>43.788349151611328</v>
      </c>
      <c r="AC394" s="6">
        <v>1.1215410404444901</v>
      </c>
      <c r="AD394" s="6">
        <v>-26.500916164640209</v>
      </c>
      <c r="AE394" s="6">
        <v>25000</v>
      </c>
      <c r="AF394" s="6">
        <v>8995</v>
      </c>
    </row>
    <row r="395" spans="1:32" s="4" customFormat="1" ht="12.75" x14ac:dyDescent="0.2">
      <c r="A395" s="7" t="s">
        <v>1340</v>
      </c>
      <c r="B395" s="7" t="s">
        <v>1341</v>
      </c>
      <c r="C395" s="7" t="s">
        <v>1342</v>
      </c>
      <c r="D395" s="6">
        <v>1.0766675472259519</v>
      </c>
      <c r="E395" s="6">
        <v>-0.39298450946807906</v>
      </c>
      <c r="F395" s="6">
        <v>-0.25180125236511203</v>
      </c>
      <c r="G395" s="6">
        <v>0.14075347781181302</v>
      </c>
      <c r="H395" s="6">
        <v>1.086799263954163</v>
      </c>
      <c r="I395" s="6">
        <v>5.8211114257574005E-2</v>
      </c>
      <c r="J395" s="6">
        <v>1.385478734970093</v>
      </c>
      <c r="K395" s="6">
        <v>-0.41831961274147006</v>
      </c>
      <c r="L395" s="6">
        <v>0.60583466291427601</v>
      </c>
      <c r="M395" s="6">
        <v>-0.84949415922164906</v>
      </c>
      <c r="N395" s="6">
        <v>1.9585167414165889</v>
      </c>
      <c r="O395" s="6">
        <v>2.4006305217970523</v>
      </c>
      <c r="P395" s="6">
        <v>1.0723309082681891</v>
      </c>
      <c r="Q395" s="6">
        <v>1.036944830978765</v>
      </c>
      <c r="R395" s="6">
        <v>8.8373738658339445</v>
      </c>
      <c r="S395" s="6">
        <v>9.2665382915587564</v>
      </c>
      <c r="T395" s="6">
        <v>13.065860748291016</v>
      </c>
      <c r="U395" s="6" t="str">
        <f>_xll.BDP($A395,"TRAILING_12M_R&amp;D_%_SALES",$A$1,$A$2)</f>
        <v>#N/A N/A</v>
      </c>
      <c r="V395" s="6">
        <v>40</v>
      </c>
      <c r="W395" s="6">
        <v>402030</v>
      </c>
      <c r="X395" s="6">
        <v>40203020</v>
      </c>
      <c r="Y395" s="7" t="s">
        <v>53</v>
      </c>
      <c r="Z395" s="7" t="s">
        <v>298</v>
      </c>
      <c r="AA395" s="7" t="s">
        <v>688</v>
      </c>
      <c r="AB395" s="6">
        <v>51.584346771240234</v>
      </c>
      <c r="AC395" s="6">
        <v>0.97378680059633405</v>
      </c>
      <c r="AD395" s="6">
        <v>-8.5739219107708422</v>
      </c>
      <c r="AE395" s="6">
        <v>43900</v>
      </c>
      <c r="AF395" s="6">
        <v>34400</v>
      </c>
    </row>
    <row r="396" spans="1:32" s="4" customFormat="1" ht="12.75" x14ac:dyDescent="0.2">
      <c r="A396" s="7" t="s">
        <v>1343</v>
      </c>
      <c r="B396" s="7" t="s">
        <v>1344</v>
      </c>
      <c r="C396" s="7" t="s">
        <v>1345</v>
      </c>
      <c r="D396" s="6">
        <v>0.10753110796213201</v>
      </c>
      <c r="E396" s="6">
        <v>-0.85241979360580411</v>
      </c>
      <c r="F396" s="6">
        <v>-0.36051544547081005</v>
      </c>
      <c r="G396" s="6">
        <v>-0.80366444587707508</v>
      </c>
      <c r="H396" s="6">
        <v>-0.51210612058639504</v>
      </c>
      <c r="I396" s="6">
        <v>-0.25040835142135603</v>
      </c>
      <c r="J396" s="6">
        <v>1.443375945091248</v>
      </c>
      <c r="K396" s="6">
        <v>0.80596596002578702</v>
      </c>
      <c r="L396" s="6">
        <v>2.2145683765411381</v>
      </c>
      <c r="M396" s="6">
        <v>-1.0300824642181401</v>
      </c>
      <c r="N396" s="6">
        <v>0.598118916845916</v>
      </c>
      <c r="O396" s="6">
        <v>0.40360591067532203</v>
      </c>
      <c r="P396" s="6">
        <v>1.149667525531604</v>
      </c>
      <c r="Q396" s="6">
        <v>1.188647196284305</v>
      </c>
      <c r="R396" s="6">
        <v>1.419594586812456</v>
      </c>
      <c r="S396" s="6">
        <v>8.7370887577021978</v>
      </c>
      <c r="T396" s="6">
        <v>14.564674377441406</v>
      </c>
      <c r="U396" s="6" t="str">
        <f>_xll.BDP($A396,"TRAILING_12M_R&amp;D_%_SALES",$A$1,$A$2)</f>
        <v>#N/A N/A</v>
      </c>
      <c r="V396" s="6">
        <v>40</v>
      </c>
      <c r="W396" s="6">
        <v>403010</v>
      </c>
      <c r="X396" s="6">
        <v>40301020</v>
      </c>
      <c r="Y396" s="7" t="s">
        <v>53</v>
      </c>
      <c r="Z396" s="7" t="s">
        <v>54</v>
      </c>
      <c r="AA396" s="7" t="s">
        <v>55</v>
      </c>
      <c r="AB396" s="6">
        <v>46.604969024658203</v>
      </c>
      <c r="AC396" s="6">
        <v>0.75074123101217005</v>
      </c>
      <c r="AD396" s="6">
        <v>-17.585899309487772</v>
      </c>
      <c r="AE396" s="6"/>
      <c r="AF396" s="6">
        <v>22500</v>
      </c>
    </row>
    <row r="397" spans="1:32" s="4" customFormat="1" ht="12.75" x14ac:dyDescent="0.2">
      <c r="A397" s="7" t="s">
        <v>1346</v>
      </c>
      <c r="B397" s="7" t="s">
        <v>1347</v>
      </c>
      <c r="C397" s="7" t="s">
        <v>1348</v>
      </c>
      <c r="D397" s="6">
        <v>-0.7150853276252751</v>
      </c>
      <c r="E397" s="6">
        <v>-0.66816556453704801</v>
      </c>
      <c r="F397" s="6">
        <v>0.75999128818512007</v>
      </c>
      <c r="G397" s="6">
        <v>1.6920721530914311</v>
      </c>
      <c r="H397" s="6">
        <v>-0.71346199512481701</v>
      </c>
      <c r="I397" s="6">
        <v>-2.2127115726470952</v>
      </c>
      <c r="J397" s="6">
        <v>0.40679690241813704</v>
      </c>
      <c r="K397" s="6">
        <v>0.84260398149490412</v>
      </c>
      <c r="L397" s="6">
        <v>-0.42305436730384804</v>
      </c>
      <c r="M397" s="6">
        <v>0.25660321116447404</v>
      </c>
      <c r="N397" s="6">
        <v>0.57075823408786308</v>
      </c>
      <c r="O397" s="6">
        <v>1.061836990846214</v>
      </c>
      <c r="P397" s="6">
        <v>1.154227268987464</v>
      </c>
      <c r="Q397" s="6">
        <v>1.053928949671239</v>
      </c>
      <c r="R397" s="6">
        <v>8.3183432123944154</v>
      </c>
      <c r="S397" s="6">
        <v>8.0197601533182272</v>
      </c>
      <c r="T397" s="6">
        <v>15.261900901794434</v>
      </c>
      <c r="U397" s="6" t="str">
        <f>_xll.BDP($A397,"TRAILING_12M_R&amp;D_%_SALES",$A$1,$A$2)</f>
        <v>#N/A N/A</v>
      </c>
      <c r="V397" s="6">
        <v>25</v>
      </c>
      <c r="W397" s="6">
        <v>251020</v>
      </c>
      <c r="X397" s="6">
        <v>25102010</v>
      </c>
      <c r="Y397" s="7" t="s">
        <v>108</v>
      </c>
      <c r="Z397" s="7" t="s">
        <v>422</v>
      </c>
      <c r="AA397" s="7" t="s">
        <v>423</v>
      </c>
      <c r="AB397" s="6">
        <v>55.33648681640625</v>
      </c>
      <c r="AC397" s="6">
        <v>0.57605188500718607</v>
      </c>
      <c r="AD397" s="6">
        <v>-61.336192502473239</v>
      </c>
      <c r="AE397" s="6">
        <v>77934</v>
      </c>
      <c r="AF397" s="6">
        <v>71617</v>
      </c>
    </row>
    <row r="398" spans="1:32" s="4" customFormat="1" ht="12.75" x14ac:dyDescent="0.2">
      <c r="A398" s="7" t="s">
        <v>1349</v>
      </c>
      <c r="B398" s="7" t="s">
        <v>1350</v>
      </c>
      <c r="C398" s="7" t="s">
        <v>1351</v>
      </c>
      <c r="D398" s="6">
        <v>-0.7150853276252751</v>
      </c>
      <c r="E398" s="6">
        <v>-0.66816556453704801</v>
      </c>
      <c r="F398" s="6">
        <v>0.75999128818512007</v>
      </c>
      <c r="G398" s="6">
        <v>1.6920721530914311</v>
      </c>
      <c r="H398" s="6">
        <v>-0.71346199512481701</v>
      </c>
      <c r="I398" s="6">
        <v>-2.2127115726470952</v>
      </c>
      <c r="J398" s="6">
        <v>0.40679690241813704</v>
      </c>
      <c r="K398" s="6">
        <v>0.84260398149490412</v>
      </c>
      <c r="L398" s="6">
        <v>-0.42305436730384804</v>
      </c>
      <c r="M398" s="6">
        <v>0.25660321116447404</v>
      </c>
      <c r="N398" s="6">
        <v>0.57075823408786308</v>
      </c>
      <c r="O398" s="6"/>
      <c r="P398" s="6">
        <v>1.154227268987464</v>
      </c>
      <c r="Q398" s="6"/>
      <c r="R398" s="6">
        <v>8.3183432123944154</v>
      </c>
      <c r="S398" s="6"/>
      <c r="T398" s="6">
        <v>15.261900901794434</v>
      </c>
      <c r="U398" s="6" t="str">
        <f>_xll.BDP($A398,"TRAILING_12M_R&amp;D_%_SALES",$A$1,$A$2)</f>
        <v>#N/A N/A</v>
      </c>
      <c r="V398" s="6">
        <v>25</v>
      </c>
      <c r="W398" s="6">
        <v>251020</v>
      </c>
      <c r="X398" s="6">
        <v>25102010</v>
      </c>
      <c r="Y398" s="7" t="s">
        <v>108</v>
      </c>
      <c r="Z398" s="7" t="s">
        <v>422</v>
      </c>
      <c r="AA398" s="7" t="s">
        <v>423</v>
      </c>
      <c r="AB398" s="6">
        <v>55.33648681640625</v>
      </c>
      <c r="AC398" s="6">
        <v>0.54305563939527501</v>
      </c>
      <c r="AD398" s="6">
        <v>-62.637063048891747</v>
      </c>
      <c r="AE398" s="6">
        <v>77934</v>
      </c>
      <c r="AF398" s="6">
        <v>71617</v>
      </c>
    </row>
    <row r="399" spans="1:32" s="4" customFormat="1" ht="12.75" x14ac:dyDescent="0.2">
      <c r="A399" s="7" t="s">
        <v>1352</v>
      </c>
      <c r="B399" s="7" t="s">
        <v>1353</v>
      </c>
      <c r="C399" s="7" t="s">
        <v>1354</v>
      </c>
      <c r="D399" s="6">
        <v>-0.73184442520141602</v>
      </c>
      <c r="E399" s="6">
        <v>-0.47159162163734403</v>
      </c>
      <c r="F399" s="6">
        <v>-0.32614228129386902</v>
      </c>
      <c r="G399" s="6">
        <v>0.97454822063446012</v>
      </c>
      <c r="H399" s="6">
        <v>0.37251803278923001</v>
      </c>
      <c r="I399" s="6">
        <v>1.631322979927063</v>
      </c>
      <c r="J399" s="6">
        <v>2.0616276189685003E-2</v>
      </c>
      <c r="K399" s="6">
        <v>-0.82339984178543102</v>
      </c>
      <c r="L399" s="6">
        <v>-0.20580878853797901</v>
      </c>
      <c r="M399" s="6">
        <v>0.40301373600959806</v>
      </c>
      <c r="N399" s="6">
        <v>1.869239172807204</v>
      </c>
      <c r="O399" s="6">
        <v>1.505109516689684</v>
      </c>
      <c r="P399" s="6">
        <v>4.6883344265953433</v>
      </c>
      <c r="Q399" s="6">
        <v>3.441451406713373</v>
      </c>
      <c r="R399" s="6">
        <v>25.933625575156519</v>
      </c>
      <c r="S399" s="6">
        <v>13.294075996941713</v>
      </c>
      <c r="T399" s="6">
        <v>26.161479949951172</v>
      </c>
      <c r="U399" s="6" t="str">
        <f>_xll.BDP($A399,"TRAILING_12M_R&amp;D_%_SALES",$A$1,$A$2)</f>
        <v>#N/A N/A</v>
      </c>
      <c r="V399" s="6">
        <v>10</v>
      </c>
      <c r="W399" s="6">
        <v>101010</v>
      </c>
      <c r="X399" s="6">
        <v>10101020</v>
      </c>
      <c r="Y399" s="7" t="s">
        <v>505</v>
      </c>
      <c r="Z399" s="7" t="s">
        <v>506</v>
      </c>
      <c r="AA399" s="7" t="s">
        <v>507</v>
      </c>
      <c r="AB399" s="6">
        <v>71.491798400878906</v>
      </c>
      <c r="AC399" s="6">
        <v>0.89356143489543505</v>
      </c>
      <c r="AD399" s="6">
        <v>75.357180893766312</v>
      </c>
      <c r="AE399" s="6">
        <v>40000</v>
      </c>
      <c r="AF399" s="6">
        <v>50000</v>
      </c>
    </row>
    <row r="400" spans="1:32" s="4" customFormat="1" ht="12.75" x14ac:dyDescent="0.2">
      <c r="A400" s="7" t="s">
        <v>1355</v>
      </c>
      <c r="B400" s="7" t="s">
        <v>1356</v>
      </c>
      <c r="C400" s="7" t="s">
        <v>1357</v>
      </c>
      <c r="D400" s="6">
        <v>-0.53582149744033802</v>
      </c>
      <c r="E400" s="6">
        <v>-0.82338249683380105</v>
      </c>
      <c r="F400" s="6">
        <v>-0.42056450247764604</v>
      </c>
      <c r="G400" s="6">
        <v>0.65990895032882702</v>
      </c>
      <c r="H400" s="6">
        <v>-0.11208974570035901</v>
      </c>
      <c r="I400" s="6">
        <v>6.9066211581230011E-2</v>
      </c>
      <c r="J400" s="6">
        <v>0.91013753414154108</v>
      </c>
      <c r="K400" s="6">
        <v>-0.32930451631546004</v>
      </c>
      <c r="L400" s="6">
        <v>1.3340766429901121</v>
      </c>
      <c r="M400" s="6">
        <v>-1.0189529657363889</v>
      </c>
      <c r="N400" s="6">
        <v>2.7867562972766522</v>
      </c>
      <c r="O400" s="6">
        <v>2.6052496157978489</v>
      </c>
      <c r="P400" s="6">
        <v>1.3589788440300441</v>
      </c>
      <c r="Q400" s="6">
        <v>1.2241509453431281</v>
      </c>
      <c r="R400" s="6">
        <v>10.571997746958463</v>
      </c>
      <c r="S400" s="6">
        <v>8.9712093860624957</v>
      </c>
      <c r="T400" s="6">
        <v>11.714986801147461</v>
      </c>
      <c r="U400" s="6" t="str">
        <f>_xll.BDP($A400,"TRAILING_12M_R&amp;D_%_SALES",$A$1,$A$2)</f>
        <v>#N/A N/A</v>
      </c>
      <c r="V400" s="6">
        <v>40</v>
      </c>
      <c r="W400" s="6">
        <v>401010</v>
      </c>
      <c r="X400" s="6">
        <v>40101015</v>
      </c>
      <c r="Y400" s="7" t="s">
        <v>53</v>
      </c>
      <c r="Z400" s="7" t="s">
        <v>76</v>
      </c>
      <c r="AA400" s="7" t="s">
        <v>675</v>
      </c>
      <c r="AB400" s="6">
        <v>50.115684509277344</v>
      </c>
      <c r="AC400" s="6">
        <v>0.96391683045387611</v>
      </c>
      <c r="AD400" s="6">
        <v>-4.347343960484662</v>
      </c>
      <c r="AE400" s="6">
        <v>20309</v>
      </c>
      <c r="AF400" s="6">
        <v>15993</v>
      </c>
    </row>
    <row r="401" spans="1:32" s="4" customFormat="1" ht="12.75" x14ac:dyDescent="0.2">
      <c r="A401" s="7" t="s">
        <v>1358</v>
      </c>
      <c r="B401" s="7" t="s">
        <v>1359</v>
      </c>
      <c r="C401" s="7" t="s">
        <v>1360</v>
      </c>
      <c r="D401" s="6">
        <v>-5.3783386945724002E-2</v>
      </c>
      <c r="E401" s="6">
        <v>-0.27601280808448803</v>
      </c>
      <c r="F401" s="6">
        <v>0.36620017886161804</v>
      </c>
      <c r="G401" s="6">
        <v>-0.313480734825134</v>
      </c>
      <c r="H401" s="6">
        <v>1.977904200553894</v>
      </c>
      <c r="I401" s="6">
        <v>0.41597127914428705</v>
      </c>
      <c r="J401" s="6">
        <v>0.26654464006424</v>
      </c>
      <c r="K401" s="6">
        <v>-0.13231743872165702</v>
      </c>
      <c r="L401" s="6">
        <v>-0.35762283205986001</v>
      </c>
      <c r="M401" s="6">
        <v>0.250067979097366</v>
      </c>
      <c r="N401" s="6">
        <v>1.198670518526129</v>
      </c>
      <c r="O401" s="6">
        <v>1.080944189474494</v>
      </c>
      <c r="P401" s="6"/>
      <c r="Q401" s="6"/>
      <c r="R401" s="6">
        <v>14.394614337434122</v>
      </c>
      <c r="S401" s="6">
        <v>13.17714753139901</v>
      </c>
      <c r="T401" s="6"/>
      <c r="U401" s="6">
        <f>_xll.BDP($A401,"TRAILING_12M_R&amp;D_%_SALES",$A$1,$A$2)</f>
        <v>0</v>
      </c>
      <c r="V401" s="6">
        <v>35</v>
      </c>
      <c r="W401" s="6">
        <v>351020</v>
      </c>
      <c r="X401" s="6">
        <v>35102020</v>
      </c>
      <c r="Y401" s="7" t="s">
        <v>86</v>
      </c>
      <c r="Z401" s="7" t="s">
        <v>601</v>
      </c>
      <c r="AA401" s="7" t="s">
        <v>1361</v>
      </c>
      <c r="AB401" s="6">
        <v>44.834522247314453</v>
      </c>
      <c r="AC401" s="6">
        <v>0.97308845096244212</v>
      </c>
      <c r="AD401" s="6">
        <v>-6.0829856090832912</v>
      </c>
      <c r="AE401" s="6">
        <v>204000</v>
      </c>
      <c r="AF401" s="6">
        <v>241000</v>
      </c>
    </row>
    <row r="402" spans="1:32" s="4" customFormat="1" ht="12.75" x14ac:dyDescent="0.2">
      <c r="A402" s="7" t="s">
        <v>1362</v>
      </c>
      <c r="B402" s="7" t="s">
        <v>1363</v>
      </c>
      <c r="C402" s="7" t="s">
        <v>1364</v>
      </c>
      <c r="D402" s="6">
        <v>-0.35699355602264404</v>
      </c>
      <c r="E402" s="6">
        <v>-0.69783532619476307</v>
      </c>
      <c r="F402" s="6">
        <v>0.64501464366912808</v>
      </c>
      <c r="G402" s="6">
        <v>-0.7528549432754521</v>
      </c>
      <c r="H402" s="6">
        <v>0.12890806794166601</v>
      </c>
      <c r="I402" s="6">
        <v>0.55763787031173706</v>
      </c>
      <c r="J402" s="6">
        <v>0.97412633895874012</v>
      </c>
      <c r="K402" s="6">
        <v>-0.94476270675659202</v>
      </c>
      <c r="L402" s="6">
        <v>1.394099235534668</v>
      </c>
      <c r="M402" s="6">
        <v>-0.63524526357650801</v>
      </c>
      <c r="N402" s="6">
        <v>1.0043070978317361</v>
      </c>
      <c r="O402" s="6">
        <v>1.067053606313636</v>
      </c>
      <c r="P402" s="6">
        <v>1.0693941889806891</v>
      </c>
      <c r="Q402" s="6">
        <v>0.96268757373153913</v>
      </c>
      <c r="R402" s="6">
        <v>11.152954339194499</v>
      </c>
      <c r="S402" s="6">
        <v>10.996291073248818</v>
      </c>
      <c r="T402" s="6">
        <v>9.6155261993408203</v>
      </c>
      <c r="U402" s="6" t="str">
        <f>_xll.BDP($A402,"TRAILING_12M_R&amp;D_%_SALES",$A$1,$A$2)</f>
        <v>#N/A N/A</v>
      </c>
      <c r="V402" s="6">
        <v>15</v>
      </c>
      <c r="W402" s="6">
        <v>151020</v>
      </c>
      <c r="X402" s="6">
        <v>15102010</v>
      </c>
      <c r="Y402" s="7" t="s">
        <v>38</v>
      </c>
      <c r="Z402" s="7" t="s">
        <v>39</v>
      </c>
      <c r="AA402" s="7" t="s">
        <v>39</v>
      </c>
      <c r="AB402" s="6">
        <v>72.698921203613281</v>
      </c>
      <c r="AC402" s="6">
        <v>0.53698695780997108</v>
      </c>
      <c r="AD402" s="6">
        <v>6.3497347389122494</v>
      </c>
      <c r="AE402" s="6">
        <v>69672</v>
      </c>
      <c r="AF402" s="6">
        <v>90000</v>
      </c>
    </row>
    <row r="403" spans="1:32" s="4" customFormat="1" ht="12.75" x14ac:dyDescent="0.2">
      <c r="A403" s="7" t="s">
        <v>1365</v>
      </c>
      <c r="B403" s="7" t="s">
        <v>1366</v>
      </c>
      <c r="C403" s="7" t="s">
        <v>1367</v>
      </c>
      <c r="D403" s="6">
        <v>-0.35699355602264404</v>
      </c>
      <c r="E403" s="6">
        <v>-0.69783532619476307</v>
      </c>
      <c r="F403" s="6">
        <v>0.64501464366912808</v>
      </c>
      <c r="G403" s="6">
        <v>-0.7528549432754521</v>
      </c>
      <c r="H403" s="6">
        <v>0.12890806794166601</v>
      </c>
      <c r="I403" s="6">
        <v>0.55763787031173706</v>
      </c>
      <c r="J403" s="6">
        <v>0.97412633895874012</v>
      </c>
      <c r="K403" s="6">
        <v>-0.94476270675659202</v>
      </c>
      <c r="L403" s="6">
        <v>1.394099235534668</v>
      </c>
      <c r="M403" s="6">
        <v>-0.63524526357650801</v>
      </c>
      <c r="N403" s="6">
        <v>1.0043070978317361</v>
      </c>
      <c r="O403" s="6">
        <v>1.0658138570858859</v>
      </c>
      <c r="P403" s="6">
        <v>1.0693941889806891</v>
      </c>
      <c r="Q403" s="6"/>
      <c r="R403" s="6">
        <v>11.152954339194499</v>
      </c>
      <c r="S403" s="6">
        <v>10.384320719758703</v>
      </c>
      <c r="T403" s="6">
        <v>9.6155261993408203</v>
      </c>
      <c r="U403" s="6" t="str">
        <f>_xll.BDP($A403,"TRAILING_12M_R&amp;D_%_SALES",$A$1,$A$2)</f>
        <v>#N/A N/A</v>
      </c>
      <c r="V403" s="6">
        <v>15</v>
      </c>
      <c r="W403" s="6">
        <v>151020</v>
      </c>
      <c r="X403" s="6">
        <v>15102010</v>
      </c>
      <c r="Y403" s="7" t="s">
        <v>38</v>
      </c>
      <c r="Z403" s="7" t="s">
        <v>39</v>
      </c>
      <c r="AA403" s="7" t="s">
        <v>39</v>
      </c>
      <c r="AB403" s="6">
        <v>72.698921203613281</v>
      </c>
      <c r="AC403" s="6">
        <v>0.87987776872408907</v>
      </c>
      <c r="AD403" s="6">
        <v>6.7941015168045737</v>
      </c>
      <c r="AE403" s="6">
        <v>69672</v>
      </c>
      <c r="AF403" s="6">
        <v>90000</v>
      </c>
    </row>
    <row r="404" spans="1:32" s="4" customFormat="1" ht="12.75" x14ac:dyDescent="0.2">
      <c r="A404" s="7" t="s">
        <v>1368</v>
      </c>
      <c r="B404" s="7" t="s">
        <v>1369</v>
      </c>
      <c r="C404" s="7" t="s">
        <v>1370</v>
      </c>
      <c r="D404" s="6">
        <v>0.761699199676514</v>
      </c>
      <c r="E404" s="6">
        <v>0.38074481487274203</v>
      </c>
      <c r="F404" s="6">
        <v>-7.9901494085789004E-2</v>
      </c>
      <c r="G404" s="6">
        <v>-0.54451781511306807</v>
      </c>
      <c r="H404" s="6">
        <v>1.236984968185425</v>
      </c>
      <c r="I404" s="6">
        <v>-0.24197699129581501</v>
      </c>
      <c r="J404" s="6">
        <v>-0.20248374342918402</v>
      </c>
      <c r="K404" s="6">
        <v>0.82813388109207209</v>
      </c>
      <c r="L404" s="6">
        <v>0.350408256053925</v>
      </c>
      <c r="M404" s="6">
        <v>0.63442128896713301</v>
      </c>
      <c r="N404" s="6">
        <v>2.0630506538574052</v>
      </c>
      <c r="O404" s="6">
        <v>2.019087175873493</v>
      </c>
      <c r="P404" s="6">
        <v>248.2104635025197</v>
      </c>
      <c r="Q404" s="6">
        <v>176.66765796783773</v>
      </c>
      <c r="R404" s="6">
        <v>19.039179170971327</v>
      </c>
      <c r="S404" s="6">
        <v>18.698673427752592</v>
      </c>
      <c r="T404" s="6">
        <v>1465.4951171875</v>
      </c>
      <c r="U404" s="6" t="str">
        <f>_xll.BDP($A404,"TRAILING_12M_R&amp;D_%_SALES",$A$1,$A$2)</f>
        <v>#N/A N/A</v>
      </c>
      <c r="V404" s="6">
        <v>25</v>
      </c>
      <c r="W404" s="6">
        <v>255040</v>
      </c>
      <c r="X404" s="6">
        <v>25504030</v>
      </c>
      <c r="Y404" s="7" t="s">
        <v>108</v>
      </c>
      <c r="Z404" s="7" t="s">
        <v>388</v>
      </c>
      <c r="AA404" s="7" t="s">
        <v>1371</v>
      </c>
      <c r="AB404" s="6">
        <v>59.179157257080078</v>
      </c>
      <c r="AC404" s="6">
        <v>0.95173693364423106</v>
      </c>
      <c r="AD404" s="6">
        <v>-21.018269938325407</v>
      </c>
      <c r="AE404" s="6">
        <v>490600</v>
      </c>
      <c r="AF404" s="6">
        <v>406000</v>
      </c>
    </row>
    <row r="405" spans="1:32" s="4" customFormat="1" ht="12.75" x14ac:dyDescent="0.2">
      <c r="A405" s="7" t="s">
        <v>1372</v>
      </c>
      <c r="B405" s="7" t="s">
        <v>1373</v>
      </c>
      <c r="C405" s="7" t="s">
        <v>1374</v>
      </c>
      <c r="D405" s="6">
        <v>-0.93534249067306507</v>
      </c>
      <c r="E405" s="6">
        <v>-0.67665922641754206</v>
      </c>
      <c r="F405" s="6">
        <v>1.5589878559112549</v>
      </c>
      <c r="G405" s="6">
        <v>-0.65392845869064309</v>
      </c>
      <c r="H405" s="6">
        <v>0.107612878084183</v>
      </c>
      <c r="I405" s="6">
        <v>1.2500564567745001E-2</v>
      </c>
      <c r="J405" s="6">
        <v>2.0034017562866211</v>
      </c>
      <c r="K405" s="6">
        <v>-0.99388551712036111</v>
      </c>
      <c r="L405" s="6">
        <v>1.3637446165084841</v>
      </c>
      <c r="M405" s="6">
        <v>-0.58388251066207908</v>
      </c>
      <c r="N405" s="6">
        <v>0.52377143217576705</v>
      </c>
      <c r="O405" s="6">
        <v>0.46660793715525606</v>
      </c>
      <c r="P405" s="6">
        <v>0.60941072513296202</v>
      </c>
      <c r="Q405" s="6"/>
      <c r="R405" s="6">
        <v>6.5641799777048906</v>
      </c>
      <c r="S405" s="6">
        <v>6.8632586200567101</v>
      </c>
      <c r="T405" s="6">
        <v>10.153541564941406</v>
      </c>
      <c r="U405" s="6" t="str">
        <f>_xll.BDP($A405,"TRAILING_12M_R&amp;D_%_SALES",$A$1,$A$2)</f>
        <v>#N/A N/A</v>
      </c>
      <c r="V405" s="6">
        <v>15</v>
      </c>
      <c r="W405" s="6">
        <v>151020</v>
      </c>
      <c r="X405" s="6">
        <v>15102010</v>
      </c>
      <c r="Y405" s="7" t="s">
        <v>38</v>
      </c>
      <c r="Z405" s="7" t="s">
        <v>39</v>
      </c>
      <c r="AA405" s="7" t="s">
        <v>39</v>
      </c>
      <c r="AB405" s="6">
        <v>69.137916564941406</v>
      </c>
      <c r="AC405" s="6">
        <v>0.99584365200594505</v>
      </c>
      <c r="AD405" s="6">
        <v>-11.82130801280098</v>
      </c>
      <c r="AE405" s="6">
        <v>51209</v>
      </c>
      <c r="AF405" s="6">
        <v>60424</v>
      </c>
    </row>
    <row r="406" spans="1:32" s="4" customFormat="1" ht="12.75" x14ac:dyDescent="0.2">
      <c r="A406" s="7" t="s">
        <v>1375</v>
      </c>
      <c r="B406" s="7" t="s">
        <v>1376</v>
      </c>
      <c r="C406" s="7" t="s">
        <v>1377</v>
      </c>
      <c r="D406" s="6">
        <v>-0.61711615324020408</v>
      </c>
      <c r="E406" s="6">
        <v>-0.71339875459671009</v>
      </c>
      <c r="F406" s="6">
        <v>-0.120594635605812</v>
      </c>
      <c r="G406" s="6">
        <v>-0.65502184629440308</v>
      </c>
      <c r="H406" s="6">
        <v>-1.27994692325592</v>
      </c>
      <c r="I406" s="6">
        <v>6.9592922925949E-2</v>
      </c>
      <c r="J406" s="6">
        <v>0.29814362525939903</v>
      </c>
      <c r="K406" s="6">
        <v>-1.1739127635955811</v>
      </c>
      <c r="L406" s="6">
        <v>0.56168401241302501</v>
      </c>
      <c r="M406" s="6">
        <v>-0.74344247579574607</v>
      </c>
      <c r="N406" s="6">
        <v>1.3380418013391331</v>
      </c>
      <c r="O406" s="6">
        <v>1.241087889881979</v>
      </c>
      <c r="P406" s="6">
        <v>1.3963856811457229</v>
      </c>
      <c r="Q406" s="6">
        <v>1.2726579536027489</v>
      </c>
      <c r="R406" s="6">
        <v>24.784166735394532</v>
      </c>
      <c r="S406" s="6">
        <v>14.774329749407858</v>
      </c>
      <c r="T406" s="6">
        <v>5.942659854888916</v>
      </c>
      <c r="U406" s="6">
        <f>_xll.BDP($A406,"TRAILING_12M_R&amp;D_%_SALES",$A$1,$A$2)</f>
        <v>2.8363160599971962</v>
      </c>
      <c r="V406" s="6">
        <v>30</v>
      </c>
      <c r="W406" s="6">
        <v>303010</v>
      </c>
      <c r="X406" s="6">
        <v>30301010</v>
      </c>
      <c r="Y406" s="7" t="s">
        <v>91</v>
      </c>
      <c r="Z406" s="7" t="s">
        <v>736</v>
      </c>
      <c r="AA406" s="7" t="s">
        <v>736</v>
      </c>
      <c r="AB406" s="6">
        <v>60.476814270019531</v>
      </c>
      <c r="AC406" s="6">
        <v>0.30517371196258603</v>
      </c>
      <c r="AD406" s="6">
        <v>-11.648051921284475</v>
      </c>
      <c r="AE406" s="6">
        <v>52450</v>
      </c>
      <c r="AF406" s="6">
        <v>51350</v>
      </c>
    </row>
    <row r="407" spans="1:32" s="4" customFormat="1" ht="12.75" x14ac:dyDescent="0.2">
      <c r="A407" s="7" t="s">
        <v>1378</v>
      </c>
      <c r="B407" s="7" t="s">
        <v>1379</v>
      </c>
      <c r="C407" s="7" t="s">
        <v>1380</v>
      </c>
      <c r="D407" s="6">
        <v>-0.61711615324020408</v>
      </c>
      <c r="E407" s="6">
        <v>-0.71339875459671009</v>
      </c>
      <c r="F407" s="6">
        <v>-0.120594635605812</v>
      </c>
      <c r="G407" s="6">
        <v>-0.65502184629440308</v>
      </c>
      <c r="H407" s="6">
        <v>-1.27994692325592</v>
      </c>
      <c r="I407" s="6">
        <v>6.9592922925949E-2</v>
      </c>
      <c r="J407" s="6">
        <v>0.29814362525939903</v>
      </c>
      <c r="K407" s="6">
        <v>-1.1739127635955811</v>
      </c>
      <c r="L407" s="6">
        <v>0.56168401241302501</v>
      </c>
      <c r="M407" s="6">
        <v>-0.74344247579574607</v>
      </c>
      <c r="N407" s="6">
        <v>1.3380418013391331</v>
      </c>
      <c r="O407" s="6">
        <v>1.239094477443214</v>
      </c>
      <c r="P407" s="6">
        <v>1.3963856811457229</v>
      </c>
      <c r="Q407" s="6">
        <v>1.2646062025804179</v>
      </c>
      <c r="R407" s="6">
        <v>24.784166735394532</v>
      </c>
      <c r="S407" s="6">
        <v>14.680856758874844</v>
      </c>
      <c r="T407" s="6">
        <v>5.942659854888916</v>
      </c>
      <c r="U407" s="6">
        <f>_xll.BDP($A407,"TRAILING_12M_R&amp;D_%_SALES",$A$1,$A$2)</f>
        <v>2.8363160599971962</v>
      </c>
      <c r="V407" s="6">
        <v>30</v>
      </c>
      <c r="W407" s="6">
        <v>303010</v>
      </c>
      <c r="X407" s="6">
        <v>30301010</v>
      </c>
      <c r="Y407" s="7" t="s">
        <v>91</v>
      </c>
      <c r="Z407" s="7" t="s">
        <v>736</v>
      </c>
      <c r="AA407" s="7" t="s">
        <v>736</v>
      </c>
      <c r="AB407" s="6">
        <v>60.476814270019531</v>
      </c>
      <c r="AC407" s="6">
        <v>0.67281283169795203</v>
      </c>
      <c r="AD407" s="6">
        <v>-15.269447038876949</v>
      </c>
      <c r="AE407" s="6">
        <v>52450</v>
      </c>
      <c r="AF407" s="6">
        <v>51350</v>
      </c>
    </row>
    <row r="408" spans="1:32" s="4" customFormat="1" ht="12.75" x14ac:dyDescent="0.2">
      <c r="A408" s="7" t="s">
        <v>1381</v>
      </c>
      <c r="B408" s="7" t="s">
        <v>1382</v>
      </c>
      <c r="C408" s="7" t="s">
        <v>1383</v>
      </c>
      <c r="D408" s="6">
        <v>-0.61711615324020408</v>
      </c>
      <c r="E408" s="6">
        <v>-0.71339875459671009</v>
      </c>
      <c r="F408" s="6">
        <v>-0.120594635605812</v>
      </c>
      <c r="G408" s="6">
        <v>-0.65502184629440308</v>
      </c>
      <c r="H408" s="6">
        <v>-1.27994692325592</v>
      </c>
      <c r="I408" s="6">
        <v>6.9592922925949E-2</v>
      </c>
      <c r="J408" s="6">
        <v>0.29814362525939903</v>
      </c>
      <c r="K408" s="6">
        <v>-1.1739127635955811</v>
      </c>
      <c r="L408" s="6">
        <v>0.56168401241302501</v>
      </c>
      <c r="M408" s="6">
        <v>-0.74344247579574607</v>
      </c>
      <c r="N408" s="6">
        <v>1.3380418013391331</v>
      </c>
      <c r="O408" s="6">
        <v>1.241087889881979</v>
      </c>
      <c r="P408" s="6">
        <v>1.3963856811457229</v>
      </c>
      <c r="Q408" s="6">
        <v>1.346850119857582</v>
      </c>
      <c r="R408" s="6">
        <v>24.784166735394532</v>
      </c>
      <c r="S408" s="6">
        <v>15.635629147230151</v>
      </c>
      <c r="T408" s="6">
        <v>5.942659854888916</v>
      </c>
      <c r="U408" s="6">
        <f>_xll.BDP($A408,"TRAILING_12M_R&amp;D_%_SALES",$A$1,$A$2)</f>
        <v>2.8363160599971962</v>
      </c>
      <c r="V408" s="6">
        <v>30</v>
      </c>
      <c r="W408" s="6">
        <v>303010</v>
      </c>
      <c r="X408" s="6">
        <v>30301010</v>
      </c>
      <c r="Y408" s="7" t="s">
        <v>91</v>
      </c>
      <c r="Z408" s="7" t="s">
        <v>736</v>
      </c>
      <c r="AA408" s="7" t="s">
        <v>736</v>
      </c>
      <c r="AB408" s="6">
        <v>60.476814270019531</v>
      </c>
      <c r="AC408" s="6">
        <v>0.35297357400602902</v>
      </c>
      <c r="AD408" s="6">
        <v>-7.9769824052748124</v>
      </c>
      <c r="AE408" s="6">
        <v>52450</v>
      </c>
      <c r="AF408" s="6">
        <v>51350</v>
      </c>
    </row>
    <row r="409" spans="1:32" s="4" customFormat="1" ht="12.75" x14ac:dyDescent="0.2">
      <c r="A409" s="7" t="s">
        <v>1384</v>
      </c>
      <c r="B409" s="7" t="s">
        <v>1385</v>
      </c>
      <c r="C409" s="7" t="s">
        <v>1386</v>
      </c>
      <c r="D409" s="6">
        <v>-0.61711615324020408</v>
      </c>
      <c r="E409" s="6">
        <v>-0.71339875459671009</v>
      </c>
      <c r="F409" s="6">
        <v>-0.120594635605812</v>
      </c>
      <c r="G409" s="6">
        <v>-0.65502184629440308</v>
      </c>
      <c r="H409" s="6">
        <v>-1.27994692325592</v>
      </c>
      <c r="I409" s="6">
        <v>6.9592922925949E-2</v>
      </c>
      <c r="J409" s="6">
        <v>0.29814362525939903</v>
      </c>
      <c r="K409" s="6">
        <v>-1.1739127635955811</v>
      </c>
      <c r="L409" s="6">
        <v>0.56168401241302501</v>
      </c>
      <c r="M409" s="6">
        <v>-0.74344247579574607</v>
      </c>
      <c r="N409" s="6">
        <v>1.3380418013391331</v>
      </c>
      <c r="O409" s="6"/>
      <c r="P409" s="6">
        <v>1.3963856811457229</v>
      </c>
      <c r="Q409" s="6"/>
      <c r="R409" s="6">
        <v>24.784166735394532</v>
      </c>
      <c r="S409" s="6"/>
      <c r="T409" s="6">
        <v>5.942659854888916</v>
      </c>
      <c r="U409" s="6">
        <f>_xll.BDP($A409,"TRAILING_12M_R&amp;D_%_SALES",$A$1,$A$2)</f>
        <v>2.8363160599971962</v>
      </c>
      <c r="V409" s="6">
        <v>30</v>
      </c>
      <c r="W409" s="6">
        <v>303010</v>
      </c>
      <c r="X409" s="6">
        <v>30301010</v>
      </c>
      <c r="Y409" s="7" t="s">
        <v>91</v>
      </c>
      <c r="Z409" s="7" t="s">
        <v>736</v>
      </c>
      <c r="AA409" s="7" t="s">
        <v>736</v>
      </c>
      <c r="AB409" s="6">
        <v>60.476814270019531</v>
      </c>
      <c r="AC409" s="6">
        <v>0.68277684888595802</v>
      </c>
      <c r="AD409" s="6">
        <v>-10.770867410373807</v>
      </c>
      <c r="AE409" s="6">
        <v>52450</v>
      </c>
      <c r="AF409" s="6">
        <v>51350</v>
      </c>
    </row>
    <row r="410" spans="1:32" s="4" customFormat="1" ht="12.75" x14ac:dyDescent="0.2">
      <c r="A410" s="7" t="s">
        <v>1387</v>
      </c>
      <c r="B410" s="7" t="s">
        <v>1388</v>
      </c>
      <c r="C410" s="7" t="s">
        <v>1389</v>
      </c>
      <c r="D410" s="6">
        <v>-0.79748737812042203</v>
      </c>
      <c r="E410" s="6">
        <v>-0.13569602370262102</v>
      </c>
      <c r="F410" s="6">
        <v>-0.14154694974422502</v>
      </c>
      <c r="G410" s="6">
        <v>6.4093664288521007E-2</v>
      </c>
      <c r="H410" s="6">
        <v>0.37462723255157504</v>
      </c>
      <c r="I410" s="6">
        <v>1.825513482093811</v>
      </c>
      <c r="J410" s="6">
        <v>6.0300223529339003E-2</v>
      </c>
      <c r="K410" s="6">
        <v>-0.17169690132141102</v>
      </c>
      <c r="L410" s="6">
        <v>-0.29242989420890803</v>
      </c>
      <c r="M410" s="6">
        <v>0.30213937163353</v>
      </c>
      <c r="N410" s="6">
        <v>4.1232708029011089</v>
      </c>
      <c r="O410" s="6">
        <v>3.8307524511053401</v>
      </c>
      <c r="P410" s="6">
        <v>5.7844040026727219</v>
      </c>
      <c r="Q410" s="6">
        <v>4.3414489433081904</v>
      </c>
      <c r="R410" s="6">
        <v>22.819255904508918</v>
      </c>
      <c r="S410" s="6">
        <v>15.608618669173522</v>
      </c>
      <c r="T410" s="6">
        <v>28.311056137084961</v>
      </c>
      <c r="U410" s="6" t="str">
        <f>_xll.BDP($A410,"TRAILING_12M_R&amp;D_%_SALES",$A$1,$A$2)</f>
        <v>#N/A N/A</v>
      </c>
      <c r="V410" s="6">
        <v>10</v>
      </c>
      <c r="W410" s="6">
        <v>101020</v>
      </c>
      <c r="X410" s="6">
        <v>10102020</v>
      </c>
      <c r="Y410" s="7" t="s">
        <v>505</v>
      </c>
      <c r="Z410" s="7" t="s">
        <v>556</v>
      </c>
      <c r="AA410" s="7" t="s">
        <v>776</v>
      </c>
      <c r="AB410" s="6">
        <v>72.819633483886719</v>
      </c>
      <c r="AC410" s="6">
        <v>0.85752340296199403</v>
      </c>
      <c r="AD410" s="6">
        <v>94.255081440042915</v>
      </c>
      <c r="AE410" s="6">
        <v>1545</v>
      </c>
      <c r="AF410" s="6">
        <v>2304</v>
      </c>
    </row>
    <row r="411" spans="1:32" s="4" customFormat="1" ht="12.75" x14ac:dyDescent="0.2">
      <c r="A411" s="7" t="s">
        <v>1390</v>
      </c>
      <c r="B411" s="7" t="s">
        <v>1391</v>
      </c>
      <c r="C411" s="7" t="s">
        <v>1392</v>
      </c>
      <c r="D411" s="6">
        <v>-0.49728074669838002</v>
      </c>
      <c r="E411" s="6">
        <v>-0.69061535596847501</v>
      </c>
      <c r="F411" s="6">
        <v>-0.24161927402019501</v>
      </c>
      <c r="G411" s="6">
        <v>-0.18755978345871002</v>
      </c>
      <c r="H411" s="6">
        <v>-0.65775465965271007</v>
      </c>
      <c r="I411" s="6">
        <v>0.48072454333305403</v>
      </c>
      <c r="J411" s="6">
        <v>0.8270128369331361</v>
      </c>
      <c r="K411" s="6">
        <v>-0.48718112707138106</v>
      </c>
      <c r="L411" s="6">
        <v>0.27239552140235901</v>
      </c>
      <c r="M411" s="6">
        <v>-0.7967309951782231</v>
      </c>
      <c r="N411" s="6">
        <v>1.129587355046022</v>
      </c>
      <c r="O411" s="6">
        <v>1.0129586185933459</v>
      </c>
      <c r="P411" s="6">
        <v>1.9214174798478791</v>
      </c>
      <c r="Q411" s="6">
        <v>1.6044614768679741</v>
      </c>
      <c r="R411" s="6">
        <v>11.062248863564589</v>
      </c>
      <c r="S411" s="6">
        <v>8.957735242697467</v>
      </c>
      <c r="T411" s="6">
        <v>12.878812789916992</v>
      </c>
      <c r="U411" s="6" t="str">
        <f>_xll.BDP($A411,"TRAILING_12M_R&amp;D_%_SALES",$A$1,$A$2)</f>
        <v>#N/A N/A</v>
      </c>
      <c r="V411" s="6">
        <v>40</v>
      </c>
      <c r="W411" s="6">
        <v>403010</v>
      </c>
      <c r="X411" s="6">
        <v>40301040</v>
      </c>
      <c r="Y411" s="7" t="s">
        <v>53</v>
      </c>
      <c r="Z411" s="7" t="s">
        <v>54</v>
      </c>
      <c r="AA411" s="7" t="s">
        <v>125</v>
      </c>
      <c r="AB411" s="6">
        <v>61.50286865234375</v>
      </c>
      <c r="AC411" s="6">
        <v>0.82934497935025209</v>
      </c>
      <c r="AD411" s="6">
        <v>12.186184646645115</v>
      </c>
      <c r="AE411" s="6">
        <v>18100</v>
      </c>
      <c r="AF411" s="6">
        <v>16900</v>
      </c>
    </row>
    <row r="412" spans="1:32" s="4" customFormat="1" ht="12.75" x14ac:dyDescent="0.2">
      <c r="A412" s="7" t="s">
        <v>1393</v>
      </c>
      <c r="B412" s="7" t="s">
        <v>1394</v>
      </c>
      <c r="C412" s="7" t="s">
        <v>1395</v>
      </c>
      <c r="D412" s="6">
        <v>-0.80325263738632202</v>
      </c>
      <c r="E412" s="6">
        <v>-9.9889449775219005E-2</v>
      </c>
      <c r="F412" s="6">
        <v>0.59348225593566906</v>
      </c>
      <c r="G412" s="6">
        <v>-0.49755427241325406</v>
      </c>
      <c r="H412" s="6">
        <v>-1.3506956100463872</v>
      </c>
      <c r="I412" s="6">
        <v>-0.45610579848289501</v>
      </c>
      <c r="J412" s="6">
        <v>-0.59820199012756303</v>
      </c>
      <c r="K412" s="6">
        <v>-3.6646857857704003E-2</v>
      </c>
      <c r="L412" s="6">
        <v>0.26307520270347601</v>
      </c>
      <c r="M412" s="6">
        <v>-0.98704218864440907</v>
      </c>
      <c r="N412" s="6">
        <v>24.415489984365532</v>
      </c>
      <c r="O412" s="6">
        <v>20.154961644966154</v>
      </c>
      <c r="P412" s="6">
        <v>9.095862895715749</v>
      </c>
      <c r="Q412" s="6">
        <v>7.9427309822794694</v>
      </c>
      <c r="R412" s="6">
        <v>43.556771461567756</v>
      </c>
      <c r="S412" s="6">
        <v>34.934456970394223</v>
      </c>
      <c r="T412" s="6">
        <v>20.75233268737793</v>
      </c>
      <c r="U412" s="6">
        <f>_xll.BDP($A412,"TRAILING_12M_R&amp;D_%_SALES",$A$1,$A$2)</f>
        <v>0</v>
      </c>
      <c r="V412" s="6">
        <v>40</v>
      </c>
      <c r="W412" s="6">
        <v>402030</v>
      </c>
      <c r="X412" s="6">
        <v>40203040</v>
      </c>
      <c r="Y412" s="7" t="s">
        <v>53</v>
      </c>
      <c r="Z412" s="7" t="s">
        <v>298</v>
      </c>
      <c r="AA412" s="7" t="s">
        <v>746</v>
      </c>
      <c r="AB412" s="6">
        <v>56.865505218505859</v>
      </c>
      <c r="AC412" s="6">
        <v>0.57554104353644908</v>
      </c>
      <c r="AD412" s="6">
        <v>-26.487112279436566</v>
      </c>
      <c r="AE412" s="6"/>
      <c r="AF412" s="6">
        <v>1603</v>
      </c>
    </row>
    <row r="413" spans="1:32" s="4" customFormat="1" ht="12.75" x14ac:dyDescent="0.2">
      <c r="A413" s="7" t="s">
        <v>1396</v>
      </c>
      <c r="B413" s="7" t="s">
        <v>1397</v>
      </c>
      <c r="C413" s="7" t="s">
        <v>1398</v>
      </c>
      <c r="D413" s="6">
        <v>-0.80325263738632202</v>
      </c>
      <c r="E413" s="6">
        <v>-9.9889449775219005E-2</v>
      </c>
      <c r="F413" s="6">
        <v>0.59348225593566906</v>
      </c>
      <c r="G413" s="6">
        <v>-0.49755427241325406</v>
      </c>
      <c r="H413" s="6">
        <v>-1.3506956100463872</v>
      </c>
      <c r="I413" s="6">
        <v>-0.45610579848289501</v>
      </c>
      <c r="J413" s="6">
        <v>-0.59820199012756303</v>
      </c>
      <c r="K413" s="6">
        <v>-3.6646857857704003E-2</v>
      </c>
      <c r="L413" s="6">
        <v>0.26307520270347601</v>
      </c>
      <c r="M413" s="6">
        <v>-0.98704218864440907</v>
      </c>
      <c r="N413" s="6">
        <v>24.415489984365532</v>
      </c>
      <c r="O413" s="6"/>
      <c r="P413" s="6">
        <v>9.095862895715749</v>
      </c>
      <c r="Q413" s="6"/>
      <c r="R413" s="6">
        <v>43.556771461567756</v>
      </c>
      <c r="S413" s="6"/>
      <c r="T413" s="6">
        <v>20.75233268737793</v>
      </c>
      <c r="U413" s="6">
        <f>_xll.BDP($A413,"TRAILING_12M_R&amp;D_%_SALES",$A$1,$A$2)</f>
        <v>0</v>
      </c>
      <c r="V413" s="6">
        <v>40</v>
      </c>
      <c r="W413" s="6">
        <v>402030</v>
      </c>
      <c r="X413" s="6">
        <v>40203040</v>
      </c>
      <c r="Y413" s="7" t="s">
        <v>53</v>
      </c>
      <c r="Z413" s="7" t="s">
        <v>298</v>
      </c>
      <c r="AA413" s="7" t="s">
        <v>746</v>
      </c>
      <c r="AB413" s="6">
        <v>56.865505218505859</v>
      </c>
      <c r="AC413" s="6">
        <v>0.720145801108379</v>
      </c>
      <c r="AD413" s="6">
        <v>-25.924772988559887</v>
      </c>
      <c r="AE413" s="6"/>
      <c r="AF413" s="6">
        <v>1603</v>
      </c>
    </row>
    <row r="414" spans="1:32" s="4" customFormat="1" ht="12.75" x14ac:dyDescent="0.2">
      <c r="A414" s="7" t="s">
        <v>1399</v>
      </c>
      <c r="B414" s="7" t="s">
        <v>1400</v>
      </c>
      <c r="C414" s="7" t="s">
        <v>1401</v>
      </c>
      <c r="D414" s="6">
        <v>-0.93534249067306507</v>
      </c>
      <c r="E414" s="6">
        <v>-0.67665922641754206</v>
      </c>
      <c r="F414" s="6">
        <v>1.5589878559112549</v>
      </c>
      <c r="G414" s="6">
        <v>-0.65392845869064309</v>
      </c>
      <c r="H414" s="6">
        <v>0.107612878084183</v>
      </c>
      <c r="I414" s="6">
        <v>1.2500564567745001E-2</v>
      </c>
      <c r="J414" s="6">
        <v>2.0034017562866211</v>
      </c>
      <c r="K414" s="6">
        <v>-0.99388551712036111</v>
      </c>
      <c r="L414" s="6">
        <v>1.3637446165084841</v>
      </c>
      <c r="M414" s="6">
        <v>-0.58388251066207908</v>
      </c>
      <c r="N414" s="6">
        <v>0.52377143217576705</v>
      </c>
      <c r="O414" s="6">
        <v>0.48374120095972406</v>
      </c>
      <c r="P414" s="6">
        <v>0.60941072513296202</v>
      </c>
      <c r="Q414" s="6">
        <v>0.60093518817227609</v>
      </c>
      <c r="R414" s="6">
        <v>6.5641799777048906</v>
      </c>
      <c r="S414" s="6">
        <v>7.3815198483290541</v>
      </c>
      <c r="T414" s="6">
        <v>10.153541564941406</v>
      </c>
      <c r="U414" s="6" t="str">
        <f>_xll.BDP($A414,"TRAILING_12M_R&amp;D_%_SALES",$A$1,$A$2)</f>
        <v>#N/A N/A</v>
      </c>
      <c r="V414" s="6">
        <v>15</v>
      </c>
      <c r="W414" s="6">
        <v>151020</v>
      </c>
      <c r="X414" s="6">
        <v>15102010</v>
      </c>
      <c r="Y414" s="7" t="s">
        <v>38</v>
      </c>
      <c r="Z414" s="7" t="s">
        <v>39</v>
      </c>
      <c r="AA414" s="7" t="s">
        <v>39</v>
      </c>
      <c r="AB414" s="6">
        <v>69.137916564941406</v>
      </c>
      <c r="AC414" s="6">
        <v>0.47232408364093303</v>
      </c>
      <c r="AD414" s="6">
        <v>-10.921143784928123</v>
      </c>
      <c r="AE414" s="6">
        <v>51209</v>
      </c>
      <c r="AF414" s="6">
        <v>60424</v>
      </c>
    </row>
    <row r="415" spans="1:32" s="4" customFormat="1" ht="12.75" x14ac:dyDescent="0.2">
      <c r="A415" s="7" t="s">
        <v>1402</v>
      </c>
      <c r="B415" s="7" t="s">
        <v>1403</v>
      </c>
      <c r="C415" s="7" t="s">
        <v>1404</v>
      </c>
      <c r="D415" s="6">
        <v>0.28850531578064004</v>
      </c>
      <c r="E415" s="6">
        <v>-0.90182679891586304</v>
      </c>
      <c r="F415" s="6">
        <v>0.74430078268051103</v>
      </c>
      <c r="G415" s="6">
        <v>-0.82177239656448409</v>
      </c>
      <c r="H415" s="6">
        <v>0.157176554203033</v>
      </c>
      <c r="I415" s="6">
        <v>0.43568226695060702</v>
      </c>
      <c r="J415" s="6">
        <v>2.2934567928314209</v>
      </c>
      <c r="K415" s="6">
        <v>-0.85052740573883112</v>
      </c>
      <c r="L415" s="6">
        <v>1.0969446897506709</v>
      </c>
      <c r="M415" s="6">
        <v>-0.55504035949707009</v>
      </c>
      <c r="N415" s="6">
        <v>0.33154882486658904</v>
      </c>
      <c r="O415" s="6">
        <v>0.31957558639779204</v>
      </c>
      <c r="P415" s="6">
        <v>0.44467805910520902</v>
      </c>
      <c r="Q415" s="6"/>
      <c r="R415" s="6">
        <v>7.9057155468788123</v>
      </c>
      <c r="S415" s="6">
        <v>6.0009140899448523</v>
      </c>
      <c r="T415" s="6">
        <v>6.2169680595397949</v>
      </c>
      <c r="U415" s="6">
        <f>_xll.BDP($A415,"TRAILING_12M_R&amp;D_%_SALES",$A$1,$A$2)</f>
        <v>4.8555441702341229</v>
      </c>
      <c r="V415" s="6">
        <v>25</v>
      </c>
      <c r="W415" s="6">
        <v>251020</v>
      </c>
      <c r="X415" s="6">
        <v>25102010</v>
      </c>
      <c r="Y415" s="7" t="s">
        <v>108</v>
      </c>
      <c r="Z415" s="7" t="s">
        <v>422</v>
      </c>
      <c r="AA415" s="7" t="s">
        <v>423</v>
      </c>
      <c r="AB415" s="6">
        <v>58.967910766601563</v>
      </c>
      <c r="AC415" s="6">
        <v>0.82899368088225711</v>
      </c>
      <c r="AD415" s="6">
        <v>-16.079380350408425</v>
      </c>
      <c r="AE415" s="6">
        <v>204035</v>
      </c>
      <c r="AF415" s="6">
        <v>211915</v>
      </c>
    </row>
    <row r="416" spans="1:32" s="4" customFormat="1" ht="12.75" x14ac:dyDescent="0.2">
      <c r="A416" s="7" t="s">
        <v>1405</v>
      </c>
      <c r="B416" s="7" t="s">
        <v>1406</v>
      </c>
      <c r="C416" s="7" t="s">
        <v>1407</v>
      </c>
      <c r="D416" s="6">
        <v>-0.96260178089141812</v>
      </c>
      <c r="E416" s="6">
        <v>-0.63290840387344405</v>
      </c>
      <c r="F416" s="6">
        <v>1.1774255037307739</v>
      </c>
      <c r="G416" s="6">
        <v>-0.72798424959182706</v>
      </c>
      <c r="H416" s="6">
        <v>0.22736738622188601</v>
      </c>
      <c r="I416" s="6">
        <v>-0.45884400606155401</v>
      </c>
      <c r="J416" s="6">
        <v>0.44668862223625205</v>
      </c>
      <c r="K416" s="6">
        <v>-0.80574905872345004</v>
      </c>
      <c r="L416" s="6">
        <v>1.9716134071350102</v>
      </c>
      <c r="M416" s="6">
        <v>-4.3494369834661005E-2</v>
      </c>
      <c r="N416" s="6">
        <v>0.85194594507259902</v>
      </c>
      <c r="O416" s="6">
        <v>0.80831610570284507</v>
      </c>
      <c r="P416" s="6">
        <v>3.415699681683201</v>
      </c>
      <c r="Q416" s="6">
        <v>3.6065049373906439</v>
      </c>
      <c r="R416" s="6">
        <v>20.556776246313206</v>
      </c>
      <c r="S416" s="6">
        <v>20.514990875494355</v>
      </c>
      <c r="T416" s="6">
        <v>15.278528213500977</v>
      </c>
      <c r="U416" s="6" t="str">
        <f>_xll.BDP($A416,"TRAILING_12M_R&amp;D_%_SALES",$A$1,$A$2)</f>
        <v>#N/A N/A</v>
      </c>
      <c r="V416" s="6">
        <v>25</v>
      </c>
      <c r="W416" s="6">
        <v>255040</v>
      </c>
      <c r="X416" s="6">
        <v>25504010</v>
      </c>
      <c r="Y416" s="7" t="s">
        <v>108</v>
      </c>
      <c r="Z416" s="7" t="s">
        <v>388</v>
      </c>
      <c r="AA416" s="7" t="s">
        <v>1247</v>
      </c>
      <c r="AB416" s="6">
        <v>52.197967529296875</v>
      </c>
      <c r="AC416" s="6">
        <v>0.64277239595535507</v>
      </c>
      <c r="AD416" s="6">
        <v>-40.726016703910602</v>
      </c>
      <c r="AE416" s="6">
        <v>155000</v>
      </c>
      <c r="AF416" s="6">
        <v>161000</v>
      </c>
    </row>
    <row r="417" spans="1:32" s="4" customFormat="1" ht="12.75" x14ac:dyDescent="0.2">
      <c r="A417" s="7" t="s">
        <v>1408</v>
      </c>
      <c r="B417" s="7" t="s">
        <v>1409</v>
      </c>
      <c r="C417" s="7" t="s">
        <v>1410</v>
      </c>
      <c r="D417" s="6">
        <v>0.28850531578064004</v>
      </c>
      <c r="E417" s="6">
        <v>-0.90182679891586304</v>
      </c>
      <c r="F417" s="6">
        <v>0.74430078268051103</v>
      </c>
      <c r="G417" s="6">
        <v>-0.82177239656448409</v>
      </c>
      <c r="H417" s="6">
        <v>0.157176554203033</v>
      </c>
      <c r="I417" s="6">
        <v>0.43568226695060702</v>
      </c>
      <c r="J417" s="6">
        <v>2.2934567928314209</v>
      </c>
      <c r="K417" s="6">
        <v>-0.85052740573883112</v>
      </c>
      <c r="L417" s="6">
        <v>1.0969446897506709</v>
      </c>
      <c r="M417" s="6">
        <v>-0.55504035949707009</v>
      </c>
      <c r="N417" s="6">
        <v>0.33154882486658904</v>
      </c>
      <c r="O417" s="6">
        <v>0.29764604781323101</v>
      </c>
      <c r="P417" s="6">
        <v>0.44467805910520902</v>
      </c>
      <c r="Q417" s="6">
        <v>0.43752419164906503</v>
      </c>
      <c r="R417" s="6">
        <v>7.9057155468788123</v>
      </c>
      <c r="S417" s="6">
        <v>6.2622127634987281</v>
      </c>
      <c r="T417" s="6">
        <v>6.2169680595397949</v>
      </c>
      <c r="U417" s="6">
        <f>_xll.BDP($A417,"TRAILING_12M_R&amp;D_%_SALES",$A$1,$A$2)</f>
        <v>4.8555441702341229</v>
      </c>
      <c r="V417" s="6">
        <v>25</v>
      </c>
      <c r="W417" s="6">
        <v>251020</v>
      </c>
      <c r="X417" s="6">
        <v>25102010</v>
      </c>
      <c r="Y417" s="7" t="s">
        <v>108</v>
      </c>
      <c r="Z417" s="7" t="s">
        <v>422</v>
      </c>
      <c r="AA417" s="7" t="s">
        <v>423</v>
      </c>
      <c r="AB417" s="6">
        <v>58.967910766601563</v>
      </c>
      <c r="AC417" s="6">
        <v>0.34175253318227505</v>
      </c>
      <c r="AD417" s="6">
        <v>-18.198545380367513</v>
      </c>
      <c r="AE417" s="6">
        <v>204035</v>
      </c>
      <c r="AF417" s="6">
        <v>211915</v>
      </c>
    </row>
    <row r="418" spans="1:32" s="4" customFormat="1" ht="12.75" x14ac:dyDescent="0.2">
      <c r="A418" s="7" t="s">
        <v>1411</v>
      </c>
      <c r="B418" s="7" t="s">
        <v>1412</v>
      </c>
      <c r="C418" s="7" t="s">
        <v>1413</v>
      </c>
      <c r="D418" s="6">
        <v>0.34741190075874301</v>
      </c>
      <c r="E418" s="6">
        <v>-0.82805395126342807</v>
      </c>
      <c r="F418" s="6">
        <v>-0.69967222213745106</v>
      </c>
      <c r="G418" s="6">
        <v>-0.82358676195144709</v>
      </c>
      <c r="H418" s="6">
        <v>-0.643329977989197</v>
      </c>
      <c r="I418" s="6">
        <v>0.32257473468780501</v>
      </c>
      <c r="J418" s="6">
        <v>1.3872015476226811</v>
      </c>
      <c r="K418" s="6">
        <v>-0.18153078854084001</v>
      </c>
      <c r="L418" s="6">
        <v>1.8678655624389651</v>
      </c>
      <c r="M418" s="6">
        <v>3.7799146026373E-2</v>
      </c>
      <c r="N418" s="6">
        <v>0.21129204506752802</v>
      </c>
      <c r="O418" s="6"/>
      <c r="P418" s="6">
        <v>0.95567087816217111</v>
      </c>
      <c r="Q418" s="6"/>
      <c r="R418" s="6">
        <v>9.4936882674364007</v>
      </c>
      <c r="S418" s="6"/>
      <c r="T418" s="6">
        <v>10.502057075500488</v>
      </c>
      <c r="U418" s="6">
        <f>_xll.BDP($A418,"TRAILING_12M_R&amp;D_%_SALES",$A$1,$A$2)</f>
        <v>1.7380068360886287</v>
      </c>
      <c r="V418" s="6">
        <v>45</v>
      </c>
      <c r="W418" s="6">
        <v>452030</v>
      </c>
      <c r="X418" s="6">
        <v>45203020</v>
      </c>
      <c r="Y418" s="7" t="s">
        <v>66</v>
      </c>
      <c r="Z418" s="7" t="s">
        <v>339</v>
      </c>
      <c r="AA418" s="7" t="s">
        <v>1414</v>
      </c>
      <c r="AB418" s="6">
        <v>67.447944641113281</v>
      </c>
      <c r="AC418" s="6">
        <v>0.35476101455389303</v>
      </c>
      <c r="AD418" s="6"/>
      <c r="AE418" s="6">
        <v>826608</v>
      </c>
      <c r="AF418" s="6">
        <v>726772</v>
      </c>
    </row>
    <row r="419" spans="1:32" s="4" customFormat="1" ht="12.75" x14ac:dyDescent="0.2">
      <c r="A419" s="7" t="s">
        <v>1415</v>
      </c>
      <c r="B419" s="7" t="s">
        <v>1416</v>
      </c>
      <c r="C419" s="7" t="s">
        <v>1417</v>
      </c>
      <c r="D419" s="6">
        <v>0.63330799341201804</v>
      </c>
      <c r="E419" s="6">
        <v>-0.35817494988441501</v>
      </c>
      <c r="F419" s="6">
        <v>-0.31082761287689203</v>
      </c>
      <c r="G419" s="6">
        <v>-0.92407166957855202</v>
      </c>
      <c r="H419" s="6">
        <v>-0.7508215308189391</v>
      </c>
      <c r="I419" s="6">
        <v>-0.37455067038536105</v>
      </c>
      <c r="J419" s="6">
        <v>1.990992546081543</v>
      </c>
      <c r="K419" s="6">
        <v>0.13281075656414001</v>
      </c>
      <c r="L419" s="6">
        <v>1.158242344856262</v>
      </c>
      <c r="M419" s="6">
        <v>0.26053985953331005</v>
      </c>
      <c r="N419" s="6">
        <v>0.21129204506752802</v>
      </c>
      <c r="O419" s="6"/>
      <c r="P419" s="6">
        <v>0.95567087816217111</v>
      </c>
      <c r="Q419" s="6"/>
      <c r="R419" s="6">
        <v>9.4936882674364007</v>
      </c>
      <c r="S419" s="6"/>
      <c r="T419" s="6">
        <v>10.502057075500488</v>
      </c>
      <c r="U419" s="6">
        <f>_xll.BDP($A419,"TRAILING_12M_R&amp;D_%_SALES",$A$1,$A$2)</f>
        <v>1.7380068360886287</v>
      </c>
      <c r="V419" s="6">
        <v>45</v>
      </c>
      <c r="W419" s="6">
        <v>452030</v>
      </c>
      <c r="X419" s="6">
        <v>45203020</v>
      </c>
      <c r="Y419" s="7" t="s">
        <v>66</v>
      </c>
      <c r="Z419" s="7" t="s">
        <v>339</v>
      </c>
      <c r="AA419" s="7" t="s">
        <v>1414</v>
      </c>
      <c r="AB419" s="6">
        <v>67.447944641113281</v>
      </c>
      <c r="AC419" s="6"/>
      <c r="AD419" s="6"/>
      <c r="AE419" s="6">
        <v>826608</v>
      </c>
      <c r="AF419" s="6">
        <v>726772</v>
      </c>
    </row>
    <row r="420" spans="1:32" s="4" customFormat="1" ht="12.75" x14ac:dyDescent="0.2">
      <c r="A420" s="7" t="s">
        <v>1418</v>
      </c>
      <c r="B420" s="7" t="s">
        <v>1419</v>
      </c>
      <c r="C420" s="7" t="s">
        <v>1420</v>
      </c>
      <c r="D420" s="6">
        <v>0.37305462360382102</v>
      </c>
      <c r="E420" s="6">
        <v>-0.8382930755615231</v>
      </c>
      <c r="F420" s="6">
        <v>-0.78728562593460105</v>
      </c>
      <c r="G420" s="6">
        <v>-0.81537216901779208</v>
      </c>
      <c r="H420" s="6">
        <v>-0.67059731483459506</v>
      </c>
      <c r="I420" s="6">
        <v>0.25322759151458701</v>
      </c>
      <c r="J420" s="6">
        <v>1.2331749200820921</v>
      </c>
      <c r="K420" s="6">
        <v>-0.17280754446983301</v>
      </c>
      <c r="L420" s="6">
        <v>1.692669272422791</v>
      </c>
      <c r="M420" s="6">
        <v>2.7985388413072004E-2</v>
      </c>
      <c r="N420" s="6">
        <v>0.21129204506752802</v>
      </c>
      <c r="O420" s="6"/>
      <c r="P420" s="6">
        <v>0.95567087816217111</v>
      </c>
      <c r="Q420" s="6"/>
      <c r="R420" s="6">
        <v>9.4936882674364007</v>
      </c>
      <c r="S420" s="6"/>
      <c r="T420" s="6">
        <v>10.502057075500488</v>
      </c>
      <c r="U420" s="6">
        <f>_xll.BDP($A420,"TRAILING_12M_R&amp;D_%_SALES",$A$1,$A$2)</f>
        <v>1.7380068360886287</v>
      </c>
      <c r="V420" s="6">
        <v>45</v>
      </c>
      <c r="W420" s="6">
        <v>452030</v>
      </c>
      <c r="X420" s="6">
        <v>45203020</v>
      </c>
      <c r="Y420" s="7" t="s">
        <v>66</v>
      </c>
      <c r="Z420" s="7" t="s">
        <v>339</v>
      </c>
      <c r="AA420" s="7" t="s">
        <v>1414</v>
      </c>
      <c r="AB420" s="6">
        <v>67.447944641113281</v>
      </c>
      <c r="AC420" s="6">
        <v>0.58109928061212102</v>
      </c>
      <c r="AD420" s="6">
        <v>-9.1096899092781296</v>
      </c>
      <c r="AE420" s="6">
        <v>826608</v>
      </c>
      <c r="AF420" s="6">
        <v>726772</v>
      </c>
    </row>
    <row r="421" spans="1:32" s="4" customFormat="1" ht="12.75" x14ac:dyDescent="0.2">
      <c r="A421" s="7" t="s">
        <v>1421</v>
      </c>
      <c r="B421" s="7" t="s">
        <v>1422</v>
      </c>
      <c r="C421" s="7" t="s">
        <v>1423</v>
      </c>
      <c r="D421" s="6">
        <v>-0.96260178089141812</v>
      </c>
      <c r="E421" s="6">
        <v>-0.63290840387344405</v>
      </c>
      <c r="F421" s="6">
        <v>1.1774255037307739</v>
      </c>
      <c r="G421" s="6">
        <v>-0.72798424959182706</v>
      </c>
      <c r="H421" s="6">
        <v>0.22736738622188601</v>
      </c>
      <c r="I421" s="6">
        <v>-0.45884400606155401</v>
      </c>
      <c r="J421" s="6">
        <v>0.44668862223625205</v>
      </c>
      <c r="K421" s="6">
        <v>-0.80574905872345004</v>
      </c>
      <c r="L421" s="6">
        <v>1.9716134071350102</v>
      </c>
      <c r="M421" s="6">
        <v>-4.3494369834661005E-2</v>
      </c>
      <c r="N421" s="6">
        <v>0.85194594507259902</v>
      </c>
      <c r="O421" s="6"/>
      <c r="P421" s="6">
        <v>3.415699681683201</v>
      </c>
      <c r="Q421" s="6"/>
      <c r="R421" s="6">
        <v>20.556776246313206</v>
      </c>
      <c r="S421" s="6"/>
      <c r="T421" s="6">
        <v>15.278528213500977</v>
      </c>
      <c r="U421" s="6" t="str">
        <f>_xll.BDP($A421,"TRAILING_12M_R&amp;D_%_SALES",$A$1,$A$2)</f>
        <v>#N/A N/A</v>
      </c>
      <c r="V421" s="6">
        <v>25</v>
      </c>
      <c r="W421" s="6">
        <v>255040</v>
      </c>
      <c r="X421" s="6">
        <v>25504010</v>
      </c>
      <c r="Y421" s="7" t="s">
        <v>108</v>
      </c>
      <c r="Z421" s="7" t="s">
        <v>388</v>
      </c>
      <c r="AA421" s="7" t="s">
        <v>1247</v>
      </c>
      <c r="AB421" s="6">
        <v>52.197967529296875</v>
      </c>
      <c r="AC421" s="6">
        <v>1.13788802656078</v>
      </c>
      <c r="AD421" s="6">
        <v>-42.904013296410383</v>
      </c>
      <c r="AE421" s="6">
        <v>155000</v>
      </c>
      <c r="AF421" s="6">
        <v>161000</v>
      </c>
    </row>
    <row r="422" spans="1:32" s="4" customFormat="1" ht="12.75" x14ac:dyDescent="0.2">
      <c r="A422" s="7" t="s">
        <v>1424</v>
      </c>
      <c r="B422" s="7" t="s">
        <v>1425</v>
      </c>
      <c r="C422" s="7" t="s">
        <v>1426</v>
      </c>
      <c r="D422" s="6">
        <v>0.118988297879696</v>
      </c>
      <c r="E422" s="6">
        <v>-3.9809010922909005E-2</v>
      </c>
      <c r="F422" s="6">
        <v>-3.8573401980100002E-3</v>
      </c>
      <c r="G422" s="6">
        <v>-0.45610535144805903</v>
      </c>
      <c r="H422" s="6">
        <v>-0.29610827565193204</v>
      </c>
      <c r="I422" s="6">
        <v>0.38468256592750505</v>
      </c>
      <c r="J422" s="6">
        <v>-0.33065688610076904</v>
      </c>
      <c r="K422" s="6">
        <v>-0.93638068437576305</v>
      </c>
      <c r="L422" s="6">
        <v>0.12461422383785201</v>
      </c>
      <c r="M422" s="6">
        <v>-0.70656061172485407</v>
      </c>
      <c r="N422" s="6">
        <v>4.1794677488391603</v>
      </c>
      <c r="O422" s="6">
        <v>3.8990118076906239</v>
      </c>
      <c r="P422" s="6">
        <v>8.1365501726886329</v>
      </c>
      <c r="Q422" s="6">
        <v>7.8562108510928992</v>
      </c>
      <c r="R422" s="6">
        <v>23.630709512269107</v>
      </c>
      <c r="S422" s="6">
        <v>23.291785473552991</v>
      </c>
      <c r="T422" s="6">
        <v>30.239950180053711</v>
      </c>
      <c r="U422" s="6">
        <f>_xll.BDP($A422,"TRAILING_12M_R&amp;D_%_SALES",$A$1,$A$2)</f>
        <v>3.9898176528650837</v>
      </c>
      <c r="V422" s="6">
        <v>20</v>
      </c>
      <c r="W422" s="6">
        <v>201050</v>
      </c>
      <c r="X422" s="6">
        <v>20105010</v>
      </c>
      <c r="Y422" s="7" t="s">
        <v>43</v>
      </c>
      <c r="Z422" s="7" t="s">
        <v>1427</v>
      </c>
      <c r="AA422" s="7" t="s">
        <v>1427</v>
      </c>
      <c r="AB422" s="6">
        <v>58.253696441650391</v>
      </c>
      <c r="AC422" s="6">
        <v>0.85383928517507002</v>
      </c>
      <c r="AD422" s="6">
        <v>5.5910528118225278</v>
      </c>
      <c r="AE422" s="6">
        <v>99000</v>
      </c>
      <c r="AF422" s="6">
        <v>131000</v>
      </c>
    </row>
    <row r="423" spans="1:32" s="4" customFormat="1" ht="12.75" x14ac:dyDescent="0.2">
      <c r="A423" s="7" t="s">
        <v>1428</v>
      </c>
      <c r="B423" s="7" t="s">
        <v>1429</v>
      </c>
      <c r="C423" s="7" t="s">
        <v>1430</v>
      </c>
      <c r="D423" s="6">
        <v>-0.44211119413375904</v>
      </c>
      <c r="E423" s="6">
        <v>-0.21334521472454102</v>
      </c>
      <c r="F423" s="6">
        <v>0.47542819380760204</v>
      </c>
      <c r="G423" s="6">
        <v>-0.87072652578353904</v>
      </c>
      <c r="H423" s="6">
        <v>0.308081805706024</v>
      </c>
      <c r="I423" s="6">
        <v>-0.48866373300552401</v>
      </c>
      <c r="J423" s="6">
        <v>1.8130991458892822</v>
      </c>
      <c r="K423" s="6">
        <v>-0.14211156964302102</v>
      </c>
      <c r="L423" s="6">
        <v>-0.53041177988052401</v>
      </c>
      <c r="M423" s="6">
        <v>-0.35677427053451505</v>
      </c>
      <c r="N423" s="6">
        <v>0.50085828089036899</v>
      </c>
      <c r="O423" s="6"/>
      <c r="P423" s="6">
        <v>1.1281514622639799</v>
      </c>
      <c r="Q423" s="6"/>
      <c r="R423" s="6">
        <v>2.8392122694590971</v>
      </c>
      <c r="S423" s="6"/>
      <c r="T423" s="6">
        <v>51.272342681884766</v>
      </c>
      <c r="U423" s="6">
        <f>_xll.BDP($A423,"TRAILING_12M_R&amp;D_%_SALES",$A$1,$A$2)</f>
        <v>3.7751575454403094E-2</v>
      </c>
      <c r="V423" s="6">
        <v>40</v>
      </c>
      <c r="W423" s="6">
        <v>401010</v>
      </c>
      <c r="X423" s="6">
        <v>40101010</v>
      </c>
      <c r="Y423" s="7" t="s">
        <v>53</v>
      </c>
      <c r="Z423" s="7" t="s">
        <v>76</v>
      </c>
      <c r="AA423" s="7" t="s">
        <v>77</v>
      </c>
      <c r="AB423" s="6">
        <v>60.004024505615234</v>
      </c>
      <c r="AC423" s="6"/>
      <c r="AD423" s="6"/>
      <c r="AE423" s="6">
        <v>65054</v>
      </c>
      <c r="AF423" s="6">
        <v>62312</v>
      </c>
    </row>
    <row r="424" spans="1:32" s="4" customFormat="1" ht="12.75" x14ac:dyDescent="0.2">
      <c r="A424" s="7" t="s">
        <v>1431</v>
      </c>
      <c r="B424" s="7" t="s">
        <v>1432</v>
      </c>
      <c r="C424" s="7" t="s">
        <v>1433</v>
      </c>
      <c r="D424" s="6">
        <v>-0.56719380617141701</v>
      </c>
      <c r="E424" s="6">
        <v>-0.84370446205139205</v>
      </c>
      <c r="F424" s="6">
        <v>-0.43212696909904502</v>
      </c>
      <c r="G424" s="6">
        <v>0.43738317489624001</v>
      </c>
      <c r="H424" s="6">
        <v>-8.2033060491085011E-2</v>
      </c>
      <c r="I424" s="6">
        <v>0.45692688226699801</v>
      </c>
      <c r="J424" s="6">
        <v>1.144242644309998</v>
      </c>
      <c r="K424" s="6">
        <v>-0.96598750352859508</v>
      </c>
      <c r="L424" s="6">
        <v>0.67820197343826305</v>
      </c>
      <c r="M424" s="6">
        <v>-0.62683582305908203</v>
      </c>
      <c r="N424" s="6">
        <v>0.72962939355292811</v>
      </c>
      <c r="O424" s="6">
        <v>0.70169932658940504</v>
      </c>
      <c r="P424" s="6">
        <v>1.0292368611463121</v>
      </c>
      <c r="Q424" s="6">
        <v>0.94778851255642105</v>
      </c>
      <c r="R424" s="6">
        <v>9.3307032906361425</v>
      </c>
      <c r="S424" s="6">
        <v>7.7967377579053032</v>
      </c>
      <c r="T424" s="6">
        <v>4.3579769134521484</v>
      </c>
      <c r="U424" s="6">
        <f>_xll.BDP($A424,"TRAILING_12M_R&amp;D_%_SALES",$A$1,$A$2)</f>
        <v>7.4551067149068935</v>
      </c>
      <c r="V424" s="6">
        <v>45</v>
      </c>
      <c r="W424" s="6">
        <v>452020</v>
      </c>
      <c r="X424" s="6">
        <v>45202030</v>
      </c>
      <c r="Y424" s="7" t="s">
        <v>66</v>
      </c>
      <c r="Z424" s="7" t="s">
        <v>67</v>
      </c>
      <c r="AA424" s="7" t="s">
        <v>67</v>
      </c>
      <c r="AB424" s="6">
        <v>68.805953979492188</v>
      </c>
      <c r="AC424" s="6">
        <v>1.0102544980715591</v>
      </c>
      <c r="AD424" s="6">
        <v>3.7023264448887931</v>
      </c>
      <c r="AE424" s="6">
        <v>60200</v>
      </c>
      <c r="AF424" s="6">
        <v>66000</v>
      </c>
    </row>
    <row r="425" spans="1:32" s="4" customFormat="1" ht="12.75" x14ac:dyDescent="0.2">
      <c r="A425" s="7" t="s">
        <v>1434</v>
      </c>
      <c r="B425" s="7" t="s">
        <v>1435</v>
      </c>
      <c r="C425" s="7" t="s">
        <v>1436</v>
      </c>
      <c r="D425" s="6">
        <v>-0.42298454046249401</v>
      </c>
      <c r="E425" s="6">
        <v>-0.36952951550483704</v>
      </c>
      <c r="F425" s="6">
        <v>-2.6049125939608002E-2</v>
      </c>
      <c r="G425" s="6">
        <v>0.49519285559654203</v>
      </c>
      <c r="H425" s="6">
        <v>1.0825579166412349</v>
      </c>
      <c r="I425" s="6">
        <v>-0.27421474456787104</v>
      </c>
      <c r="J425" s="6">
        <v>0.76654982566833507</v>
      </c>
      <c r="K425" s="6">
        <v>-0.68635654449462902</v>
      </c>
      <c r="L425" s="6">
        <v>1.1019032001495359</v>
      </c>
      <c r="M425" s="6">
        <v>-0.32023760676384</v>
      </c>
      <c r="N425" s="6">
        <v>0.44334217476830501</v>
      </c>
      <c r="O425" s="6">
        <v>0.45968770548844301</v>
      </c>
      <c r="P425" s="6"/>
      <c r="Q425" s="6"/>
      <c r="R425" s="6">
        <v>6.6906756397347973</v>
      </c>
      <c r="S425" s="6">
        <v>7.9655253279655431</v>
      </c>
      <c r="T425" s="6"/>
      <c r="U425" s="6">
        <f>_xll.BDP($A425,"TRAILING_12M_R&amp;D_%_SALES",$A$1,$A$2)</f>
        <v>3.0402019377111249</v>
      </c>
      <c r="V425" s="6">
        <v>45</v>
      </c>
      <c r="W425" s="6">
        <v>452020</v>
      </c>
      <c r="X425" s="6">
        <v>45202030</v>
      </c>
      <c r="Y425" s="7" t="s">
        <v>66</v>
      </c>
      <c r="Z425" s="7" t="s">
        <v>67</v>
      </c>
      <c r="AA425" s="7" t="s">
        <v>67</v>
      </c>
      <c r="AB425" s="6">
        <v>72.729103088378906</v>
      </c>
      <c r="AC425" s="6">
        <v>1.1623596119698061</v>
      </c>
      <c r="AD425" s="6">
        <v>-26.535636029925968</v>
      </c>
      <c r="AE425" s="6">
        <v>58000</v>
      </c>
      <c r="AF425" s="6">
        <v>49000</v>
      </c>
    </row>
    <row r="426" spans="1:32" s="4" customFormat="1" ht="12.75" x14ac:dyDescent="0.2">
      <c r="A426" s="7" t="s">
        <v>1437</v>
      </c>
      <c r="B426" s="7" t="s">
        <v>1438</v>
      </c>
      <c r="C426" s="7" t="s">
        <v>1439</v>
      </c>
      <c r="D426" s="6">
        <v>-0.96291267871856712</v>
      </c>
      <c r="E426" s="6">
        <v>0.55400252342224099</v>
      </c>
      <c r="F426" s="6">
        <v>-0.8558575510978701</v>
      </c>
      <c r="G426" s="6">
        <v>-4.4399414211512001E-2</v>
      </c>
      <c r="H426" s="6">
        <v>0.38381111621856701</v>
      </c>
      <c r="I426" s="6">
        <v>0.86817252635955811</v>
      </c>
      <c r="J426" s="6">
        <v>-0.37597724795341503</v>
      </c>
      <c r="K426" s="6">
        <v>-0.137610629200935</v>
      </c>
      <c r="L426" s="6">
        <v>4.5969583094120005E-2</v>
      </c>
      <c r="M426" s="6">
        <v>-0.40028959512710605</v>
      </c>
      <c r="N426" s="6">
        <v>4.7211197740165938</v>
      </c>
      <c r="O426" s="6">
        <v>4.3228072661352632</v>
      </c>
      <c r="P426" s="6">
        <v>15.402679960834035</v>
      </c>
      <c r="Q426" s="6">
        <v>12.355903879091532</v>
      </c>
      <c r="R426" s="6">
        <v>28.320127906587185</v>
      </c>
      <c r="S426" s="6">
        <v>25.953607597714395</v>
      </c>
      <c r="T426" s="6">
        <v>56.459503173828125</v>
      </c>
      <c r="U426" s="6" t="str">
        <f>_xll.BDP($A426,"TRAILING_12M_R&amp;D_%_SALES",$A$1,$A$2)</f>
        <v>#N/A N/A</v>
      </c>
      <c r="V426" s="6">
        <v>30</v>
      </c>
      <c r="W426" s="6">
        <v>302020</v>
      </c>
      <c r="X426" s="6">
        <v>30202030</v>
      </c>
      <c r="Y426" s="7" t="s">
        <v>91</v>
      </c>
      <c r="Z426" s="7" t="s">
        <v>168</v>
      </c>
      <c r="AA426" s="7" t="s">
        <v>906</v>
      </c>
      <c r="AB426" s="6">
        <v>74.952217102050781</v>
      </c>
      <c r="AC426" s="6">
        <v>0.54050518007230008</v>
      </c>
      <c r="AD426" s="6">
        <v>23.265978585621781</v>
      </c>
      <c r="AE426" s="6">
        <v>16620</v>
      </c>
      <c r="AF426" s="6">
        <v>16300</v>
      </c>
    </row>
    <row r="427" spans="1:32" s="4" customFormat="1" ht="12.75" x14ac:dyDescent="0.2">
      <c r="A427" s="7" t="s">
        <v>1440</v>
      </c>
      <c r="B427" s="7" t="s">
        <v>1441</v>
      </c>
      <c r="C427" s="7" t="s">
        <v>1442</v>
      </c>
      <c r="D427" s="6">
        <v>8.3342149853706013E-2</v>
      </c>
      <c r="E427" s="6">
        <v>-0.66871351003646906</v>
      </c>
      <c r="F427" s="6">
        <v>1.2203807830810551</v>
      </c>
      <c r="G427" s="6">
        <v>-0.72338730096817005</v>
      </c>
      <c r="H427" s="6">
        <v>-0.50342577695846602</v>
      </c>
      <c r="I427" s="6">
        <v>0.56446564197540305</v>
      </c>
      <c r="J427" s="6">
        <v>0.89611375331878707</v>
      </c>
      <c r="K427" s="6">
        <v>-1.0595012903213501</v>
      </c>
      <c r="L427" s="6">
        <v>0.14521667361259502</v>
      </c>
      <c r="M427" s="6">
        <v>-0.78265148401260409</v>
      </c>
      <c r="N427" s="6">
        <v>0.5934112883951731</v>
      </c>
      <c r="O427" s="6">
        <v>0.62994316032853104</v>
      </c>
      <c r="P427" s="6">
        <v>1.3059384734497379</v>
      </c>
      <c r="Q427" s="6">
        <v>1.253714870420662</v>
      </c>
      <c r="R427" s="6">
        <v>14.843160783794962</v>
      </c>
      <c r="S427" s="6">
        <v>11.033206353108483</v>
      </c>
      <c r="T427" s="6">
        <v>9.9940547943115234</v>
      </c>
      <c r="U427" s="6">
        <f>_xll.BDP($A427,"TRAILING_12M_R&amp;D_%_SALES",$A$1,$A$2)</f>
        <v>2.6906722521745925</v>
      </c>
      <c r="V427" s="6">
        <v>20</v>
      </c>
      <c r="W427" s="6">
        <v>201050</v>
      </c>
      <c r="X427" s="6">
        <v>20105010</v>
      </c>
      <c r="Y427" s="7" t="s">
        <v>43</v>
      </c>
      <c r="Z427" s="7" t="s">
        <v>1427</v>
      </c>
      <c r="AA427" s="7" t="s">
        <v>1427</v>
      </c>
      <c r="AB427" s="6">
        <v>70.153907775878906</v>
      </c>
      <c r="AC427" s="6">
        <v>0.52758074729548199</v>
      </c>
      <c r="AD427" s="6">
        <v>-6.3787365779931164</v>
      </c>
      <c r="AE427" s="6">
        <v>368247</v>
      </c>
      <c r="AF427" s="6">
        <v>303887</v>
      </c>
    </row>
    <row r="428" spans="1:32" s="4" customFormat="1" ht="12.75" x14ac:dyDescent="0.2">
      <c r="A428" s="7" t="s">
        <v>1443</v>
      </c>
      <c r="B428" s="7" t="s">
        <v>1444</v>
      </c>
      <c r="C428" s="7" t="s">
        <v>1445</v>
      </c>
      <c r="D428" s="6">
        <v>8.3342149853706013E-2</v>
      </c>
      <c r="E428" s="6">
        <v>-0.66871351003646906</v>
      </c>
      <c r="F428" s="6">
        <v>1.2203807830810551</v>
      </c>
      <c r="G428" s="6">
        <v>-0.72338730096817005</v>
      </c>
      <c r="H428" s="6">
        <v>-0.50342577695846602</v>
      </c>
      <c r="I428" s="6">
        <v>0.56446564197540305</v>
      </c>
      <c r="J428" s="6">
        <v>0.89611375331878707</v>
      </c>
      <c r="K428" s="6">
        <v>-1.0595012903213501</v>
      </c>
      <c r="L428" s="6">
        <v>0.14521667361259502</v>
      </c>
      <c r="M428" s="6">
        <v>-0.78265148401260409</v>
      </c>
      <c r="N428" s="6">
        <v>0.5934112883951731</v>
      </c>
      <c r="O428" s="6">
        <v>0.63781600212011202</v>
      </c>
      <c r="P428" s="6">
        <v>1.3059384734497379</v>
      </c>
      <c r="Q428" s="6"/>
      <c r="R428" s="6">
        <v>14.843160783794962</v>
      </c>
      <c r="S428" s="6">
        <v>10.746124101288222</v>
      </c>
      <c r="T428" s="6">
        <v>9.9940547943115234</v>
      </c>
      <c r="U428" s="6">
        <f>_xll.BDP($A428,"TRAILING_12M_R&amp;D_%_SALES",$A$1,$A$2)</f>
        <v>2.6906722521745925</v>
      </c>
      <c r="V428" s="6">
        <v>20</v>
      </c>
      <c r="W428" s="6">
        <v>201050</v>
      </c>
      <c r="X428" s="6">
        <v>20105010</v>
      </c>
      <c r="Y428" s="7" t="s">
        <v>43</v>
      </c>
      <c r="Z428" s="7" t="s">
        <v>1427</v>
      </c>
      <c r="AA428" s="7" t="s">
        <v>1427</v>
      </c>
      <c r="AB428" s="6">
        <v>70.153907775878906</v>
      </c>
      <c r="AC428" s="6">
        <v>0.85643610158361305</v>
      </c>
      <c r="AD428" s="6">
        <v>-4.8252891372226214</v>
      </c>
      <c r="AE428" s="6">
        <v>368247</v>
      </c>
      <c r="AF428" s="6">
        <v>303887</v>
      </c>
    </row>
    <row r="429" spans="1:32" s="4" customFormat="1" ht="12.75" x14ac:dyDescent="0.2">
      <c r="A429" s="7" t="s">
        <v>1446</v>
      </c>
      <c r="B429" s="7" t="s">
        <v>1447</v>
      </c>
      <c r="C429" s="7" t="s">
        <v>1448</v>
      </c>
      <c r="D429" s="6">
        <v>2.3940833285451001E-2</v>
      </c>
      <c r="E429" s="6">
        <v>-0.62488240003585804</v>
      </c>
      <c r="F429" s="6">
        <v>-0.47963407635688804</v>
      </c>
      <c r="G429" s="6">
        <v>0.11193744838237801</v>
      </c>
      <c r="H429" s="6">
        <v>-0.49510753154754605</v>
      </c>
      <c r="I429" s="6">
        <v>0.68918347358703602</v>
      </c>
      <c r="J429" s="6">
        <v>0.14903765916824302</v>
      </c>
      <c r="K429" s="6">
        <v>0.9667859673500061</v>
      </c>
      <c r="L429" s="6">
        <v>-0.52074265480041504</v>
      </c>
      <c r="M429" s="6">
        <v>0.88538670539856001</v>
      </c>
      <c r="N429" s="6">
        <v>0.71169317388541109</v>
      </c>
      <c r="O429" s="6">
        <v>0.64052846892113702</v>
      </c>
      <c r="P429" s="6">
        <v>3.9893820530788</v>
      </c>
      <c r="Q429" s="6">
        <v>3.5188597878778918</v>
      </c>
      <c r="R429" s="6">
        <v>21.390178053808459</v>
      </c>
      <c r="S429" s="6">
        <v>18.297240008520809</v>
      </c>
      <c r="T429" s="6">
        <v>17.266408920288086</v>
      </c>
      <c r="U429" s="6" t="str">
        <f>_xll.BDP($A429,"TRAILING_12M_R&amp;D_%_SALES",$A$1,$A$2)</f>
        <v>#N/A N/A</v>
      </c>
      <c r="V429" s="6">
        <v>35</v>
      </c>
      <c r="W429" s="6">
        <v>351020</v>
      </c>
      <c r="X429" s="6">
        <v>35102030</v>
      </c>
      <c r="Y429" s="7" t="s">
        <v>86</v>
      </c>
      <c r="Z429" s="7" t="s">
        <v>601</v>
      </c>
      <c r="AA429" s="7" t="s">
        <v>762</v>
      </c>
      <c r="AB429" s="6">
        <v>58.786842346191406</v>
      </c>
      <c r="AC429" s="6">
        <v>0.64961507275063102</v>
      </c>
      <c r="AD429" s="6">
        <v>10.574113109667627</v>
      </c>
      <c r="AE429" s="6">
        <v>95500</v>
      </c>
      <c r="AF429" s="6">
        <v>47900</v>
      </c>
    </row>
    <row r="430" spans="1:32" s="4" customFormat="1" ht="12.75" x14ac:dyDescent="0.2">
      <c r="A430" s="7" t="s">
        <v>1449</v>
      </c>
      <c r="B430" s="7" t="s">
        <v>1450</v>
      </c>
      <c r="C430" s="7" t="s">
        <v>1451</v>
      </c>
      <c r="D430" s="6">
        <v>-0.29027032852172902</v>
      </c>
      <c r="E430" s="6">
        <v>0.98327171802520807</v>
      </c>
      <c r="F430" s="6">
        <v>-0.6838991641998291</v>
      </c>
      <c r="G430" s="6">
        <v>-0.48430687189102206</v>
      </c>
      <c r="H430" s="6">
        <v>-0.91539621353149403</v>
      </c>
      <c r="I430" s="6">
        <v>-0.93805426359176602</v>
      </c>
      <c r="J430" s="6">
        <v>3.0000288486480708</v>
      </c>
      <c r="K430" s="6">
        <v>0.7400237321853641</v>
      </c>
      <c r="L430" s="6">
        <v>-0.5892142653465271</v>
      </c>
      <c r="M430" s="6">
        <v>2.3134980201721191</v>
      </c>
      <c r="N430" s="6">
        <v>1.045548247518191</v>
      </c>
      <c r="O430" s="6"/>
      <c r="P430" s="6">
        <v>0.75099148477353006</v>
      </c>
      <c r="Q430" s="6"/>
      <c r="R430" s="6">
        <v>5.5613466134621525</v>
      </c>
      <c r="S430" s="6"/>
      <c r="T430" s="6">
        <v>14.577189445495605</v>
      </c>
      <c r="U430" s="6">
        <f>_xll.BDP($A430,"TRAILING_12M_R&amp;D_%_SALES",$A$1,$A$2)</f>
        <v>7.9873528163082046</v>
      </c>
      <c r="V430" s="6">
        <v>45</v>
      </c>
      <c r="W430" s="6">
        <v>453010</v>
      </c>
      <c r="X430" s="6">
        <v>45301020</v>
      </c>
      <c r="Y430" s="7" t="s">
        <v>66</v>
      </c>
      <c r="Z430" s="7" t="s">
        <v>163</v>
      </c>
      <c r="AA430" s="7" t="s">
        <v>164</v>
      </c>
      <c r="AB430" s="6">
        <v>67.447944641113281</v>
      </c>
      <c r="AC430" s="6"/>
      <c r="AD430" s="6"/>
      <c r="AE430" s="6"/>
      <c r="AF430" s="6"/>
    </row>
    <row r="431" spans="1:32" s="4" customFormat="1" ht="12.75" x14ac:dyDescent="0.2">
      <c r="A431" s="7" t="s">
        <v>1452</v>
      </c>
      <c r="B431" s="7" t="s">
        <v>1453</v>
      </c>
      <c r="C431" s="7" t="s">
        <v>1454</v>
      </c>
      <c r="D431" s="6">
        <v>0.581085205078125</v>
      </c>
      <c r="E431" s="6">
        <v>-0.48672091960907005</v>
      </c>
      <c r="F431" s="6">
        <v>1.9857383966445921</v>
      </c>
      <c r="G431" s="6">
        <v>-0.7924889922142031</v>
      </c>
      <c r="H431" s="6">
        <v>0.65189003944397006</v>
      </c>
      <c r="I431" s="6">
        <v>-1.158438920974731</v>
      </c>
      <c r="J431" s="6">
        <v>2.3647947311401372</v>
      </c>
      <c r="K431" s="6">
        <v>-0.285307347774506</v>
      </c>
      <c r="L431" s="6">
        <v>-0.713073670864105</v>
      </c>
      <c r="M431" s="6">
        <v>-0.48512065410614003</v>
      </c>
      <c r="N431" s="6">
        <v>0.22296514199331102</v>
      </c>
      <c r="O431" s="6"/>
      <c r="P431" s="6">
        <v>0.36182183584296101</v>
      </c>
      <c r="Q431" s="6"/>
      <c r="R431" s="6">
        <v>6.2838011124360742</v>
      </c>
      <c r="S431" s="6"/>
      <c r="T431" s="6">
        <v>6.0461797714233398</v>
      </c>
      <c r="U431" s="6">
        <f>_xll.BDP($A431,"TRAILING_12M_R&amp;D_%_SALES",$A$1,$A$2)</f>
        <v>2.5466221271877498</v>
      </c>
      <c r="V431" s="6">
        <v>25</v>
      </c>
      <c r="W431" s="6">
        <v>251020</v>
      </c>
      <c r="X431" s="6">
        <v>25102010</v>
      </c>
      <c r="Y431" s="7" t="s">
        <v>108</v>
      </c>
      <c r="Z431" s="7" t="s">
        <v>422</v>
      </c>
      <c r="AA431" s="7" t="s">
        <v>423</v>
      </c>
      <c r="AB431" s="6">
        <v>83.210945129394531</v>
      </c>
      <c r="AC431" s="6"/>
      <c r="AD431" s="6"/>
      <c r="AE431" s="6"/>
      <c r="AF431" s="6"/>
    </row>
    <row r="432" spans="1:32" s="4" customFormat="1" ht="12.75" x14ac:dyDescent="0.2">
      <c r="A432" s="7" t="s">
        <v>1455</v>
      </c>
      <c r="B432" s="7" t="s">
        <v>1456</v>
      </c>
      <c r="C432" s="7" t="s">
        <v>1457</v>
      </c>
      <c r="D432" s="6">
        <v>0.581085205078125</v>
      </c>
      <c r="E432" s="6">
        <v>-0.48672091960907005</v>
      </c>
      <c r="F432" s="6">
        <v>1.9857383966445921</v>
      </c>
      <c r="G432" s="6">
        <v>-0.7924889922142031</v>
      </c>
      <c r="H432" s="6">
        <v>0.65189003944397006</v>
      </c>
      <c r="I432" s="6">
        <v>-1.158438920974731</v>
      </c>
      <c r="J432" s="6">
        <v>2.3647947311401372</v>
      </c>
      <c r="K432" s="6">
        <v>-0.285307347774506</v>
      </c>
      <c r="L432" s="6">
        <v>-0.713073670864105</v>
      </c>
      <c r="M432" s="6">
        <v>-0.48512065410614003</v>
      </c>
      <c r="N432" s="6">
        <v>0.22296514199331102</v>
      </c>
      <c r="O432" s="6"/>
      <c r="P432" s="6">
        <v>0.36182183584296101</v>
      </c>
      <c r="Q432" s="6"/>
      <c r="R432" s="6">
        <v>6.2838011124360742</v>
      </c>
      <c r="S432" s="6"/>
      <c r="T432" s="6">
        <v>6.0461797714233398</v>
      </c>
      <c r="U432" s="6">
        <f>_xll.BDP($A432,"TRAILING_12M_R&amp;D_%_SALES",$A$1,$A$2)</f>
        <v>2.5466221271877498</v>
      </c>
      <c r="V432" s="6">
        <v>25</v>
      </c>
      <c r="W432" s="6">
        <v>251020</v>
      </c>
      <c r="X432" s="6">
        <v>25102010</v>
      </c>
      <c r="Y432" s="7" t="s">
        <v>108</v>
      </c>
      <c r="Z432" s="7" t="s">
        <v>422</v>
      </c>
      <c r="AA432" s="7" t="s">
        <v>423</v>
      </c>
      <c r="AB432" s="6">
        <v>83.210945129394531</v>
      </c>
      <c r="AC432" s="6"/>
      <c r="AD432" s="6"/>
      <c r="AE432" s="6"/>
      <c r="AF432" s="6"/>
    </row>
    <row r="433" spans="1:32" s="4" customFormat="1" ht="12.75" x14ac:dyDescent="0.2">
      <c r="A433" s="7" t="s">
        <v>1458</v>
      </c>
      <c r="B433" s="7" t="s">
        <v>1459</v>
      </c>
      <c r="C433" s="7" t="s">
        <v>1460</v>
      </c>
      <c r="D433" s="6">
        <v>0.27657866477966303</v>
      </c>
      <c r="E433" s="6">
        <v>-0.72464060783386208</v>
      </c>
      <c r="F433" s="6">
        <v>0.62307524681091309</v>
      </c>
      <c r="G433" s="6">
        <v>-0.86696076393127408</v>
      </c>
      <c r="H433" s="6">
        <v>0.7436304688453671</v>
      </c>
      <c r="I433" s="6">
        <v>0.61242562532424905</v>
      </c>
      <c r="J433" s="6">
        <v>0.48671051859855702</v>
      </c>
      <c r="K433" s="6">
        <v>-0.55334347486496005</v>
      </c>
      <c r="L433" s="6">
        <v>0.81557565927505504</v>
      </c>
      <c r="M433" s="6">
        <v>-0.85623502731323209</v>
      </c>
      <c r="N433" s="6">
        <v>1.41764518277262</v>
      </c>
      <c r="O433" s="6">
        <v>0.8229570454151941</v>
      </c>
      <c r="P433" s="6">
        <v>1.5278307435095662</v>
      </c>
      <c r="Q433" s="6"/>
      <c r="R433" s="6">
        <v>15.067362396139435</v>
      </c>
      <c r="S433" s="6">
        <v>14.420203514610492</v>
      </c>
      <c r="T433" s="6">
        <v>11.0660400390625</v>
      </c>
      <c r="U433" s="6" t="str">
        <f>_xll.BDP($A433,"TRAILING_12M_R&amp;D_%_SALES",$A$1,$A$2)</f>
        <v>#N/A N/A</v>
      </c>
      <c r="V433" s="6">
        <v>55</v>
      </c>
      <c r="W433" s="6">
        <v>551010</v>
      </c>
      <c r="X433" s="6">
        <v>55101010</v>
      </c>
      <c r="Y433" s="7" t="s">
        <v>181</v>
      </c>
      <c r="Z433" s="7" t="s">
        <v>186</v>
      </c>
      <c r="AA433" s="7" t="s">
        <v>186</v>
      </c>
      <c r="AB433" s="6">
        <v>83.613319396972656</v>
      </c>
      <c r="AC433" s="6">
        <v>0.76927776800808301</v>
      </c>
      <c r="AD433" s="6">
        <v>3.745434528296232</v>
      </c>
      <c r="AE433" s="6">
        <v>38702</v>
      </c>
      <c r="AF433" s="6">
        <v>28389</v>
      </c>
    </row>
    <row r="434" spans="1:32" s="4" customFormat="1" ht="12.75" x14ac:dyDescent="0.2">
      <c r="A434" s="7" t="s">
        <v>1461</v>
      </c>
      <c r="B434" s="7" t="s">
        <v>1462</v>
      </c>
      <c r="C434" s="7" t="s">
        <v>1463</v>
      </c>
      <c r="D434" s="6">
        <v>0.27657866477966303</v>
      </c>
      <c r="E434" s="6">
        <v>-0.72464060783386208</v>
      </c>
      <c r="F434" s="6">
        <v>0.62307524681091309</v>
      </c>
      <c r="G434" s="6">
        <v>-0.86696076393127408</v>
      </c>
      <c r="H434" s="6">
        <v>0.7436304688453671</v>
      </c>
      <c r="I434" s="6">
        <v>0.61242562532424905</v>
      </c>
      <c r="J434" s="6">
        <v>0.48671051859855702</v>
      </c>
      <c r="K434" s="6">
        <v>-0.55334347486496005</v>
      </c>
      <c r="L434" s="6">
        <v>0.81557565927505504</v>
      </c>
      <c r="M434" s="6">
        <v>-0.85623502731323209</v>
      </c>
      <c r="N434" s="6">
        <v>1.41764518277262</v>
      </c>
      <c r="O434" s="6">
        <v>1.41942531037507</v>
      </c>
      <c r="P434" s="6">
        <v>1.5278307435095662</v>
      </c>
      <c r="Q434" s="6">
        <v>1.5041411338460979</v>
      </c>
      <c r="R434" s="6">
        <v>15.067362396139435</v>
      </c>
      <c r="S434" s="6">
        <v>15.454424764744992</v>
      </c>
      <c r="T434" s="6">
        <v>11.0660400390625</v>
      </c>
      <c r="U434" s="6" t="str">
        <f>_xll.BDP($A434,"TRAILING_12M_R&amp;D_%_SALES",$A$1,$A$2)</f>
        <v>#N/A N/A</v>
      </c>
      <c r="V434" s="6">
        <v>55</v>
      </c>
      <c r="W434" s="6">
        <v>551010</v>
      </c>
      <c r="X434" s="6">
        <v>55101010</v>
      </c>
      <c r="Y434" s="7" t="s">
        <v>181</v>
      </c>
      <c r="Z434" s="7" t="s">
        <v>186</v>
      </c>
      <c r="AA434" s="7" t="s">
        <v>186</v>
      </c>
      <c r="AB434" s="6">
        <v>83.613319396972656</v>
      </c>
      <c r="AC434" s="6">
        <v>0.67583022786728209</v>
      </c>
      <c r="AD434" s="6">
        <v>3.2880768751337501</v>
      </c>
      <c r="AE434" s="6">
        <v>38702</v>
      </c>
      <c r="AF434" s="6">
        <v>28389</v>
      </c>
    </row>
    <row r="435" spans="1:32" s="4" customFormat="1" ht="12.75" x14ac:dyDescent="0.2">
      <c r="A435" s="7" t="s">
        <v>1464</v>
      </c>
      <c r="B435" s="7" t="s">
        <v>1465</v>
      </c>
      <c r="C435" s="7" t="s">
        <v>1466</v>
      </c>
      <c r="D435" s="6">
        <v>-0.69568216800689708</v>
      </c>
      <c r="E435" s="6">
        <v>0.44187229871749906</v>
      </c>
      <c r="F435" s="6">
        <v>-0.3694207072258</v>
      </c>
      <c r="G435" s="6">
        <v>0.55372083187103305</v>
      </c>
      <c r="H435" s="6">
        <v>-1.339203953742981</v>
      </c>
      <c r="I435" s="6">
        <v>8.4805198013783001E-2</v>
      </c>
      <c r="J435" s="6">
        <v>7.0164944045250002E-3</v>
      </c>
      <c r="K435" s="6">
        <v>0.37857198715210005</v>
      </c>
      <c r="L435" s="6">
        <v>-0.55044382810592707</v>
      </c>
      <c r="M435" s="6">
        <v>-0.69873827695846602</v>
      </c>
      <c r="N435" s="6">
        <v>2.2364820683757451</v>
      </c>
      <c r="O435" s="6">
        <v>7.7213547292503089</v>
      </c>
      <c r="P435" s="6">
        <v>2.7801045662266448</v>
      </c>
      <c r="Q435" s="6"/>
      <c r="R435" s="6">
        <v>23.338708556963706</v>
      </c>
      <c r="S435" s="6">
        <v>14.09055581791891</v>
      </c>
      <c r="T435" s="6">
        <v>12.420127868652344</v>
      </c>
      <c r="U435" s="6" t="str">
        <f>_xll.BDP($A435,"TRAILING_12M_R&amp;D_%_SALES",$A$1,$A$2)</f>
        <v>#N/A N/A</v>
      </c>
      <c r="V435" s="6">
        <v>40</v>
      </c>
      <c r="W435" s="6">
        <v>402030</v>
      </c>
      <c r="X435" s="6">
        <v>40203020</v>
      </c>
      <c r="Y435" s="7" t="s">
        <v>53</v>
      </c>
      <c r="Z435" s="7" t="s">
        <v>298</v>
      </c>
      <c r="AA435" s="7" t="s">
        <v>688</v>
      </c>
      <c r="AB435" s="6">
        <v>28.588672637939453</v>
      </c>
      <c r="AC435" s="6">
        <v>0.93694627598524605</v>
      </c>
      <c r="AD435" s="6">
        <v>-9.1091031895193293</v>
      </c>
      <c r="AE435" s="6">
        <v>2571</v>
      </c>
      <c r="AF435" s="6">
        <v>1204</v>
      </c>
    </row>
    <row r="436" spans="1:32" s="4" customFormat="1" ht="12.75" x14ac:dyDescent="0.2">
      <c r="A436" s="7" t="s">
        <v>1467</v>
      </c>
      <c r="B436" s="7" t="s">
        <v>1468</v>
      </c>
      <c r="C436" s="7" t="s">
        <v>1469</v>
      </c>
      <c r="D436" s="6">
        <v>0.39835703372955306</v>
      </c>
      <c r="E436" s="6">
        <v>-0.77802580595016502</v>
      </c>
      <c r="F436" s="6">
        <v>-0.296461552381516</v>
      </c>
      <c r="G436" s="6">
        <v>-0.24581502377986902</v>
      </c>
      <c r="H436" s="6">
        <v>0.71472072601318404</v>
      </c>
      <c r="I436" s="6">
        <v>0.8422825932502751</v>
      </c>
      <c r="J436" s="6">
        <v>-0.12181864678859701</v>
      </c>
      <c r="K436" s="6">
        <v>-1.302869558334351</v>
      </c>
      <c r="L436" s="6">
        <v>1.469275116920471</v>
      </c>
      <c r="M436" s="6">
        <v>-0.584983110427856</v>
      </c>
      <c r="N436" s="6">
        <v>2.0963110858306</v>
      </c>
      <c r="O436" s="6">
        <v>2.106098813912944</v>
      </c>
      <c r="P436" s="6">
        <v>6.3450071303761932</v>
      </c>
      <c r="Q436" s="6">
        <v>3.3771134704098551</v>
      </c>
      <c r="R436" s="6">
        <v>17.172589415752629</v>
      </c>
      <c r="S436" s="6">
        <v>14.71149818424545</v>
      </c>
      <c r="T436" s="6">
        <v>5.9616107940673828</v>
      </c>
      <c r="U436" s="6">
        <f>_xll.BDP($A436,"TRAILING_12M_R&amp;D_%_SALES",$A$1,$A$2)</f>
        <v>11.918155307315985</v>
      </c>
      <c r="V436" s="6">
        <v>45</v>
      </c>
      <c r="W436" s="6">
        <v>451020</v>
      </c>
      <c r="X436" s="6">
        <v>45102010</v>
      </c>
      <c r="Y436" s="7" t="s">
        <v>66</v>
      </c>
      <c r="Z436" s="7" t="s">
        <v>138</v>
      </c>
      <c r="AA436" s="7" t="s">
        <v>139</v>
      </c>
      <c r="AB436" s="6">
        <v>68.755661010742188</v>
      </c>
      <c r="AC436" s="6">
        <v>0.70126710303518602</v>
      </c>
      <c r="AD436" s="6">
        <v>10.497166625629294</v>
      </c>
      <c r="AE436" s="6">
        <v>282100</v>
      </c>
      <c r="AF436" s="6">
        <v>380300</v>
      </c>
    </row>
    <row r="437" spans="1:32" s="4" customFormat="1" ht="12.75" x14ac:dyDescent="0.2">
      <c r="A437" s="7" t="s">
        <v>1470</v>
      </c>
      <c r="B437" s="7" t="s">
        <v>1471</v>
      </c>
      <c r="C437" s="7" t="s">
        <v>1472</v>
      </c>
      <c r="D437" s="6">
        <v>0.17918223142623901</v>
      </c>
      <c r="E437" s="6">
        <v>-0.72310781478881803</v>
      </c>
      <c r="F437" s="6">
        <v>0.13941588997840901</v>
      </c>
      <c r="G437" s="6">
        <v>-0.90339142084121704</v>
      </c>
      <c r="H437" s="6">
        <v>-0.13520844280719801</v>
      </c>
      <c r="I437" s="6">
        <v>0.55770146846771207</v>
      </c>
      <c r="J437" s="6">
        <v>1.3781136833131001E-2</v>
      </c>
      <c r="K437" s="6">
        <v>-0.63752001523971602</v>
      </c>
      <c r="L437" s="6">
        <v>-0.5474607348442081</v>
      </c>
      <c r="M437" s="6">
        <v>-0.82870471477508512</v>
      </c>
      <c r="N437" s="6">
        <v>3.7058223759612741</v>
      </c>
      <c r="O437" s="6"/>
      <c r="P437" s="6">
        <v>3.181469048126095</v>
      </c>
      <c r="Q437" s="6">
        <v>2.622366784820624</v>
      </c>
      <c r="R437" s="6">
        <v>21.105306957548692</v>
      </c>
      <c r="S437" s="6"/>
      <c r="T437" s="6">
        <v>16.301029205322266</v>
      </c>
      <c r="U437" s="6" t="str">
        <f>_xll.BDP($A437,"TRAILING_12M_R&amp;D_%_SALES",$A$1,$A$2)</f>
        <v>#N/A N/A</v>
      </c>
      <c r="V437" s="6">
        <v>40</v>
      </c>
      <c r="W437" s="6">
        <v>401010</v>
      </c>
      <c r="X437" s="6">
        <v>40101010</v>
      </c>
      <c r="Y437" s="7" t="s">
        <v>53</v>
      </c>
      <c r="Z437" s="7" t="s">
        <v>76</v>
      </c>
      <c r="AA437" s="7" t="s">
        <v>77</v>
      </c>
      <c r="AB437" s="6"/>
      <c r="AC437" s="6">
        <v>0.8649554154076261</v>
      </c>
      <c r="AD437" s="6">
        <v>12.056300639541217</v>
      </c>
      <c r="AE437" s="6">
        <v>103010</v>
      </c>
      <c r="AF437" s="6">
        <v>82841</v>
      </c>
    </row>
    <row r="438" spans="1:32" s="4" customFormat="1" ht="12.75" x14ac:dyDescent="0.2">
      <c r="A438" s="7" t="s">
        <v>1473</v>
      </c>
      <c r="B438" s="7" t="s">
        <v>1474</v>
      </c>
      <c r="C438" s="7" t="s">
        <v>1475</v>
      </c>
      <c r="D438" s="6">
        <v>-0.25790110230445901</v>
      </c>
      <c r="E438" s="6">
        <v>-0.87652713060379006</v>
      </c>
      <c r="F438" s="6">
        <v>0.99492353200912509</v>
      </c>
      <c r="G438" s="6">
        <v>-0.90886336565017711</v>
      </c>
      <c r="H438" s="6">
        <v>2.030880451202393</v>
      </c>
      <c r="I438" s="6">
        <v>-0.86209046840667702</v>
      </c>
      <c r="J438" s="6">
        <v>0.96298849582672108</v>
      </c>
      <c r="K438" s="6">
        <v>-0.51325982809066806</v>
      </c>
      <c r="L438" s="6">
        <v>0.54908692836761508</v>
      </c>
      <c r="M438" s="6">
        <v>-0.5312142968177801</v>
      </c>
      <c r="N438" s="6">
        <v>0.58745927040710799</v>
      </c>
      <c r="O438" s="6"/>
      <c r="P438" s="6">
        <v>0.30558932022507102</v>
      </c>
      <c r="Q438" s="6"/>
      <c r="R438" s="6">
        <v>3.1433464419677608</v>
      </c>
      <c r="S438" s="6"/>
      <c r="T438" s="6">
        <v>9.7035684585571289</v>
      </c>
      <c r="U438" s="6" t="str">
        <f>_xll.BDP($A438,"TRAILING_12M_R&amp;D_%_SALES",$A$1,$A$2)</f>
        <v>#N/A N/A</v>
      </c>
      <c r="V438" s="6">
        <v>40</v>
      </c>
      <c r="W438" s="6">
        <v>401010</v>
      </c>
      <c r="X438" s="6">
        <v>40101010</v>
      </c>
      <c r="Y438" s="7" t="s">
        <v>53</v>
      </c>
      <c r="Z438" s="7" t="s">
        <v>76</v>
      </c>
      <c r="AA438" s="7" t="s">
        <v>77</v>
      </c>
      <c r="AB438" s="6">
        <v>53.928176879882813</v>
      </c>
      <c r="AC438" s="6"/>
      <c r="AD438" s="6"/>
      <c r="AE438" s="6"/>
      <c r="AF438" s="6"/>
    </row>
    <row r="439" spans="1:32" s="4" customFormat="1" ht="12.75" x14ac:dyDescent="0.2">
      <c r="A439" s="7" t="s">
        <v>1476</v>
      </c>
      <c r="B439" s="7" t="s">
        <v>1477</v>
      </c>
      <c r="C439" s="7" t="s">
        <v>1478</v>
      </c>
      <c r="D439" s="6">
        <v>-0.156187579035759</v>
      </c>
      <c r="E439" s="6">
        <v>-0.35836812853813205</v>
      </c>
      <c r="F439" s="6">
        <v>-0.80034136772155806</v>
      </c>
      <c r="G439" s="6">
        <v>-0.37557098269462602</v>
      </c>
      <c r="H439" s="6">
        <v>-0.171154960989952</v>
      </c>
      <c r="I439" s="6">
        <v>-0.43837207555770902</v>
      </c>
      <c r="J439" s="6">
        <v>-8.7418712675571011E-2</v>
      </c>
      <c r="K439" s="6">
        <v>-0.22768573462963101</v>
      </c>
      <c r="L439" s="6">
        <v>-9.6295014023781003E-2</v>
      </c>
      <c r="M439" s="6">
        <v>-1.036433339118958</v>
      </c>
      <c r="N439" s="6">
        <v>7.798280383953645</v>
      </c>
      <c r="O439" s="6">
        <v>7.4390405422993364</v>
      </c>
      <c r="P439" s="6">
        <v>2.5625724296237991</v>
      </c>
      <c r="Q439" s="6">
        <v>2.347913785780257</v>
      </c>
      <c r="R439" s="6">
        <v>32.285514112778806</v>
      </c>
      <c r="S439" s="6">
        <v>18.111170002185734</v>
      </c>
      <c r="T439" s="6">
        <v>11.598160743713379</v>
      </c>
      <c r="U439" s="6">
        <f>_xll.BDP($A439,"TRAILING_12M_R&amp;D_%_SALES",$A$1,$A$2)</f>
        <v>0</v>
      </c>
      <c r="V439" s="6">
        <v>40</v>
      </c>
      <c r="W439" s="6">
        <v>402030</v>
      </c>
      <c r="X439" s="6">
        <v>40203040</v>
      </c>
      <c r="Y439" s="7" t="s">
        <v>53</v>
      </c>
      <c r="Z439" s="7" t="s">
        <v>298</v>
      </c>
      <c r="AA439" s="7" t="s">
        <v>746</v>
      </c>
      <c r="AB439" s="6">
        <v>44.391910552978516</v>
      </c>
      <c r="AC439" s="6">
        <v>0.86583112473301904</v>
      </c>
      <c r="AD439" s="6">
        <v>-23.90698897787653</v>
      </c>
      <c r="AE439" s="6">
        <v>8858</v>
      </c>
      <c r="AF439" s="6">
        <v>5631</v>
      </c>
    </row>
    <row r="440" spans="1:32" s="4" customFormat="1" ht="12.75" x14ac:dyDescent="0.2">
      <c r="A440" s="7" t="s">
        <v>1479</v>
      </c>
      <c r="B440" s="7" t="s">
        <v>1480</v>
      </c>
      <c r="C440" s="7" t="s">
        <v>1481</v>
      </c>
      <c r="D440" s="6">
        <v>-0.83747899532318104</v>
      </c>
      <c r="E440" s="6">
        <v>-0.39059871435165405</v>
      </c>
      <c r="F440" s="6">
        <v>-0.57488858699798606</v>
      </c>
      <c r="G440" s="6">
        <v>-0.60250711441040006</v>
      </c>
      <c r="H440" s="6">
        <v>0.88068294525146507</v>
      </c>
      <c r="I440" s="6">
        <v>0.55849838256835904</v>
      </c>
      <c r="J440" s="6">
        <v>2.5312356948852539</v>
      </c>
      <c r="K440" s="6">
        <v>-0.10344363003969201</v>
      </c>
      <c r="L440" s="6">
        <v>1.054474949836731</v>
      </c>
      <c r="M440" s="6">
        <v>0.181472688913345</v>
      </c>
      <c r="N440" s="6">
        <v>0.105716596506555</v>
      </c>
      <c r="O440" s="6">
        <v>0.10075943630380101</v>
      </c>
      <c r="P440" s="6">
        <v>0.53822727145098503</v>
      </c>
      <c r="Q440" s="6">
        <v>0.48895151278006305</v>
      </c>
      <c r="R440" s="6">
        <v>2.185706803955866</v>
      </c>
      <c r="S440" s="6">
        <v>4.3000569080827784</v>
      </c>
      <c r="T440" s="6">
        <v>27.917797088623047</v>
      </c>
      <c r="U440" s="6" t="str">
        <f>_xll.BDP($A440,"TRAILING_12M_R&amp;D_%_SALES",$A$1,$A$2)</f>
        <v>#N/A N/A</v>
      </c>
      <c r="V440" s="6">
        <v>10</v>
      </c>
      <c r="W440" s="6">
        <v>101020</v>
      </c>
      <c r="X440" s="6">
        <v>10102030</v>
      </c>
      <c r="Y440" s="7" t="s">
        <v>505</v>
      </c>
      <c r="Z440" s="7" t="s">
        <v>556</v>
      </c>
      <c r="AA440" s="7" t="s">
        <v>1482</v>
      </c>
      <c r="AB440" s="6">
        <v>54.229957580566406</v>
      </c>
      <c r="AC440" s="6">
        <v>0.41042845173186104</v>
      </c>
      <c r="AD440" s="6">
        <v>-10.162604038859403</v>
      </c>
      <c r="AE440" s="6">
        <v>14209</v>
      </c>
      <c r="AF440" s="6">
        <v>9139</v>
      </c>
    </row>
    <row r="441" spans="1:32" s="4" customFormat="1" ht="12.75" x14ac:dyDescent="0.2">
      <c r="A441" s="7" t="s">
        <v>1483</v>
      </c>
      <c r="B441" s="7" t="s">
        <v>1484</v>
      </c>
      <c r="C441" s="7" t="s">
        <v>1485</v>
      </c>
      <c r="D441" s="6">
        <v>-0.83747899532318104</v>
      </c>
      <c r="E441" s="6">
        <v>-0.39059871435165405</v>
      </c>
      <c r="F441" s="6">
        <v>-0.57488858699798606</v>
      </c>
      <c r="G441" s="6">
        <v>-0.60250711441040006</v>
      </c>
      <c r="H441" s="6">
        <v>0.88068294525146507</v>
      </c>
      <c r="I441" s="6">
        <v>0.55849838256835904</v>
      </c>
      <c r="J441" s="6">
        <v>2.5312356948852539</v>
      </c>
      <c r="K441" s="6">
        <v>-0.10344363003969201</v>
      </c>
      <c r="L441" s="6">
        <v>1.054474949836731</v>
      </c>
      <c r="M441" s="6">
        <v>0.181472688913345</v>
      </c>
      <c r="N441" s="6">
        <v>0.105716596506555</v>
      </c>
      <c r="O441" s="6"/>
      <c r="P441" s="6">
        <v>0.53822727145098503</v>
      </c>
      <c r="Q441" s="6"/>
      <c r="R441" s="6">
        <v>2.185706803955866</v>
      </c>
      <c r="S441" s="6"/>
      <c r="T441" s="6">
        <v>27.917797088623047</v>
      </c>
      <c r="U441" s="6" t="str">
        <f>_xll.BDP($A441,"TRAILING_12M_R&amp;D_%_SALES",$A$1,$A$2)</f>
        <v>#N/A N/A</v>
      </c>
      <c r="V441" s="6">
        <v>10</v>
      </c>
      <c r="W441" s="6">
        <v>101020</v>
      </c>
      <c r="X441" s="6">
        <v>10102030</v>
      </c>
      <c r="Y441" s="7" t="s">
        <v>505</v>
      </c>
      <c r="Z441" s="7" t="s">
        <v>556</v>
      </c>
      <c r="AA441" s="7" t="s">
        <v>1482</v>
      </c>
      <c r="AB441" s="6">
        <v>54.229957580566406</v>
      </c>
      <c r="AC441" s="6">
        <v>0.38011478643491603</v>
      </c>
      <c r="AD441" s="6">
        <v>-11.49600617407167</v>
      </c>
      <c r="AE441" s="6">
        <v>14209</v>
      </c>
      <c r="AF441" s="6">
        <v>9139</v>
      </c>
    </row>
    <row r="442" spans="1:32" s="4" customFormat="1" ht="12.75" x14ac:dyDescent="0.2">
      <c r="A442" s="7" t="s">
        <v>1486</v>
      </c>
      <c r="B442" s="7" t="s">
        <v>1487</v>
      </c>
      <c r="C442" s="7" t="s">
        <v>1488</v>
      </c>
      <c r="D442" s="6">
        <v>-0.65819334983825706</v>
      </c>
      <c r="E442" s="6">
        <v>-0.48174905776977506</v>
      </c>
      <c r="F442" s="6">
        <v>-0.36464402079582203</v>
      </c>
      <c r="G442" s="6">
        <v>-0.67014884948730502</v>
      </c>
      <c r="H442" s="6">
        <v>-0.69592523574829102</v>
      </c>
      <c r="I442" s="6">
        <v>0.76511973142623901</v>
      </c>
      <c r="J442" s="6">
        <v>0.338632673025131</v>
      </c>
      <c r="K442" s="6">
        <v>0.16841526329517401</v>
      </c>
      <c r="L442" s="6">
        <v>0.16889244318008401</v>
      </c>
      <c r="M442" s="6">
        <v>-0.21895581483840901</v>
      </c>
      <c r="N442" s="6">
        <v>1.615841815612781</v>
      </c>
      <c r="O442" s="6">
        <v>1.5821954873775561</v>
      </c>
      <c r="P442" s="6">
        <v>2.4704035962899908</v>
      </c>
      <c r="Q442" s="6">
        <v>2.2309167060837169</v>
      </c>
      <c r="R442" s="6">
        <v>14.308888113584921</v>
      </c>
      <c r="S442" s="6">
        <v>15.761301110517538</v>
      </c>
      <c r="T442" s="6">
        <v>19.714862823486328</v>
      </c>
      <c r="U442" s="6" t="str">
        <f>_xll.BDP($A442,"TRAILING_12M_R&amp;D_%_SALES",$A$1,$A$2)</f>
        <v>#N/A N/A</v>
      </c>
      <c r="V442" s="6">
        <v>40</v>
      </c>
      <c r="W442" s="6">
        <v>403010</v>
      </c>
      <c r="X442" s="6">
        <v>40301040</v>
      </c>
      <c r="Y442" s="7" t="s">
        <v>53</v>
      </c>
      <c r="Z442" s="7" t="s">
        <v>54</v>
      </c>
      <c r="AA442" s="7" t="s">
        <v>125</v>
      </c>
      <c r="AB442" s="6">
        <v>52.026958465576172</v>
      </c>
      <c r="AC442" s="6">
        <v>0.54918321116403501</v>
      </c>
      <c r="AD442" s="6">
        <v>16.989482387900388</v>
      </c>
      <c r="AE442" s="6">
        <v>26339</v>
      </c>
      <c r="AF442" s="6">
        <v>12223</v>
      </c>
    </row>
    <row r="443" spans="1:32" s="4" customFormat="1" ht="12.75" x14ac:dyDescent="0.2">
      <c r="A443" s="7" t="s">
        <v>1489</v>
      </c>
      <c r="B443" s="7" t="s">
        <v>1490</v>
      </c>
      <c r="C443" s="7" t="s">
        <v>1491</v>
      </c>
      <c r="D443" s="6">
        <v>-0.78846192359924305</v>
      </c>
      <c r="E443" s="6">
        <v>-1.664035558700562</v>
      </c>
      <c r="F443" s="6">
        <v>-1.443934440612793</v>
      </c>
      <c r="G443" s="6">
        <v>6.5112211741510002E-3</v>
      </c>
      <c r="H443" s="6">
        <v>0.22764411568641701</v>
      </c>
      <c r="I443" s="6">
        <v>-0.58993119001388505</v>
      </c>
      <c r="J443" s="6">
        <v>-0.42220607399940502</v>
      </c>
      <c r="K443" s="6">
        <v>0.22517898678779602</v>
      </c>
      <c r="L443" s="6">
        <v>0.70791554450988803</v>
      </c>
      <c r="M443" s="6">
        <v>0.43165853619575506</v>
      </c>
      <c r="N443" s="6">
        <v>2.1172249316179941</v>
      </c>
      <c r="O443" s="6">
        <v>2.1115084839738132</v>
      </c>
      <c r="P443" s="6">
        <v>1.5828104077915031</v>
      </c>
      <c r="Q443" s="6">
        <v>1.417807181946741</v>
      </c>
      <c r="R443" s="6">
        <v>29.996296157023732</v>
      </c>
      <c r="S443" s="6">
        <v>18.371762941466816</v>
      </c>
      <c r="T443" s="6">
        <v>-9.1613807678222656</v>
      </c>
      <c r="U443" s="6">
        <f>_xll.BDP($A443,"TRAILING_12M_R&amp;D_%_SALES",$A$1,$A$2)</f>
        <v>5.842911877394636</v>
      </c>
      <c r="V443" s="6">
        <v>15</v>
      </c>
      <c r="W443" s="6">
        <v>151010</v>
      </c>
      <c r="X443" s="6">
        <v>15101050</v>
      </c>
      <c r="Y443" s="7" t="s">
        <v>38</v>
      </c>
      <c r="Z443" s="7" t="s">
        <v>48</v>
      </c>
      <c r="AA443" s="7" t="s">
        <v>928</v>
      </c>
      <c r="AB443" s="6">
        <v>73.051002502441406</v>
      </c>
      <c r="AC443" s="6">
        <v>0.95647701884022607</v>
      </c>
      <c r="AD443" s="6">
        <v>-27.356112472307061</v>
      </c>
      <c r="AE443" s="6">
        <v>24000</v>
      </c>
      <c r="AF443" s="6">
        <v>6932</v>
      </c>
    </row>
    <row r="444" spans="1:32" s="4" customFormat="1" ht="12.75" x14ac:dyDescent="0.2">
      <c r="A444" s="7" t="s">
        <v>1492</v>
      </c>
      <c r="B444" s="7" t="s">
        <v>1493</v>
      </c>
      <c r="C444" s="7" t="s">
        <v>1494</v>
      </c>
      <c r="D444" s="6">
        <v>-0.69581621885299705</v>
      </c>
      <c r="E444" s="6">
        <v>-0.31261980533599903</v>
      </c>
      <c r="F444" s="6">
        <v>1.1236140727996831</v>
      </c>
      <c r="G444" s="6">
        <v>-0.6046727895736691</v>
      </c>
      <c r="H444" s="6">
        <v>-0.47670984268188504</v>
      </c>
      <c r="I444" s="6">
        <v>-0.26993194222450301</v>
      </c>
      <c r="J444" s="6">
        <v>0.32088235020637501</v>
      </c>
      <c r="K444" s="6">
        <v>0.24550627171993303</v>
      </c>
      <c r="L444" s="6">
        <v>-0.26287874579429604</v>
      </c>
      <c r="M444" s="6">
        <v>-0.20989970862865401</v>
      </c>
      <c r="N444" s="6">
        <v>2.60312254471574</v>
      </c>
      <c r="O444" s="6">
        <v>2.3805306757737301</v>
      </c>
      <c r="P444" s="6">
        <v>2.694304230717854</v>
      </c>
      <c r="Q444" s="6">
        <v>2.1717209309377652</v>
      </c>
      <c r="R444" s="6">
        <v>16.96603417616689</v>
      </c>
      <c r="S444" s="6">
        <v>13.310276399480344</v>
      </c>
      <c r="T444" s="6">
        <v>18.196249008178711</v>
      </c>
      <c r="U444" s="6">
        <f>_xll.BDP($A444,"TRAILING_12M_R&amp;D_%_SALES",$A$1,$A$2)</f>
        <v>13.742590447639163</v>
      </c>
      <c r="V444" s="6">
        <v>45</v>
      </c>
      <c r="W444" s="6">
        <v>453010</v>
      </c>
      <c r="X444" s="6">
        <v>45301020</v>
      </c>
      <c r="Y444" s="7" t="s">
        <v>66</v>
      </c>
      <c r="Z444" s="7" t="s">
        <v>163</v>
      </c>
      <c r="AA444" s="7" t="s">
        <v>164</v>
      </c>
      <c r="AB444" s="6">
        <v>63.48455810546875</v>
      </c>
      <c r="AC444" s="6">
        <v>1.1514796897160271</v>
      </c>
      <c r="AD444" s="6">
        <v>-33.064835604580331</v>
      </c>
      <c r="AE444" s="6">
        <v>56194</v>
      </c>
      <c r="AF444" s="6">
        <v>36962</v>
      </c>
    </row>
    <row r="445" spans="1:32" s="4" customFormat="1" ht="12.75" x14ac:dyDescent="0.2">
      <c r="A445" s="7" t="s">
        <v>1495</v>
      </c>
      <c r="B445" s="7" t="s">
        <v>1496</v>
      </c>
      <c r="C445" s="7" t="s">
        <v>1497</v>
      </c>
      <c r="D445" s="6">
        <v>-0.69581621885299705</v>
      </c>
      <c r="E445" s="6">
        <v>-0.31261980533599903</v>
      </c>
      <c r="F445" s="6">
        <v>1.1236140727996831</v>
      </c>
      <c r="G445" s="6">
        <v>-0.6046727895736691</v>
      </c>
      <c r="H445" s="6">
        <v>-0.47670984268188504</v>
      </c>
      <c r="I445" s="6">
        <v>-0.26993194222450301</v>
      </c>
      <c r="J445" s="6">
        <v>0.32088235020637501</v>
      </c>
      <c r="K445" s="6">
        <v>0.24550627171993303</v>
      </c>
      <c r="L445" s="6">
        <v>-0.26287874579429604</v>
      </c>
      <c r="M445" s="6">
        <v>-0.20989970862865401</v>
      </c>
      <c r="N445" s="6">
        <v>2.60312254471574</v>
      </c>
      <c r="O445" s="6">
        <v>2.3532129954420489</v>
      </c>
      <c r="P445" s="6">
        <v>2.694304230717854</v>
      </c>
      <c r="Q445" s="6">
        <v>2.146799536051581</v>
      </c>
      <c r="R445" s="6">
        <v>16.96603417616689</v>
      </c>
      <c r="S445" s="6">
        <v>13.15753547891811</v>
      </c>
      <c r="T445" s="6">
        <v>18.196249008178711</v>
      </c>
      <c r="U445" s="6">
        <f>_xll.BDP($A445,"TRAILING_12M_R&amp;D_%_SALES",$A$1,$A$2)</f>
        <v>13.742590447639163</v>
      </c>
      <c r="V445" s="6">
        <v>45</v>
      </c>
      <c r="W445" s="6">
        <v>453010</v>
      </c>
      <c r="X445" s="6">
        <v>45301020</v>
      </c>
      <c r="Y445" s="7" t="s">
        <v>66</v>
      </c>
      <c r="Z445" s="7" t="s">
        <v>163</v>
      </c>
      <c r="AA445" s="7" t="s">
        <v>164</v>
      </c>
      <c r="AB445" s="6">
        <v>63.48455810546875</v>
      </c>
      <c r="AC445" s="6">
        <v>1.397752582418788</v>
      </c>
      <c r="AD445" s="6">
        <v>-33.749994970672311</v>
      </c>
      <c r="AE445" s="6">
        <v>56194</v>
      </c>
      <c r="AF445" s="6">
        <v>36962</v>
      </c>
    </row>
    <row r="446" spans="1:32" s="4" customFormat="1" ht="12.75" x14ac:dyDescent="0.2">
      <c r="A446" s="7" t="s">
        <v>1498</v>
      </c>
      <c r="B446" s="7" t="s">
        <v>1499</v>
      </c>
      <c r="C446" s="7" t="s">
        <v>1500</v>
      </c>
      <c r="D446" s="6">
        <v>0.48099336028099104</v>
      </c>
      <c r="E446" s="6">
        <v>-0.99251461029052712</v>
      </c>
      <c r="F446" s="6">
        <v>1.31044065952301</v>
      </c>
      <c r="G446" s="6">
        <v>-0.19513706862926503</v>
      </c>
      <c r="H446" s="6">
        <v>1.027270436286926</v>
      </c>
      <c r="I446" s="6">
        <v>0.36524471640586903</v>
      </c>
      <c r="J446" s="6">
        <v>1.6662963628768921</v>
      </c>
      <c r="K446" s="6">
        <v>-0.60956245660781905</v>
      </c>
      <c r="L446" s="6">
        <v>0.90346652269363403</v>
      </c>
      <c r="M446" s="6">
        <v>-1.053923606872559</v>
      </c>
      <c r="N446" s="6">
        <v>1.35484484985877</v>
      </c>
      <c r="O446" s="6">
        <v>1.737072190193629</v>
      </c>
      <c r="P446" s="6">
        <v>0.70131409833195202</v>
      </c>
      <c r="Q446" s="6">
        <v>0.66633395243163707</v>
      </c>
      <c r="R446" s="6">
        <v>11.677175175182049</v>
      </c>
      <c r="S446" s="6">
        <v>7.033536146107453</v>
      </c>
      <c r="T446" s="6">
        <v>5.9418878555297852</v>
      </c>
      <c r="U446" s="6" t="str">
        <f>_xll.BDP($A446,"TRAILING_12M_R&amp;D_%_SALES",$A$1,$A$2)</f>
        <v>#N/A N/A</v>
      </c>
      <c r="V446" s="6">
        <v>40</v>
      </c>
      <c r="W446" s="6">
        <v>401010</v>
      </c>
      <c r="X446" s="6">
        <v>40101010</v>
      </c>
      <c r="Y446" s="7" t="s">
        <v>53</v>
      </c>
      <c r="Z446" s="7" t="s">
        <v>76</v>
      </c>
      <c r="AA446" s="7" t="s">
        <v>77</v>
      </c>
      <c r="AB446" s="6">
        <v>73.745094299316406</v>
      </c>
      <c r="AC446" s="6">
        <v>0.76441378131133009</v>
      </c>
      <c r="AD446" s="6">
        <v>-5.9452490254646051</v>
      </c>
      <c r="AE446" s="6">
        <v>92765</v>
      </c>
      <c r="AF446" s="6">
        <v>89126</v>
      </c>
    </row>
    <row r="447" spans="1:32" s="4" customFormat="1" ht="12.75" x14ac:dyDescent="0.2">
      <c r="A447" s="7" t="s">
        <v>1501</v>
      </c>
      <c r="B447" s="7" t="s">
        <v>1502</v>
      </c>
      <c r="C447" s="7" t="s">
        <v>1503</v>
      </c>
      <c r="D447" s="6">
        <v>-0.70912736654281605</v>
      </c>
      <c r="E447" s="6">
        <v>-0.26841989159584001</v>
      </c>
      <c r="F447" s="6">
        <v>1.5139684677124019</v>
      </c>
      <c r="G447" s="6">
        <v>-0.9550117254257201</v>
      </c>
      <c r="H447" s="6">
        <v>0.46396511793136602</v>
      </c>
      <c r="I447" s="6">
        <v>1.01957106590271</v>
      </c>
      <c r="J447" s="6">
        <v>0.81494611501693703</v>
      </c>
      <c r="K447" s="6">
        <v>-0.91174811124801602</v>
      </c>
      <c r="L447" s="6">
        <v>2.4499411582946782</v>
      </c>
      <c r="M447" s="6">
        <v>-0.70291042327880904</v>
      </c>
      <c r="N447" s="6">
        <v>1.1590801723333171</v>
      </c>
      <c r="O447" s="6">
        <v>2.0641018899940029</v>
      </c>
      <c r="P447" s="6">
        <v>2.8571262420159762</v>
      </c>
      <c r="Q447" s="6">
        <v>2.8526170540139759</v>
      </c>
      <c r="R447" s="6">
        <v>12.480616789141822</v>
      </c>
      <c r="S447" s="6">
        <v>7.0237413173413614</v>
      </c>
      <c r="T447" s="6">
        <v>25.712413787841797</v>
      </c>
      <c r="U447" s="6">
        <f>_xll.BDP($A447,"TRAILING_12M_R&amp;D_%_SALES",$A$1,$A$2)</f>
        <v>0</v>
      </c>
      <c r="V447" s="6">
        <v>30</v>
      </c>
      <c r="W447" s="6">
        <v>302030</v>
      </c>
      <c r="X447" s="6">
        <v>30203010</v>
      </c>
      <c r="Y447" s="7" t="s">
        <v>91</v>
      </c>
      <c r="Z447" s="7" t="s">
        <v>1504</v>
      </c>
      <c r="AA447" s="7" t="s">
        <v>1504</v>
      </c>
      <c r="AB447" s="6">
        <v>66.089927673339844</v>
      </c>
      <c r="AC447" s="6">
        <v>0.46271801245613803</v>
      </c>
      <c r="AD447" s="6">
        <v>26.449854086153302</v>
      </c>
      <c r="AE447" s="6">
        <v>26000</v>
      </c>
      <c r="AF447" s="6">
        <v>33800</v>
      </c>
    </row>
    <row r="448" spans="1:32" s="4" customFormat="1" ht="12.75" x14ac:dyDescent="0.2">
      <c r="A448" s="7" t="s">
        <v>1505</v>
      </c>
      <c r="B448" s="7" t="s">
        <v>1506</v>
      </c>
      <c r="C448" s="7" t="s">
        <v>1507</v>
      </c>
      <c r="D448" s="6">
        <v>-0.70912736654281605</v>
      </c>
      <c r="E448" s="6">
        <v>-0.26841989159584001</v>
      </c>
      <c r="F448" s="6">
        <v>1.5139684677124019</v>
      </c>
      <c r="G448" s="6">
        <v>-0.9550117254257201</v>
      </c>
      <c r="H448" s="6">
        <v>0.46396511793136602</v>
      </c>
      <c r="I448" s="6">
        <v>1.01957106590271</v>
      </c>
      <c r="J448" s="6">
        <v>0.81494611501693703</v>
      </c>
      <c r="K448" s="6">
        <v>-0.91174811124801602</v>
      </c>
      <c r="L448" s="6">
        <v>2.4499411582946782</v>
      </c>
      <c r="M448" s="6">
        <v>-0.70291042327880904</v>
      </c>
      <c r="N448" s="6">
        <v>1.1590801723333171</v>
      </c>
      <c r="O448" s="6">
        <v>2.05104926566821</v>
      </c>
      <c r="P448" s="6">
        <v>2.8571262420159762</v>
      </c>
      <c r="Q448" s="6">
        <v>2.8219254329932819</v>
      </c>
      <c r="R448" s="6">
        <v>12.480616789141822</v>
      </c>
      <c r="S448" s="6">
        <v>6.9481721110380121</v>
      </c>
      <c r="T448" s="6">
        <v>25.712413787841797</v>
      </c>
      <c r="U448" s="6">
        <f>_xll.BDP($A448,"TRAILING_12M_R&amp;D_%_SALES",$A$1,$A$2)</f>
        <v>0</v>
      </c>
      <c r="V448" s="6">
        <v>30</v>
      </c>
      <c r="W448" s="6">
        <v>302030</v>
      </c>
      <c r="X448" s="6">
        <v>30203010</v>
      </c>
      <c r="Y448" s="7" t="s">
        <v>91</v>
      </c>
      <c r="Z448" s="7" t="s">
        <v>1504</v>
      </c>
      <c r="AA448" s="7" t="s">
        <v>1504</v>
      </c>
      <c r="AB448" s="6">
        <v>66.089927673339844</v>
      </c>
      <c r="AC448" s="6">
        <v>0.62033821879625706</v>
      </c>
      <c r="AD448" s="6">
        <v>21.844327027898093</v>
      </c>
      <c r="AE448" s="6">
        <v>26000</v>
      </c>
      <c r="AF448" s="6">
        <v>33800</v>
      </c>
    </row>
    <row r="449" spans="1:32" s="4" customFormat="1" ht="12.75" x14ac:dyDescent="0.2">
      <c r="A449" s="7" t="s">
        <v>1508</v>
      </c>
      <c r="B449" s="7" t="s">
        <v>1509</v>
      </c>
      <c r="C449" s="7" t="s">
        <v>1510</v>
      </c>
      <c r="D449" s="6">
        <v>-0.527460336685181</v>
      </c>
      <c r="E449" s="6">
        <v>-7.9530701041222007E-2</v>
      </c>
      <c r="F449" s="6">
        <v>2.0122781395912E-2</v>
      </c>
      <c r="G449" s="6">
        <v>-0.6679773926734921</v>
      </c>
      <c r="H449" s="6">
        <v>-0.84721338748931907</v>
      </c>
      <c r="I449" s="6">
        <v>1.3899092674255371</v>
      </c>
      <c r="J449" s="6">
        <v>1.6822434663772581</v>
      </c>
      <c r="K449" s="6">
        <v>-0.38322812318801902</v>
      </c>
      <c r="L449" s="6">
        <v>0.49763026833534202</v>
      </c>
      <c r="M449" s="6">
        <v>0.79804539680481001</v>
      </c>
      <c r="N449" s="6">
        <v>0.7881522747528531</v>
      </c>
      <c r="O449" s="6">
        <v>0.663047950874465</v>
      </c>
      <c r="P449" s="6">
        <v>1.8078481693290021</v>
      </c>
      <c r="Q449" s="6">
        <v>1.5846526280011259</v>
      </c>
      <c r="R449" s="6">
        <v>7.0130647690151573</v>
      </c>
      <c r="S449" s="6">
        <v>7.5108323410228763</v>
      </c>
      <c r="T449" s="6">
        <v>29.533285140991211</v>
      </c>
      <c r="U449" s="6" t="str">
        <f>_xll.BDP($A449,"TRAILING_12M_R&amp;D_%_SALES",$A$1,$A$2)</f>
        <v>#N/A N/A</v>
      </c>
      <c r="V449" s="6">
        <v>10</v>
      </c>
      <c r="W449" s="6">
        <v>101020</v>
      </c>
      <c r="X449" s="6">
        <v>10102010</v>
      </c>
      <c r="Y449" s="7" t="s">
        <v>505</v>
      </c>
      <c r="Z449" s="7" t="s">
        <v>556</v>
      </c>
      <c r="AA449" s="7" t="s">
        <v>557</v>
      </c>
      <c r="AB449" s="6">
        <v>66.43194580078125</v>
      </c>
      <c r="AC449" s="6">
        <v>0.75819636860127604</v>
      </c>
      <c r="AD449" s="6">
        <v>41.608094146353693</v>
      </c>
      <c r="AE449" s="6">
        <v>5800</v>
      </c>
      <c r="AF449" s="6">
        <v>5600</v>
      </c>
    </row>
    <row r="450" spans="1:32" s="4" customFormat="1" ht="12.75" x14ac:dyDescent="0.2">
      <c r="A450" s="7" t="s">
        <v>1511</v>
      </c>
      <c r="B450" s="7" t="s">
        <v>1512</v>
      </c>
      <c r="C450" s="7" t="s">
        <v>1513</v>
      </c>
      <c r="D450" s="6">
        <v>-0.59431207180023204</v>
      </c>
      <c r="E450" s="6">
        <v>0.23668003082275402</v>
      </c>
      <c r="F450" s="6">
        <v>-0.15697793662548101</v>
      </c>
      <c r="G450" s="6">
        <v>-0.98806679248809803</v>
      </c>
      <c r="H450" s="6">
        <v>-1.228068351745605</v>
      </c>
      <c r="I450" s="6">
        <v>-0.18669483065605202</v>
      </c>
      <c r="J450" s="6">
        <v>-0.29790312051773105</v>
      </c>
      <c r="K450" s="6">
        <v>0.27961933612823503</v>
      </c>
      <c r="L450" s="6">
        <v>0.22670145332813302</v>
      </c>
      <c r="M450" s="6">
        <v>-0.12918484210968001</v>
      </c>
      <c r="N450" s="6">
        <v>4.6789275342841767</v>
      </c>
      <c r="O450" s="6">
        <v>3.8870573989642123</v>
      </c>
      <c r="P450" s="6">
        <v>7.9103356395217022</v>
      </c>
      <c r="Q450" s="6"/>
      <c r="R450" s="6">
        <v>27.648028339109661</v>
      </c>
      <c r="S450" s="6">
        <v>22.396239150041939</v>
      </c>
      <c r="T450" s="6">
        <v>30.517608642578125</v>
      </c>
      <c r="U450" s="6" t="str">
        <f>_xll.BDP($A450,"TRAILING_12M_R&amp;D_%_SALES",$A$1,$A$2)</f>
        <v>#N/A N/A</v>
      </c>
      <c r="V450" s="6">
        <v>45</v>
      </c>
      <c r="W450" s="6">
        <v>451020</v>
      </c>
      <c r="X450" s="6">
        <v>45102010</v>
      </c>
      <c r="Y450" s="7" t="s">
        <v>66</v>
      </c>
      <c r="Z450" s="7" t="s">
        <v>138</v>
      </c>
      <c r="AA450" s="7" t="s">
        <v>139</v>
      </c>
      <c r="AB450" s="6"/>
      <c r="AC450" s="6">
        <v>0.8908958083909011</v>
      </c>
      <c r="AD450" s="6">
        <v>-27.581819180240565</v>
      </c>
      <c r="AE450" s="6">
        <v>314015</v>
      </c>
      <c r="AF450" s="6">
        <v>200364</v>
      </c>
    </row>
    <row r="451" spans="1:32" s="4" customFormat="1" ht="12.75" x14ac:dyDescent="0.2">
      <c r="A451" s="7" t="s">
        <v>1514</v>
      </c>
      <c r="B451" s="7" t="s">
        <v>1515</v>
      </c>
      <c r="C451" s="7" t="s">
        <v>1516</v>
      </c>
      <c r="D451" s="6">
        <v>0.51268804073333707</v>
      </c>
      <c r="E451" s="6">
        <v>-0.96922492980957009</v>
      </c>
      <c r="F451" s="6">
        <v>1.542743444442749</v>
      </c>
      <c r="G451" s="6">
        <v>-0.44583415985107405</v>
      </c>
      <c r="H451" s="6">
        <v>1.0254890918731689</v>
      </c>
      <c r="I451" s="6">
        <v>0.32830461859703103</v>
      </c>
      <c r="J451" s="6">
        <v>1.888649463653564</v>
      </c>
      <c r="K451" s="6">
        <v>-0.60911834239959706</v>
      </c>
      <c r="L451" s="6">
        <v>1.6297167539596562</v>
      </c>
      <c r="M451" s="6">
        <v>-0.88395649194717407</v>
      </c>
      <c r="N451" s="6">
        <v>1.474231589702488</v>
      </c>
      <c r="O451" s="6">
        <v>2.0633836136634431</v>
      </c>
      <c r="P451" s="6">
        <v>0.82716854798851402</v>
      </c>
      <c r="Q451" s="6">
        <v>0.75875914466767802</v>
      </c>
      <c r="R451" s="6">
        <v>12.101067311923314</v>
      </c>
      <c r="S451" s="6">
        <v>7.9925333356577131</v>
      </c>
      <c r="T451" s="6">
        <v>6.6166338920593262</v>
      </c>
      <c r="U451" s="6" t="str">
        <f>_xll.BDP($A451,"TRAILING_12M_R&amp;D_%_SALES",$A$1,$A$2)</f>
        <v>#N/A N/A</v>
      </c>
      <c r="V451" s="6">
        <v>40</v>
      </c>
      <c r="W451" s="6">
        <v>401010</v>
      </c>
      <c r="X451" s="6">
        <v>40101010</v>
      </c>
      <c r="Y451" s="7" t="s">
        <v>53</v>
      </c>
      <c r="Z451" s="7" t="s">
        <v>76</v>
      </c>
      <c r="AA451" s="7" t="s">
        <v>77</v>
      </c>
      <c r="AB451" s="6">
        <v>56.603961944580078</v>
      </c>
      <c r="AC451" s="6">
        <v>1.005217291017424</v>
      </c>
      <c r="AD451" s="6">
        <v>-4.3412497434466619</v>
      </c>
      <c r="AE451" s="6">
        <v>57090</v>
      </c>
      <c r="AF451" s="6">
        <v>51568</v>
      </c>
    </row>
    <row r="452" spans="1:32" s="4" customFormat="1" ht="12.75" x14ac:dyDescent="0.2">
      <c r="A452" s="7" t="s">
        <v>1517</v>
      </c>
      <c r="B452" s="7" t="s">
        <v>1518</v>
      </c>
      <c r="C452" s="7" t="s">
        <v>1519</v>
      </c>
      <c r="D452" s="6">
        <v>0.51268804073333707</v>
      </c>
      <c r="E452" s="6">
        <v>-0.96922492980957009</v>
      </c>
      <c r="F452" s="6">
        <v>1.542743444442749</v>
      </c>
      <c r="G452" s="6">
        <v>-0.44583415985107405</v>
      </c>
      <c r="H452" s="6">
        <v>1.0254890918731689</v>
      </c>
      <c r="I452" s="6">
        <v>0.32830461859703103</v>
      </c>
      <c r="J452" s="6">
        <v>1.888649463653564</v>
      </c>
      <c r="K452" s="6">
        <v>-0.60911834239959706</v>
      </c>
      <c r="L452" s="6">
        <v>1.6297167539596562</v>
      </c>
      <c r="M452" s="6">
        <v>-0.88395649194717407</v>
      </c>
      <c r="N452" s="6">
        <v>1.474231589702488</v>
      </c>
      <c r="O452" s="6">
        <v>2.0930542744495728</v>
      </c>
      <c r="P452" s="6">
        <v>0.82716854798851402</v>
      </c>
      <c r="Q452" s="6">
        <v>0.76966981738224205</v>
      </c>
      <c r="R452" s="6">
        <v>12.101067311923314</v>
      </c>
      <c r="S452" s="6">
        <v>8.1074629757133891</v>
      </c>
      <c r="T452" s="6">
        <v>6.6166338920593262</v>
      </c>
      <c r="U452" s="6" t="str">
        <f>_xll.BDP($A452,"TRAILING_12M_R&amp;D_%_SALES",$A$1,$A$2)</f>
        <v>#N/A N/A</v>
      </c>
      <c r="V452" s="6">
        <v>40</v>
      </c>
      <c r="W452" s="6">
        <v>401010</v>
      </c>
      <c r="X452" s="6">
        <v>40101010</v>
      </c>
      <c r="Y452" s="7" t="s">
        <v>53</v>
      </c>
      <c r="Z452" s="7" t="s">
        <v>76</v>
      </c>
      <c r="AA452" s="7" t="s">
        <v>77</v>
      </c>
      <c r="AB452" s="6">
        <v>56.603961944580078</v>
      </c>
      <c r="AC452" s="6">
        <v>0.77025280244916106</v>
      </c>
      <c r="AD452" s="6">
        <v>-4.1421421921031376</v>
      </c>
      <c r="AE452" s="6">
        <v>57090</v>
      </c>
      <c r="AF452" s="6">
        <v>51568</v>
      </c>
    </row>
    <row r="453" spans="1:32" s="4" customFormat="1" ht="12.75" x14ac:dyDescent="0.2">
      <c r="A453" s="7" t="s">
        <v>1520</v>
      </c>
      <c r="B453" s="7" t="s">
        <v>1521</v>
      </c>
      <c r="C453" s="7" t="s">
        <v>1522</v>
      </c>
      <c r="D453" s="6">
        <v>0.45922783017158503</v>
      </c>
      <c r="E453" s="6">
        <v>-0.501364946365356</v>
      </c>
      <c r="F453" s="6">
        <v>0.23477144539356201</v>
      </c>
      <c r="G453" s="6">
        <v>0.39976286888122603</v>
      </c>
      <c r="H453" s="6">
        <v>-0.17332363128662101</v>
      </c>
      <c r="I453" s="6">
        <v>-1.240147709846497</v>
      </c>
      <c r="J453" s="6">
        <v>0.91275292634964011</v>
      </c>
      <c r="K453" s="6">
        <v>-0.93136751651763905</v>
      </c>
      <c r="L453" s="6">
        <v>1.9557816982269292</v>
      </c>
      <c r="M453" s="6">
        <v>-0.28440782427787803</v>
      </c>
      <c r="N453" s="6">
        <v>1.554174409350261</v>
      </c>
      <c r="O453" s="6">
        <v>1.788733737412147</v>
      </c>
      <c r="P453" s="6">
        <v>1.092021959071948</v>
      </c>
      <c r="Q453" s="6">
        <v>1.07798177993077</v>
      </c>
      <c r="R453" s="6">
        <v>13.902579762977933</v>
      </c>
      <c r="S453" s="6">
        <v>14.70036387988285</v>
      </c>
      <c r="T453" s="6">
        <v>14.003115653991699</v>
      </c>
      <c r="U453" s="6">
        <f>_xll.BDP($A453,"TRAILING_12M_R&amp;D_%_SALES",$A$1,$A$2)</f>
        <v>31.159488521873413</v>
      </c>
      <c r="V453" s="6">
        <v>45</v>
      </c>
      <c r="W453" s="6">
        <v>453010</v>
      </c>
      <c r="X453" s="6">
        <v>45301020</v>
      </c>
      <c r="Y453" s="7" t="s">
        <v>66</v>
      </c>
      <c r="Z453" s="7" t="s">
        <v>163</v>
      </c>
      <c r="AA453" s="7" t="s">
        <v>164</v>
      </c>
      <c r="AB453" s="6">
        <v>74.861686706542969</v>
      </c>
      <c r="AC453" s="6">
        <v>1.1303400720583709</v>
      </c>
      <c r="AD453" s="6">
        <v>-46.89841049305128</v>
      </c>
      <c r="AE453" s="6">
        <v>121100</v>
      </c>
      <c r="AF453" s="6">
        <v>106000</v>
      </c>
    </row>
    <row r="454" spans="1:32" s="4" customFormat="1" ht="12.75" x14ac:dyDescent="0.2">
      <c r="A454" s="7" t="s">
        <v>1523</v>
      </c>
      <c r="B454" s="7" t="s">
        <v>1524</v>
      </c>
      <c r="C454" s="7" t="s">
        <v>1525</v>
      </c>
      <c r="D454" s="6">
        <v>-0.39896255731582603</v>
      </c>
      <c r="E454" s="6">
        <v>-9.1575346887112011E-2</v>
      </c>
      <c r="F454" s="6">
        <v>-0.64541286230087302</v>
      </c>
      <c r="G454" s="6">
        <v>-0.15440645813942</v>
      </c>
      <c r="H454" s="6">
        <v>-0.42964652180671703</v>
      </c>
      <c r="I454" s="6">
        <v>-0.83642214536666903</v>
      </c>
      <c r="J454" s="6">
        <v>-0.46653762459754905</v>
      </c>
      <c r="K454" s="6">
        <v>1.3178631067276001</v>
      </c>
      <c r="L454" s="6">
        <v>-0.41528180241584806</v>
      </c>
      <c r="M454" s="6">
        <v>1.456005811691284</v>
      </c>
      <c r="N454" s="6">
        <v>8.2428445801739603</v>
      </c>
      <c r="O454" s="6">
        <v>7.3951034129878543</v>
      </c>
      <c r="P454" s="6">
        <v>6.8151171398596144</v>
      </c>
      <c r="Q454" s="6">
        <v>5.6097985394643874</v>
      </c>
      <c r="R454" s="6">
        <v>58.269112182847209</v>
      </c>
      <c r="S454" s="6">
        <v>26.908625013915781</v>
      </c>
      <c r="T454" s="6">
        <v>14.558139801025391</v>
      </c>
      <c r="U454" s="6">
        <f>_xll.BDP($A454,"TRAILING_12M_R&amp;D_%_SALES",$A$1,$A$2)</f>
        <v>16.403564979320791</v>
      </c>
      <c r="V454" s="6">
        <v>45</v>
      </c>
      <c r="W454" s="6">
        <v>451030</v>
      </c>
      <c r="X454" s="6">
        <v>45103010</v>
      </c>
      <c r="Y454" s="7" t="s">
        <v>66</v>
      </c>
      <c r="Z454" s="7" t="s">
        <v>150</v>
      </c>
      <c r="AA454" s="7" t="s">
        <v>151</v>
      </c>
      <c r="AB454" s="6">
        <v>54.652450561523438</v>
      </c>
      <c r="AC454" s="6">
        <v>1.446964869724654</v>
      </c>
      <c r="AD454" s="6">
        <v>-39.127593707471163</v>
      </c>
      <c r="AE454" s="6">
        <v>17300</v>
      </c>
      <c r="AF454" s="6">
        <v>8200</v>
      </c>
    </row>
    <row r="455" spans="1:32" s="4" customFormat="1" ht="12.75" x14ac:dyDescent="0.2">
      <c r="A455" s="7" t="s">
        <v>1526</v>
      </c>
      <c r="B455" s="7" t="s">
        <v>1527</v>
      </c>
      <c r="C455" s="7" t="s">
        <v>1528</v>
      </c>
      <c r="D455" s="6">
        <v>-0.81821227073669411</v>
      </c>
      <c r="E455" s="6">
        <v>-0.32594296336174</v>
      </c>
      <c r="F455" s="6">
        <v>0.46321108937263505</v>
      </c>
      <c r="G455" s="6">
        <v>0.32108560204505904</v>
      </c>
      <c r="H455" s="6">
        <v>4.7423057258130005E-3</v>
      </c>
      <c r="I455" s="6">
        <v>1.5395224094390869</v>
      </c>
      <c r="J455" s="6">
        <v>2.8777420520782471</v>
      </c>
      <c r="K455" s="6">
        <v>-0.68313503265380904</v>
      </c>
      <c r="L455" s="6">
        <v>1.202551484107971</v>
      </c>
      <c r="M455" s="6">
        <v>-0.36393210291862504</v>
      </c>
      <c r="N455" s="6">
        <v>0.92501674748003204</v>
      </c>
      <c r="O455" s="6">
        <v>0.85164132353853306</v>
      </c>
      <c r="P455" s="6">
        <v>0.47704086655340505</v>
      </c>
      <c r="Q455" s="6">
        <v>0.46028311332600402</v>
      </c>
      <c r="R455" s="6">
        <v>5.5167181938008367</v>
      </c>
      <c r="S455" s="6">
        <v>4.7707151862136055</v>
      </c>
      <c r="T455" s="6">
        <v>10.104344367980957</v>
      </c>
      <c r="U455" s="6" t="str">
        <f>_xll.BDP($A455,"TRAILING_12M_R&amp;D_%_SALES",$A$1,$A$2)</f>
        <v>#N/A N/A</v>
      </c>
      <c r="V455" s="6">
        <v>10</v>
      </c>
      <c r="W455" s="6">
        <v>101020</v>
      </c>
      <c r="X455" s="6">
        <v>10102020</v>
      </c>
      <c r="Y455" s="7" t="s">
        <v>505</v>
      </c>
      <c r="Z455" s="7" t="s">
        <v>556</v>
      </c>
      <c r="AA455" s="7" t="s">
        <v>776</v>
      </c>
      <c r="AB455" s="6">
        <v>63.3236083984375</v>
      </c>
      <c r="AC455" s="6">
        <v>0.520617166595854</v>
      </c>
      <c r="AD455" s="6">
        <v>44.288620499081468</v>
      </c>
      <c r="AE455" s="6">
        <v>3189</v>
      </c>
      <c r="AF455" s="6">
        <v>3449</v>
      </c>
    </row>
    <row r="456" spans="1:32" s="4" customFormat="1" ht="12.75" x14ac:dyDescent="0.2">
      <c r="A456" s="7" t="s">
        <v>1529</v>
      </c>
      <c r="B456" s="7" t="s">
        <v>1530</v>
      </c>
      <c r="C456" s="7" t="s">
        <v>1531</v>
      </c>
      <c r="D456" s="6">
        <v>-0.81821227073669411</v>
      </c>
      <c r="E456" s="6">
        <v>-0.32594296336174</v>
      </c>
      <c r="F456" s="6">
        <v>0.46321108937263505</v>
      </c>
      <c r="G456" s="6">
        <v>0.32108560204505904</v>
      </c>
      <c r="H456" s="6">
        <v>4.7423057258130005E-3</v>
      </c>
      <c r="I456" s="6">
        <v>1.5395224094390869</v>
      </c>
      <c r="J456" s="6">
        <v>2.8777420520782471</v>
      </c>
      <c r="K456" s="6">
        <v>-0.68313503265380904</v>
      </c>
      <c r="L456" s="6">
        <v>1.202551484107971</v>
      </c>
      <c r="M456" s="6">
        <v>-0.36393210291862504</v>
      </c>
      <c r="N456" s="6">
        <v>0.92501674748003204</v>
      </c>
      <c r="O456" s="6"/>
      <c r="P456" s="6">
        <v>0.47704086655340505</v>
      </c>
      <c r="Q456" s="6"/>
      <c r="R456" s="6">
        <v>5.5167181938008367</v>
      </c>
      <c r="S456" s="6"/>
      <c r="T456" s="6">
        <v>10.104344367980957</v>
      </c>
      <c r="U456" s="6" t="str">
        <f>_xll.BDP($A456,"TRAILING_12M_R&amp;D_%_SALES",$A$1,$A$2)</f>
        <v>#N/A N/A</v>
      </c>
      <c r="V456" s="6">
        <v>10</v>
      </c>
      <c r="W456" s="6">
        <v>101020</v>
      </c>
      <c r="X456" s="6">
        <v>10102020</v>
      </c>
      <c r="Y456" s="7" t="s">
        <v>505</v>
      </c>
      <c r="Z456" s="7" t="s">
        <v>556</v>
      </c>
      <c r="AA456" s="7" t="s">
        <v>776</v>
      </c>
      <c r="AB456" s="6">
        <v>63.3236083984375</v>
      </c>
      <c r="AC456" s="6">
        <v>0.57445880206602906</v>
      </c>
      <c r="AD456" s="6">
        <v>28.148525515063881</v>
      </c>
      <c r="AE456" s="6">
        <v>3189</v>
      </c>
      <c r="AF456" s="6">
        <v>3449</v>
      </c>
    </row>
    <row r="457" spans="1:32" s="4" customFormat="1" ht="12.75" x14ac:dyDescent="0.2">
      <c r="A457" s="7" t="s">
        <v>1532</v>
      </c>
      <c r="B457" s="7" t="s">
        <v>1533</v>
      </c>
      <c r="C457" s="7" t="s">
        <v>1534</v>
      </c>
      <c r="D457" s="6">
        <v>-0.74597102403640703</v>
      </c>
      <c r="E457" s="6">
        <v>0.72782039642334007</v>
      </c>
      <c r="F457" s="6">
        <v>0.52146428823471103</v>
      </c>
      <c r="G457" s="6">
        <v>-0.26921164989471402</v>
      </c>
      <c r="H457" s="6">
        <v>0.91535896062851008</v>
      </c>
      <c r="I457" s="6">
        <v>-0.31265473365783703</v>
      </c>
      <c r="J457" s="6">
        <v>-0.19857200980186501</v>
      </c>
      <c r="K457" s="6">
        <v>-0.46459060907363903</v>
      </c>
      <c r="L457" s="6">
        <v>-0.81727248430252109</v>
      </c>
      <c r="M457" s="6">
        <v>-0.45898914337158203</v>
      </c>
      <c r="N457" s="6">
        <v>2.705181118912324</v>
      </c>
      <c r="O457" s="6">
        <v>2.4605366613957069</v>
      </c>
      <c r="P457" s="6">
        <v>7.1196115294615741</v>
      </c>
      <c r="Q457" s="6">
        <v>5.6817830774119304</v>
      </c>
      <c r="R457" s="6">
        <v>30.291964416418828</v>
      </c>
      <c r="S457" s="6">
        <v>18.862916692418754</v>
      </c>
      <c r="T457" s="6">
        <v>21.152469635009766</v>
      </c>
      <c r="U457" s="6" t="str">
        <f>_xll.BDP($A457,"TRAILING_12M_R&amp;D_%_SALES",$A$1,$A$2)</f>
        <v>#N/A N/A</v>
      </c>
      <c r="V457" s="6">
        <v>35</v>
      </c>
      <c r="W457" s="6">
        <v>352030</v>
      </c>
      <c r="X457" s="6">
        <v>35203010</v>
      </c>
      <c r="Y457" s="7" t="s">
        <v>86</v>
      </c>
      <c r="Z457" s="7" t="s">
        <v>953</v>
      </c>
      <c r="AA457" s="7" t="s">
        <v>953</v>
      </c>
      <c r="AB457" s="6">
        <v>48.546424865722656</v>
      </c>
      <c r="AC457" s="6">
        <v>1.124769457663052</v>
      </c>
      <c r="AD457" s="6">
        <v>-27.500792608311976</v>
      </c>
      <c r="AE457" s="6">
        <v>79000</v>
      </c>
      <c r="AF457" s="6">
        <v>50000</v>
      </c>
    </row>
    <row r="458" spans="1:32" s="4" customFormat="1" ht="12.75" x14ac:dyDescent="0.2">
      <c r="A458" s="7" t="s">
        <v>1535</v>
      </c>
      <c r="B458" s="7" t="s">
        <v>1536</v>
      </c>
      <c r="C458" s="7" t="s">
        <v>1537</v>
      </c>
      <c r="D458" s="6">
        <v>0.48099336028099104</v>
      </c>
      <c r="E458" s="6">
        <v>-0.99251461029052712</v>
      </c>
      <c r="F458" s="6">
        <v>1.31044065952301</v>
      </c>
      <c r="G458" s="6">
        <v>-0.19513706862926503</v>
      </c>
      <c r="H458" s="6">
        <v>1.027270436286926</v>
      </c>
      <c r="I458" s="6">
        <v>0.36524471640586903</v>
      </c>
      <c r="J458" s="6">
        <v>1.6662963628768921</v>
      </c>
      <c r="K458" s="6">
        <v>-0.60956245660781905</v>
      </c>
      <c r="L458" s="6">
        <v>0.90346652269363403</v>
      </c>
      <c r="M458" s="6">
        <v>-1.053923606872559</v>
      </c>
      <c r="N458" s="6">
        <v>1.35484484985877</v>
      </c>
      <c r="O458" s="6"/>
      <c r="P458" s="6">
        <v>0.70131409833195202</v>
      </c>
      <c r="Q458" s="6"/>
      <c r="R458" s="6">
        <v>11.677175175182049</v>
      </c>
      <c r="S458" s="6">
        <v>7.0883456621562386</v>
      </c>
      <c r="T458" s="6">
        <v>5.9418878555297852</v>
      </c>
      <c r="U458" s="6" t="str">
        <f>_xll.BDP($A458,"TRAILING_12M_R&amp;D_%_SALES",$A$1,$A$2)</f>
        <v>#N/A N/A</v>
      </c>
      <c r="V458" s="6">
        <v>40</v>
      </c>
      <c r="W458" s="6">
        <v>401010</v>
      </c>
      <c r="X458" s="6">
        <v>40101010</v>
      </c>
      <c r="Y458" s="7" t="s">
        <v>53</v>
      </c>
      <c r="Z458" s="7" t="s">
        <v>76</v>
      </c>
      <c r="AA458" s="7" t="s">
        <v>77</v>
      </c>
      <c r="AB458" s="6">
        <v>73.745094299316406</v>
      </c>
      <c r="AC458" s="6">
        <v>1.0294471846048101</v>
      </c>
      <c r="AD458" s="6">
        <v>-7.0960962584044944</v>
      </c>
      <c r="AE458" s="6">
        <v>92765</v>
      </c>
      <c r="AF458" s="6">
        <v>89126</v>
      </c>
    </row>
    <row r="459" spans="1:32" s="4" customFormat="1" ht="12.75" x14ac:dyDescent="0.2">
      <c r="A459" s="7" t="s">
        <v>1538</v>
      </c>
      <c r="B459" s="7" t="s">
        <v>1539</v>
      </c>
      <c r="C459" s="7" t="s">
        <v>1540</v>
      </c>
      <c r="D459" s="6">
        <v>-0.80140352249145508</v>
      </c>
      <c r="E459" s="6">
        <v>-0.36242839694023105</v>
      </c>
      <c r="F459" s="6">
        <v>1.2474286556243901</v>
      </c>
      <c r="G459" s="6">
        <v>-0.23795518279075603</v>
      </c>
      <c r="H459" s="6">
        <v>-1.409680962562561</v>
      </c>
      <c r="I459" s="6">
        <v>-5.4666206240654006E-2</v>
      </c>
      <c r="J459" s="6">
        <v>-0.65506947040557906</v>
      </c>
      <c r="K459" s="6">
        <v>0.24979896843433402</v>
      </c>
      <c r="L459" s="6">
        <v>-0.81727248430252109</v>
      </c>
      <c r="M459" s="6">
        <v>-0.31091201305389404</v>
      </c>
      <c r="N459" s="6">
        <v>15.497245202999466</v>
      </c>
      <c r="O459" s="6">
        <v>13.349407016357445</v>
      </c>
      <c r="P459" s="6">
        <v>8.1411115299749763</v>
      </c>
      <c r="Q459" s="6">
        <v>6.5155925560915344</v>
      </c>
      <c r="R459" s="6">
        <v>67.974461844623434</v>
      </c>
      <c r="S459" s="6">
        <v>49.097015076594467</v>
      </c>
      <c r="T459" s="6">
        <v>12.02112865447998</v>
      </c>
      <c r="U459" s="6">
        <f>_xll.BDP($A459,"TRAILING_12M_R&amp;D_%_SALES",$A$1,$A$2)</f>
        <v>13.712718956909043</v>
      </c>
      <c r="V459" s="6">
        <v>35</v>
      </c>
      <c r="W459" s="6">
        <v>351010</v>
      </c>
      <c r="X459" s="6">
        <v>35101010</v>
      </c>
      <c r="Y459" s="7" t="s">
        <v>86</v>
      </c>
      <c r="Z459" s="7" t="s">
        <v>114</v>
      </c>
      <c r="AA459" s="7" t="s">
        <v>115</v>
      </c>
      <c r="AB459" s="6">
        <v>46.514434814453125</v>
      </c>
      <c r="AC459" s="6">
        <v>1.2691835150710169</v>
      </c>
      <c r="AD459" s="6">
        <v>-26.961184965762008</v>
      </c>
      <c r="AE459" s="6">
        <v>9793</v>
      </c>
      <c r="AF459" s="6">
        <v>3755</v>
      </c>
    </row>
    <row r="460" spans="1:32" s="4" customFormat="1" ht="12.75" x14ac:dyDescent="0.2">
      <c r="A460" s="7" t="s">
        <v>1541</v>
      </c>
      <c r="B460" s="7" t="s">
        <v>1542</v>
      </c>
      <c r="C460" s="7" t="s">
        <v>1543</v>
      </c>
      <c r="D460" s="6">
        <v>0.14178211987018602</v>
      </c>
      <c r="E460" s="6">
        <v>-0.46910655498504605</v>
      </c>
      <c r="F460" s="6">
        <v>1.284680247306824</v>
      </c>
      <c r="G460" s="6">
        <v>-0.8967011570930481</v>
      </c>
      <c r="H460" s="6">
        <v>0.22402204573154402</v>
      </c>
      <c r="I460" s="6">
        <v>0.89867258071899403</v>
      </c>
      <c r="J460" s="6">
        <v>0.99471575021743808</v>
      </c>
      <c r="K460" s="6">
        <v>-0.76400923728942904</v>
      </c>
      <c r="L460" s="6">
        <v>0.79357272386550903</v>
      </c>
      <c r="M460" s="6">
        <v>-0.53763037919998202</v>
      </c>
      <c r="N460" s="6">
        <v>0.45613533137359902</v>
      </c>
      <c r="O460" s="6">
        <v>0.48527953453419004</v>
      </c>
      <c r="P460" s="6">
        <v>1.253624578695947</v>
      </c>
      <c r="Q460" s="6">
        <v>1.128893651054101</v>
      </c>
      <c r="R460" s="6">
        <v>7.6161432866893399</v>
      </c>
      <c r="S460" s="6">
        <v>7.7129143524666208</v>
      </c>
      <c r="T460" s="6">
        <v>18.603002548217773</v>
      </c>
      <c r="U460" s="6">
        <f>_xll.BDP($A460,"TRAILING_12M_R&amp;D_%_SALES",$A$1,$A$2)</f>
        <v>0</v>
      </c>
      <c r="V460" s="6">
        <v>20</v>
      </c>
      <c r="W460" s="6">
        <v>201070</v>
      </c>
      <c r="X460" s="6">
        <v>20107010</v>
      </c>
      <c r="Y460" s="7" t="s">
        <v>43</v>
      </c>
      <c r="Z460" s="7" t="s">
        <v>44</v>
      </c>
      <c r="AA460" s="7" t="s">
        <v>44</v>
      </c>
      <c r="AB460" s="6">
        <v>55.074943542480469</v>
      </c>
      <c r="AC460" s="6">
        <v>0.50656999305719608</v>
      </c>
      <c r="AD460" s="6">
        <v>5.7544628639120798</v>
      </c>
      <c r="AE460" s="6">
        <v>115124</v>
      </c>
      <c r="AF460" s="6">
        <v>95944</v>
      </c>
    </row>
    <row r="461" spans="1:32" s="4" customFormat="1" ht="12.75" x14ac:dyDescent="0.2">
      <c r="A461" s="7" t="s">
        <v>1544</v>
      </c>
      <c r="B461" s="7" t="s">
        <v>1545</v>
      </c>
      <c r="C461" s="7" t="s">
        <v>1546</v>
      </c>
      <c r="D461" s="6">
        <v>0.14178211987018602</v>
      </c>
      <c r="E461" s="6">
        <v>-0.46910655498504605</v>
      </c>
      <c r="F461" s="6">
        <v>1.284680247306824</v>
      </c>
      <c r="G461" s="6">
        <v>-0.8967011570930481</v>
      </c>
      <c r="H461" s="6">
        <v>0.22402204573154402</v>
      </c>
      <c r="I461" s="6">
        <v>0.89867258071899403</v>
      </c>
      <c r="J461" s="6">
        <v>0.99471575021743808</v>
      </c>
      <c r="K461" s="6">
        <v>-0.76400923728942904</v>
      </c>
      <c r="L461" s="6">
        <v>0.79357272386550903</v>
      </c>
      <c r="M461" s="6">
        <v>-0.53763037919998202</v>
      </c>
      <c r="N461" s="6">
        <v>0.45613533137359902</v>
      </c>
      <c r="O461" s="6"/>
      <c r="P461" s="6">
        <v>1.253624578695947</v>
      </c>
      <c r="Q461" s="6"/>
      <c r="R461" s="6">
        <v>7.6161432866893399</v>
      </c>
      <c r="S461" s="6"/>
      <c r="T461" s="6">
        <v>18.603002548217773</v>
      </c>
      <c r="U461" s="6">
        <f>_xll.BDP($A461,"TRAILING_12M_R&amp;D_%_SALES",$A$1,$A$2)</f>
        <v>0</v>
      </c>
      <c r="V461" s="6">
        <v>20</v>
      </c>
      <c r="W461" s="6">
        <v>201070</v>
      </c>
      <c r="X461" s="6">
        <v>20107010</v>
      </c>
      <c r="Y461" s="7" t="s">
        <v>43</v>
      </c>
      <c r="Z461" s="7" t="s">
        <v>44</v>
      </c>
      <c r="AA461" s="7" t="s">
        <v>44</v>
      </c>
      <c r="AB461" s="6">
        <v>55.074943542480469</v>
      </c>
      <c r="AC461" s="6">
        <v>0.69577977398819202</v>
      </c>
      <c r="AD461" s="6">
        <v>5.2515134723093659</v>
      </c>
      <c r="AE461" s="6">
        <v>115124</v>
      </c>
      <c r="AF461" s="6">
        <v>95944</v>
      </c>
    </row>
    <row r="462" spans="1:32" s="4" customFormat="1" ht="12.75" x14ac:dyDescent="0.2">
      <c r="A462" s="7" t="s">
        <v>1547</v>
      </c>
      <c r="B462" s="7" t="s">
        <v>1548</v>
      </c>
      <c r="C462" s="7" t="s">
        <v>1549</v>
      </c>
      <c r="D462" s="6">
        <v>0.35207957029342701</v>
      </c>
      <c r="E462" s="6">
        <v>-0.70868080854415905</v>
      </c>
      <c r="F462" s="6">
        <v>-0.360842496156693</v>
      </c>
      <c r="G462" s="6">
        <v>0.22973518073558802</v>
      </c>
      <c r="H462" s="6">
        <v>0.69986295700073209</v>
      </c>
      <c r="I462" s="6">
        <v>6.8141184747219002E-2</v>
      </c>
      <c r="J462" s="6">
        <v>1.963830351829529</v>
      </c>
      <c r="K462" s="6">
        <v>-0.59240448474884</v>
      </c>
      <c r="L462" s="6">
        <v>-0.38355064392089805</v>
      </c>
      <c r="M462" s="6">
        <v>-0.34413513541221602</v>
      </c>
      <c r="N462" s="6">
        <v>0.95024511103287412</v>
      </c>
      <c r="O462" s="6">
        <v>1.452411162143959</v>
      </c>
      <c r="P462" s="6">
        <v>1.4861055727711792</v>
      </c>
      <c r="Q462" s="6">
        <v>1.3069481072148359</v>
      </c>
      <c r="R462" s="6">
        <v>8.5495721630451982</v>
      </c>
      <c r="S462" s="6">
        <v>6.7585296156997199</v>
      </c>
      <c r="T462" s="6">
        <v>18.339675903320313</v>
      </c>
      <c r="U462" s="6" t="str">
        <f>_xll.BDP($A462,"TRAILING_12M_R&amp;D_%_SALES",$A$1,$A$2)</f>
        <v>#N/A N/A</v>
      </c>
      <c r="V462" s="6">
        <v>40</v>
      </c>
      <c r="W462" s="6">
        <v>401010</v>
      </c>
      <c r="X462" s="6">
        <v>40101010</v>
      </c>
      <c r="Y462" s="7" t="s">
        <v>53</v>
      </c>
      <c r="Z462" s="7" t="s">
        <v>76</v>
      </c>
      <c r="AA462" s="7" t="s">
        <v>77</v>
      </c>
      <c r="AB462" s="6">
        <v>59.330047607421875</v>
      </c>
      <c r="AC462" s="6">
        <v>0.69451097893759406</v>
      </c>
      <c r="AD462" s="6">
        <v>31.301709359899267</v>
      </c>
      <c r="AE462" s="6">
        <v>99598</v>
      </c>
      <c r="AF462" s="6">
        <v>94779</v>
      </c>
    </row>
    <row r="463" spans="1:32" s="4" customFormat="1" ht="12.75" x14ac:dyDescent="0.2">
      <c r="A463" s="7" t="s">
        <v>1550</v>
      </c>
      <c r="B463" s="7" t="s">
        <v>1551</v>
      </c>
      <c r="C463" s="7" t="s">
        <v>1552</v>
      </c>
      <c r="D463" s="6">
        <v>-0.66585600376129206</v>
      </c>
      <c r="E463" s="6">
        <v>1.112885713577271</v>
      </c>
      <c r="F463" s="6">
        <v>0.24339574575424203</v>
      </c>
      <c r="G463" s="6">
        <v>-0.62711358070373502</v>
      </c>
      <c r="H463" s="6">
        <v>0.49388679862022405</v>
      </c>
      <c r="I463" s="6">
        <v>8.2092158496380005E-2</v>
      </c>
      <c r="J463" s="6">
        <v>-0.36344870924949602</v>
      </c>
      <c r="K463" s="6">
        <v>-0.80853950977325406</v>
      </c>
      <c r="L463" s="6">
        <v>0.335880547761917</v>
      </c>
      <c r="M463" s="6">
        <v>-0.58010107278823908</v>
      </c>
      <c r="N463" s="6">
        <v>4.3850386282719391</v>
      </c>
      <c r="O463" s="6">
        <v>4.2693381440801614</v>
      </c>
      <c r="P463" s="6">
        <v>22.461386176737641</v>
      </c>
      <c r="Q463" s="6">
        <v>22.47903593115965</v>
      </c>
      <c r="R463" s="6">
        <v>25.695598659247892</v>
      </c>
      <c r="S463" s="6">
        <v>23.891470478080677</v>
      </c>
      <c r="T463" s="6">
        <v>84.119911193847656</v>
      </c>
      <c r="U463" s="6" t="str">
        <f>_xll.BDP($A463,"TRAILING_12M_R&amp;D_%_SALES",$A$1,$A$2)</f>
        <v>#N/A N/A</v>
      </c>
      <c r="V463" s="6">
        <v>20</v>
      </c>
      <c r="W463" s="6">
        <v>201060</v>
      </c>
      <c r="X463" s="6">
        <v>20106020</v>
      </c>
      <c r="Y463" s="7" t="s">
        <v>43</v>
      </c>
      <c r="Z463" s="7" t="s">
        <v>630</v>
      </c>
      <c r="AA463" s="7" t="s">
        <v>1553</v>
      </c>
      <c r="AB463" s="6">
        <v>63.011768341064453</v>
      </c>
      <c r="AC463" s="6">
        <v>0.89565567529205903</v>
      </c>
      <c r="AD463" s="6">
        <v>-7.9247415019557117</v>
      </c>
      <c r="AE463" s="6">
        <v>45000</v>
      </c>
      <c r="AF463" s="6">
        <v>50000</v>
      </c>
    </row>
    <row r="464" spans="1:32" s="4" customFormat="1" ht="12.75" x14ac:dyDescent="0.2">
      <c r="A464" s="7" t="s">
        <v>1554</v>
      </c>
      <c r="B464" s="7" t="s">
        <v>1555</v>
      </c>
      <c r="C464" s="7" t="s">
        <v>1556</v>
      </c>
      <c r="D464" s="6">
        <v>-0.69676828384399403</v>
      </c>
      <c r="E464" s="6">
        <v>-0.129482701420784</v>
      </c>
      <c r="F464" s="6">
        <v>0.43119576573371904</v>
      </c>
      <c r="G464" s="6">
        <v>-0.66360026597976707</v>
      </c>
      <c r="H464" s="6">
        <v>1.1857234239578249</v>
      </c>
      <c r="I464" s="6">
        <v>0.35098829865455605</v>
      </c>
      <c r="J464" s="6">
        <v>0.98637300729751609</v>
      </c>
      <c r="K464" s="6">
        <v>-0.67860668897628806</v>
      </c>
      <c r="L464" s="6">
        <v>1.1095994710922241</v>
      </c>
      <c r="M464" s="6">
        <v>-0.94212102890014604</v>
      </c>
      <c r="N464" s="6">
        <v>2.8789945090337001</v>
      </c>
      <c r="O464" s="6"/>
      <c r="P464" s="6">
        <v>0.74858418299894702</v>
      </c>
      <c r="Q464" s="6"/>
      <c r="R464" s="6">
        <v>8.791915704055608</v>
      </c>
      <c r="S464" s="6">
        <v>7.1439170297642471</v>
      </c>
      <c r="T464" s="6">
        <v>8.8910636901855469</v>
      </c>
      <c r="U464" s="6" t="str">
        <f>_xll.BDP($A464,"TRAILING_12M_R&amp;D_%_SALES",$A$1,$A$2)</f>
        <v>#N/A N/A</v>
      </c>
      <c r="V464" s="6">
        <v>40</v>
      </c>
      <c r="W464" s="6">
        <v>402010</v>
      </c>
      <c r="X464" s="6">
        <v>40201020</v>
      </c>
      <c r="Y464" s="7" t="s">
        <v>53</v>
      </c>
      <c r="Z464" s="7" t="s">
        <v>344</v>
      </c>
      <c r="AA464" s="7" t="s">
        <v>345</v>
      </c>
      <c r="AB464" s="6">
        <v>41.997787475585938</v>
      </c>
      <c r="AC464" s="6">
        <v>0.80599691667454409</v>
      </c>
      <c r="AD464" s="6">
        <v>-17.925840428817143</v>
      </c>
      <c r="AE464" s="6">
        <v>32235</v>
      </c>
      <c r="AF464" s="6">
        <v>34835</v>
      </c>
    </row>
    <row r="465" spans="1:32" s="4" customFormat="1" ht="12.75" x14ac:dyDescent="0.2">
      <c r="A465" s="7" t="s">
        <v>1557</v>
      </c>
      <c r="B465" s="7" t="s">
        <v>1558</v>
      </c>
      <c r="C465" s="7" t="s">
        <v>1559</v>
      </c>
      <c r="D465" s="6">
        <v>-0.45164337754249606</v>
      </c>
      <c r="E465" s="6">
        <v>-0.45723459124565102</v>
      </c>
      <c r="F465" s="6">
        <v>1.3025603294372561</v>
      </c>
      <c r="G465" s="6">
        <v>-0.7689266204833981</v>
      </c>
      <c r="H465" s="6">
        <v>-0.76663035154342707</v>
      </c>
      <c r="I465" s="6">
        <v>0.8748866319656371</v>
      </c>
      <c r="J465" s="6">
        <v>0.56219947338104204</v>
      </c>
      <c r="K465" s="6">
        <v>-0.99983203411102306</v>
      </c>
      <c r="L465" s="6">
        <v>2.523306131362915</v>
      </c>
      <c r="M465" s="6">
        <v>-0.77254605293273904</v>
      </c>
      <c r="N465" s="6">
        <v>1.8394440450110801</v>
      </c>
      <c r="O465" s="6">
        <v>2.0081829856406399</v>
      </c>
      <c r="P465" s="6">
        <v>1.2463433719295971</v>
      </c>
      <c r="Q465" s="6">
        <v>1.5539835269387812</v>
      </c>
      <c r="R465" s="6">
        <v>11.703905653450331</v>
      </c>
      <c r="S465" s="6">
        <v>11.004395815446207</v>
      </c>
      <c r="T465" s="6">
        <v>12.265006065368652</v>
      </c>
      <c r="U465" s="6" t="str">
        <f>_xll.BDP($A465,"TRAILING_12M_R&amp;D_%_SALES",$A$1,$A$2)</f>
        <v>#N/A N/A</v>
      </c>
      <c r="V465" s="6">
        <v>30</v>
      </c>
      <c r="W465" s="6">
        <v>302030</v>
      </c>
      <c r="X465" s="6">
        <v>30203010</v>
      </c>
      <c r="Y465" s="7" t="s">
        <v>91</v>
      </c>
      <c r="Z465" s="7" t="s">
        <v>1504</v>
      </c>
      <c r="AA465" s="7" t="s">
        <v>1504</v>
      </c>
      <c r="AB465" s="6">
        <v>52.721054077148438</v>
      </c>
      <c r="AC465" s="6">
        <v>0.40917113199736904</v>
      </c>
      <c r="AD465" s="6">
        <v>5.6649749901629409</v>
      </c>
      <c r="AE465" s="6">
        <v>55381</v>
      </c>
      <c r="AF465" s="6">
        <v>44667</v>
      </c>
    </row>
    <row r="466" spans="1:32" s="4" customFormat="1" ht="12.75" x14ac:dyDescent="0.2">
      <c r="A466" s="7" t="s">
        <v>1560</v>
      </c>
      <c r="B466" s="7" t="s">
        <v>1561</v>
      </c>
      <c r="C466" s="7" t="s">
        <v>1562</v>
      </c>
      <c r="D466" s="6">
        <v>-0.45164337754249606</v>
      </c>
      <c r="E466" s="6">
        <v>-0.45723459124565102</v>
      </c>
      <c r="F466" s="6">
        <v>1.3025603294372561</v>
      </c>
      <c r="G466" s="6">
        <v>-0.7689266204833981</v>
      </c>
      <c r="H466" s="6">
        <v>-0.76663035154342707</v>
      </c>
      <c r="I466" s="6">
        <v>0.8748866319656371</v>
      </c>
      <c r="J466" s="6">
        <v>0.56219947338104204</v>
      </c>
      <c r="K466" s="6">
        <v>-0.99983203411102306</v>
      </c>
      <c r="L466" s="6">
        <v>2.523306131362915</v>
      </c>
      <c r="M466" s="6">
        <v>-0.77254605293273904</v>
      </c>
      <c r="N466" s="6">
        <v>1.8394440450110801</v>
      </c>
      <c r="O466" s="6"/>
      <c r="P466" s="6">
        <v>1.2463433719295971</v>
      </c>
      <c r="Q466" s="6"/>
      <c r="R466" s="6">
        <v>11.703905653450331</v>
      </c>
      <c r="S466" s="6">
        <v>8.3278252913698125</v>
      </c>
      <c r="T466" s="6">
        <v>12.265006065368652</v>
      </c>
      <c r="U466" s="6" t="str">
        <f>_xll.BDP($A466,"TRAILING_12M_R&amp;D_%_SALES",$A$1,$A$2)</f>
        <v>#N/A N/A</v>
      </c>
      <c r="V466" s="6">
        <v>30</v>
      </c>
      <c r="W466" s="6">
        <v>302030</v>
      </c>
      <c r="X466" s="6">
        <v>30203010</v>
      </c>
      <c r="Y466" s="7" t="s">
        <v>91</v>
      </c>
      <c r="Z466" s="7" t="s">
        <v>1504</v>
      </c>
      <c r="AA466" s="7" t="s">
        <v>1504</v>
      </c>
      <c r="AB466" s="6">
        <v>52.721054077148438</v>
      </c>
      <c r="AC466" s="6">
        <v>0.54292582159398306</v>
      </c>
      <c r="AD466" s="6">
        <v>7.0160675454142396</v>
      </c>
      <c r="AE466" s="6">
        <v>55381</v>
      </c>
      <c r="AF466" s="6">
        <v>44667</v>
      </c>
    </row>
    <row r="467" spans="1:32" s="4" customFormat="1" ht="12.75" x14ac:dyDescent="0.2">
      <c r="A467" s="7" t="s">
        <v>1563</v>
      </c>
      <c r="B467" s="7" t="s">
        <v>1564</v>
      </c>
      <c r="C467" s="7" t="s">
        <v>1565</v>
      </c>
      <c r="D467" s="6">
        <v>-0.90231204032897905</v>
      </c>
      <c r="E467" s="6">
        <v>-0.79993420839309703</v>
      </c>
      <c r="F467" s="6">
        <v>0.85443639755249001</v>
      </c>
      <c r="G467" s="6">
        <v>-0.8329914808273321</v>
      </c>
      <c r="H467" s="6">
        <v>-0.56920641660690308</v>
      </c>
      <c r="I467" s="6">
        <v>0.177120476961136</v>
      </c>
      <c r="J467" s="6">
        <v>0.11214075237512601</v>
      </c>
      <c r="K467" s="6">
        <v>-0.65154689550399802</v>
      </c>
      <c r="L467" s="6">
        <v>1.5287948846817021</v>
      </c>
      <c r="M467" s="6">
        <v>-0.81297290325164806</v>
      </c>
      <c r="N467" s="6">
        <v>2.745541860707621</v>
      </c>
      <c r="O467" s="6">
        <v>2.8559397178746302</v>
      </c>
      <c r="P467" s="6">
        <v>1.8576571765354912</v>
      </c>
      <c r="Q467" s="6">
        <v>1.624046689085533</v>
      </c>
      <c r="R467" s="6">
        <v>12.262180979641505</v>
      </c>
      <c r="S467" s="6">
        <v>9.6461213845439673</v>
      </c>
      <c r="T467" s="6">
        <v>14.479327201843262</v>
      </c>
      <c r="U467" s="6" t="str">
        <f>_xll.BDP($A467,"TRAILING_12M_R&amp;D_%_SALES",$A$1,$A$2)</f>
        <v>#N/A N/A</v>
      </c>
      <c r="V467" s="6">
        <v>40</v>
      </c>
      <c r="W467" s="6">
        <v>402030</v>
      </c>
      <c r="X467" s="6">
        <v>40203010</v>
      </c>
      <c r="Y467" s="7" t="s">
        <v>53</v>
      </c>
      <c r="Z467" s="7" t="s">
        <v>298</v>
      </c>
      <c r="AA467" s="7" t="s">
        <v>299</v>
      </c>
      <c r="AB467" s="6">
        <v>51.926364898681641</v>
      </c>
      <c r="AC467" s="6">
        <v>0.35038772406204705</v>
      </c>
      <c r="AD467" s="6">
        <v>-6.9244443156042728</v>
      </c>
      <c r="AE467" s="6">
        <v>6727</v>
      </c>
      <c r="AF467" s="6">
        <v>6026</v>
      </c>
    </row>
    <row r="468" spans="1:32" s="4" customFormat="1" ht="12.75" x14ac:dyDescent="0.2">
      <c r="A468" s="7" t="s">
        <v>1566</v>
      </c>
      <c r="B468" s="7" t="s">
        <v>1567</v>
      </c>
      <c r="C468" s="7" t="s">
        <v>1568</v>
      </c>
      <c r="D468" s="6">
        <v>-0.90231204032897905</v>
      </c>
      <c r="E468" s="6">
        <v>-0.79993420839309703</v>
      </c>
      <c r="F468" s="6">
        <v>0.85443639755249001</v>
      </c>
      <c r="G468" s="6">
        <v>-0.8329914808273321</v>
      </c>
      <c r="H468" s="6">
        <v>-0.56920641660690308</v>
      </c>
      <c r="I468" s="6">
        <v>0.177120476961136</v>
      </c>
      <c r="J468" s="6">
        <v>0.11214075237512601</v>
      </c>
      <c r="K468" s="6">
        <v>-0.65154689550399802</v>
      </c>
      <c r="L468" s="6">
        <v>1.5287948846817021</v>
      </c>
      <c r="M468" s="6">
        <v>-0.81297290325164806</v>
      </c>
      <c r="N468" s="6">
        <v>2.745541860707621</v>
      </c>
      <c r="O468" s="6">
        <v>2.8195972586591602</v>
      </c>
      <c r="P468" s="6">
        <v>1.8576571765354912</v>
      </c>
      <c r="Q468" s="6">
        <v>1.603382612427009</v>
      </c>
      <c r="R468" s="6">
        <v>12.262180979641505</v>
      </c>
      <c r="S468" s="6">
        <v>9.5233721690367545</v>
      </c>
      <c r="T468" s="6">
        <v>14.479327201843262</v>
      </c>
      <c r="U468" s="6" t="str">
        <f>_xll.BDP($A468,"TRAILING_12M_R&amp;D_%_SALES",$A$1,$A$2)</f>
        <v>#N/A N/A</v>
      </c>
      <c r="V468" s="6">
        <v>40</v>
      </c>
      <c r="W468" s="6">
        <v>402030</v>
      </c>
      <c r="X468" s="6">
        <v>40203010</v>
      </c>
      <c r="Y468" s="7" t="s">
        <v>53</v>
      </c>
      <c r="Z468" s="7" t="s">
        <v>298</v>
      </c>
      <c r="AA468" s="7" t="s">
        <v>299</v>
      </c>
      <c r="AB468" s="6">
        <v>51.926364898681641</v>
      </c>
      <c r="AC468" s="6">
        <v>0.95629948284564104</v>
      </c>
      <c r="AD468" s="6">
        <v>-8.6889717514124332</v>
      </c>
      <c r="AE468" s="6">
        <v>6727</v>
      </c>
      <c r="AF468" s="6">
        <v>6026</v>
      </c>
    </row>
    <row r="469" spans="1:32" s="4" customFormat="1" ht="12.75" x14ac:dyDescent="0.2">
      <c r="A469" s="7" t="s">
        <v>1569</v>
      </c>
      <c r="B469" s="7" t="s">
        <v>1570</v>
      </c>
      <c r="C469" s="7" t="s">
        <v>1571</v>
      </c>
      <c r="D469" s="6">
        <v>-0.7312015295028691</v>
      </c>
      <c r="E469" s="6">
        <v>-0.14482285082340202</v>
      </c>
      <c r="F469" s="6">
        <v>0.20199596881866502</v>
      </c>
      <c r="G469" s="6">
        <v>-0.51545172929763805</v>
      </c>
      <c r="H469" s="6">
        <v>1.5035687685012822</v>
      </c>
      <c r="I469" s="6">
        <v>-1.3167668581008911</v>
      </c>
      <c r="J469" s="6">
        <v>3.000007152557373</v>
      </c>
      <c r="K469" s="6">
        <v>0.37017995119094804</v>
      </c>
      <c r="L469" s="6">
        <v>3.00003981590271</v>
      </c>
      <c r="M469" s="6">
        <v>0.43588280677795405</v>
      </c>
      <c r="N469" s="6">
        <v>0.133224054821724</v>
      </c>
      <c r="O469" s="6">
        <v>0.13140142774268601</v>
      </c>
      <c r="P469" s="6">
        <v>1.1014923003166011</v>
      </c>
      <c r="Q469" s="6">
        <v>0.88669149854538609</v>
      </c>
      <c r="R469" s="6">
        <v>2.6044099710101061</v>
      </c>
      <c r="S469" s="6">
        <v>4.8908624466265813</v>
      </c>
      <c r="T469" s="6">
        <v>43.112911224365234</v>
      </c>
      <c r="U469" s="6">
        <f>_xll.BDP($A469,"TRAILING_12M_R&amp;D_%_SALES",$A$1,$A$2)</f>
        <v>3.7612965190361859E-3</v>
      </c>
      <c r="V469" s="6">
        <v>30</v>
      </c>
      <c r="W469" s="6">
        <v>302020</v>
      </c>
      <c r="X469" s="6">
        <v>30202030</v>
      </c>
      <c r="Y469" s="7" t="s">
        <v>91</v>
      </c>
      <c r="Z469" s="7" t="s">
        <v>168</v>
      </c>
      <c r="AA469" s="7" t="s">
        <v>906</v>
      </c>
      <c r="AB469" s="6">
        <v>48.335178375244141</v>
      </c>
      <c r="AC469" s="6">
        <v>0.61821811669162807</v>
      </c>
      <c r="AD469" s="6">
        <v>-33.286646664652686</v>
      </c>
      <c r="AE469" s="6">
        <v>250000</v>
      </c>
      <c r="AF469" s="6">
        <v>235000</v>
      </c>
    </row>
    <row r="470" spans="1:32" s="4" customFormat="1" ht="12.75" x14ac:dyDescent="0.2">
      <c r="A470" s="7" t="s">
        <v>1572</v>
      </c>
      <c r="B470" s="7" t="s">
        <v>1573</v>
      </c>
      <c r="C470" s="7" t="s">
        <v>1574</v>
      </c>
      <c r="D470" s="6">
        <v>-0.42724254727363603</v>
      </c>
      <c r="E470" s="6">
        <v>-0.58292949199676503</v>
      </c>
      <c r="F470" s="6">
        <v>0.24810221791267401</v>
      </c>
      <c r="G470" s="6">
        <v>-0.167834848165512</v>
      </c>
      <c r="H470" s="6">
        <v>-0.28811940550804105</v>
      </c>
      <c r="I470" s="6">
        <v>-0.16041541099548301</v>
      </c>
      <c r="J470" s="6">
        <v>-6.9452874362469011E-2</v>
      </c>
      <c r="K470" s="6">
        <v>-1.034226059913635</v>
      </c>
      <c r="L470" s="6">
        <v>0.25696402788162204</v>
      </c>
      <c r="M470" s="6">
        <v>-0.59022802114486705</v>
      </c>
      <c r="N470" s="6">
        <v>1.7598354794764861</v>
      </c>
      <c r="O470" s="6">
        <v>1.614704783786141</v>
      </c>
      <c r="P470" s="6">
        <v>2.7094046314606319</v>
      </c>
      <c r="Q470" s="6">
        <v>2.4137157474577062</v>
      </c>
      <c r="R470" s="6">
        <v>21.327525131166521</v>
      </c>
      <c r="S470" s="6">
        <v>17.629184672294233</v>
      </c>
      <c r="T470" s="6">
        <v>9.0570497512817383</v>
      </c>
      <c r="U470" s="6" t="str">
        <f>_xll.BDP($A470,"TRAILING_12M_R&amp;D_%_SALES",$A$1,$A$2)</f>
        <v>#N/A N/A</v>
      </c>
      <c r="V470" s="6">
        <v>20</v>
      </c>
      <c r="W470" s="6">
        <v>201020</v>
      </c>
      <c r="X470" s="6">
        <v>20102010</v>
      </c>
      <c r="Y470" s="7" t="s">
        <v>43</v>
      </c>
      <c r="Z470" s="7" t="s">
        <v>626</v>
      </c>
      <c r="AA470" s="7" t="s">
        <v>626</v>
      </c>
      <c r="AB470" s="6">
        <v>69.147972106933594</v>
      </c>
      <c r="AC470" s="6">
        <v>0.98802537558430803</v>
      </c>
      <c r="AD470" s="6">
        <v>-18.979595502978739</v>
      </c>
      <c r="AE470" s="6">
        <v>102000</v>
      </c>
      <c r="AF470" s="6">
        <v>120000</v>
      </c>
    </row>
    <row r="471" spans="1:32" s="4" customFormat="1" ht="12.75" x14ac:dyDescent="0.2">
      <c r="A471" s="7" t="s">
        <v>1575</v>
      </c>
      <c r="B471" s="7" t="s">
        <v>1576</v>
      </c>
      <c r="C471" s="7" t="s">
        <v>1577</v>
      </c>
      <c r="D471" s="6">
        <v>0.36166715621948203</v>
      </c>
      <c r="E471" s="6">
        <v>-1.184642434120178</v>
      </c>
      <c r="F471" s="6">
        <v>0.618355512619019</v>
      </c>
      <c r="G471" s="6">
        <v>0.21340987086296101</v>
      </c>
      <c r="H471" s="6">
        <v>-0.92277759313583407</v>
      </c>
      <c r="I471" s="6">
        <v>-0.12401875853538501</v>
      </c>
      <c r="J471" s="6">
        <v>-0.14782337844371801</v>
      </c>
      <c r="K471" s="6">
        <v>2.068754911422729</v>
      </c>
      <c r="L471" s="6">
        <v>-0.81727248430252109</v>
      </c>
      <c r="M471" s="6">
        <v>0.92482948303222712</v>
      </c>
      <c r="N471" s="6">
        <v>0.588155704453586</v>
      </c>
      <c r="O471" s="6">
        <v>0.50342387569048808</v>
      </c>
      <c r="P471" s="6">
        <v>2.8571921076441602</v>
      </c>
      <c r="Q471" s="6">
        <v>2.424045823591646</v>
      </c>
      <c r="R471" s="6">
        <v>42.384970757148977</v>
      </c>
      <c r="S471" s="6">
        <v>20.617141682189132</v>
      </c>
      <c r="T471" s="6">
        <v>1.021543025970459</v>
      </c>
      <c r="U471" s="6">
        <f>_xll.BDP($A471,"TRAILING_12M_R&amp;D_%_SALES",$A$1,$A$2)</f>
        <v>1.5196214364304819</v>
      </c>
      <c r="V471" s="6">
        <v>25</v>
      </c>
      <c r="W471" s="6">
        <v>255030</v>
      </c>
      <c r="X471" s="6">
        <v>25503030</v>
      </c>
      <c r="Y471" s="7" t="s">
        <v>108</v>
      </c>
      <c r="Z471" s="7" t="s">
        <v>313</v>
      </c>
      <c r="AA471" s="7" t="s">
        <v>313</v>
      </c>
      <c r="AB471" s="6">
        <v>46.132179260253906</v>
      </c>
      <c r="AC471" s="6">
        <v>1.1277900259920619</v>
      </c>
      <c r="AD471" s="6">
        <v>-18.366517348860523</v>
      </c>
      <c r="AE471" s="6">
        <v>385357</v>
      </c>
      <c r="AF471" s="6">
        <v>120622</v>
      </c>
    </row>
    <row r="472" spans="1:32" s="4" customFormat="1" ht="12.75" x14ac:dyDescent="0.2">
      <c r="A472" s="7" t="s">
        <v>1578</v>
      </c>
      <c r="B472" s="7" t="s">
        <v>1579</v>
      </c>
      <c r="C472" s="7" t="s">
        <v>1580</v>
      </c>
      <c r="D472" s="6">
        <v>0.36166715621948203</v>
      </c>
      <c r="E472" s="6">
        <v>-1.184642434120178</v>
      </c>
      <c r="F472" s="6">
        <v>0.618355512619019</v>
      </c>
      <c r="G472" s="6">
        <v>0.21340987086296101</v>
      </c>
      <c r="H472" s="6">
        <v>-0.92277759313583407</v>
      </c>
      <c r="I472" s="6">
        <v>-0.12401875853538501</v>
      </c>
      <c r="J472" s="6">
        <v>-0.14782337844371801</v>
      </c>
      <c r="K472" s="6">
        <v>2.068754911422729</v>
      </c>
      <c r="L472" s="6">
        <v>-0.81727248430252109</v>
      </c>
      <c r="M472" s="6">
        <v>0.92482948303222712</v>
      </c>
      <c r="N472" s="6">
        <v>0.588155704453586</v>
      </c>
      <c r="O472" s="6">
        <v>0.51209209283791002</v>
      </c>
      <c r="P472" s="6">
        <v>2.8571921076441602</v>
      </c>
      <c r="Q472" s="6">
        <v>2.4878511733705979</v>
      </c>
      <c r="R472" s="6">
        <v>42.384970757148977</v>
      </c>
      <c r="S472" s="6">
        <v>21.159725196442917</v>
      </c>
      <c r="T472" s="6">
        <v>1.021543025970459</v>
      </c>
      <c r="U472" s="6">
        <f>_xll.BDP($A472,"TRAILING_12M_R&amp;D_%_SALES",$A$1,$A$2)</f>
        <v>1.5196214364304819</v>
      </c>
      <c r="V472" s="6">
        <v>25</v>
      </c>
      <c r="W472" s="6">
        <v>255030</v>
      </c>
      <c r="X472" s="6">
        <v>25503030</v>
      </c>
      <c r="Y472" s="7" t="s">
        <v>108</v>
      </c>
      <c r="Z472" s="7" t="s">
        <v>313</v>
      </c>
      <c r="AA472" s="7" t="s">
        <v>313</v>
      </c>
      <c r="AB472" s="6">
        <v>46.132179260253906</v>
      </c>
      <c r="AC472" s="6">
        <v>0.83436795332673108</v>
      </c>
      <c r="AD472" s="6">
        <v>-11.657361262925114</v>
      </c>
      <c r="AE472" s="6">
        <v>385357</v>
      </c>
      <c r="AF472" s="6">
        <v>120622</v>
      </c>
    </row>
    <row r="473" spans="1:32" s="4" customFormat="1" ht="12.75" x14ac:dyDescent="0.2">
      <c r="A473" s="7" t="s">
        <v>1581</v>
      </c>
      <c r="B473" s="7" t="s">
        <v>1582</v>
      </c>
      <c r="C473" s="7" t="s">
        <v>1583</v>
      </c>
      <c r="D473" s="6">
        <v>0.99967968463897705</v>
      </c>
      <c r="E473" s="6">
        <v>5.1196422427893004E-2</v>
      </c>
      <c r="F473" s="6">
        <v>-1.0466204881668091</v>
      </c>
      <c r="G473" s="6">
        <v>-0.76913136243820202</v>
      </c>
      <c r="H473" s="6">
        <v>-0.65964436531066906</v>
      </c>
      <c r="I473" s="6">
        <v>0.44563323259353604</v>
      </c>
      <c r="J473" s="6">
        <v>-0.19064167141914401</v>
      </c>
      <c r="K473" s="6">
        <v>-0.43127402663230902</v>
      </c>
      <c r="L473" s="6">
        <v>0.42388412356376604</v>
      </c>
      <c r="M473" s="6">
        <v>-0.59915226697921808</v>
      </c>
      <c r="N473" s="6">
        <v>4.8547780346670217</v>
      </c>
      <c r="O473" s="6">
        <v>4.7226764699989969</v>
      </c>
      <c r="P473" s="6">
        <v>6.1967611340908313</v>
      </c>
      <c r="Q473" s="6">
        <v>5.3636521580983638</v>
      </c>
      <c r="R473" s="6">
        <v>20.9352183297453</v>
      </c>
      <c r="S473" s="6">
        <v>17.017036602608339</v>
      </c>
      <c r="T473" s="6">
        <v>24.886968612670898</v>
      </c>
      <c r="U473" s="6">
        <f>_xll.BDP($A473,"TRAILING_12M_R&amp;D_%_SALES",$A$1,$A$2)</f>
        <v>21.331667060717624</v>
      </c>
      <c r="V473" s="6">
        <v>35</v>
      </c>
      <c r="W473" s="6">
        <v>352020</v>
      </c>
      <c r="X473" s="6">
        <v>35202010</v>
      </c>
      <c r="Y473" s="7" t="s">
        <v>86</v>
      </c>
      <c r="Z473" s="7" t="s">
        <v>271</v>
      </c>
      <c r="AA473" s="7" t="s">
        <v>271</v>
      </c>
      <c r="AB473" s="6">
        <v>74.046875</v>
      </c>
      <c r="AC473" s="6">
        <v>0.53786321497819201</v>
      </c>
      <c r="AD473" s="6">
        <v>5.2051061435334001</v>
      </c>
      <c r="AE473" s="6">
        <v>141700</v>
      </c>
      <c r="AF473" s="6">
        <v>126400</v>
      </c>
    </row>
    <row r="474" spans="1:32" s="4" customFormat="1" ht="12.75" x14ac:dyDescent="0.2">
      <c r="A474" s="7" t="s">
        <v>1584</v>
      </c>
      <c r="B474" s="7" t="s">
        <v>1585</v>
      </c>
      <c r="C474" s="7" t="s">
        <v>1586</v>
      </c>
      <c r="D474" s="6">
        <v>0.7890572547912601</v>
      </c>
      <c r="E474" s="6">
        <v>-1.047669053077698</v>
      </c>
      <c r="F474" s="6">
        <v>-8.1810303032398002E-2</v>
      </c>
      <c r="G474" s="6">
        <v>-0.73457831144332908</v>
      </c>
      <c r="H474" s="6">
        <v>-1.2334320545196531</v>
      </c>
      <c r="I474" s="6">
        <v>0.83662939071655307</v>
      </c>
      <c r="J474" s="6">
        <v>0.75473493337631203</v>
      </c>
      <c r="K474" s="6">
        <v>-1.1999049186706541</v>
      </c>
      <c r="L474" s="6">
        <v>1.34736168384552</v>
      </c>
      <c r="M474" s="6">
        <v>-0.98320794105529807</v>
      </c>
      <c r="N474" s="6">
        <v>0.37180111372322505</v>
      </c>
      <c r="O474" s="6">
        <v>0.33864201812834804</v>
      </c>
      <c r="P474" s="6">
        <v>0.34868462343617901</v>
      </c>
      <c r="Q474" s="6">
        <v>0.28036422556295204</v>
      </c>
      <c r="R474" s="6">
        <v>9.2324463026300467</v>
      </c>
      <c r="S474" s="6">
        <v>9.4684584419432518</v>
      </c>
      <c r="T474" s="6">
        <v>3.5724871158599849</v>
      </c>
      <c r="U474" s="6">
        <f>_xll.BDP($A474,"TRAILING_12M_R&amp;D_%_SALES",$A$1,$A$2)</f>
        <v>0</v>
      </c>
      <c r="V474" s="6">
        <v>40</v>
      </c>
      <c r="W474" s="6">
        <v>403010</v>
      </c>
      <c r="X474" s="6">
        <v>40301020</v>
      </c>
      <c r="Y474" s="7" t="s">
        <v>53</v>
      </c>
      <c r="Z474" s="7" t="s">
        <v>54</v>
      </c>
      <c r="AA474" s="7" t="s">
        <v>55</v>
      </c>
      <c r="AB474" s="6">
        <v>58.947792053222656</v>
      </c>
      <c r="AC474" s="6">
        <v>0.41360517379738204</v>
      </c>
      <c r="AD474" s="6">
        <v>4.9923827051445491</v>
      </c>
      <c r="AE474" s="6">
        <v>232112</v>
      </c>
      <c r="AF474" s="6">
        <v>248384</v>
      </c>
    </row>
    <row r="475" spans="1:32" s="4" customFormat="1" ht="12.75" x14ac:dyDescent="0.2">
      <c r="A475" s="7" t="s">
        <v>1587</v>
      </c>
      <c r="B475" s="7" t="s">
        <v>1588</v>
      </c>
      <c r="C475" s="7" t="s">
        <v>1589</v>
      </c>
      <c r="D475" s="6">
        <v>1.863743901252747</v>
      </c>
      <c r="E475" s="6">
        <v>-0.81007128953933705</v>
      </c>
      <c r="F475" s="6">
        <v>0.73825258016586304</v>
      </c>
      <c r="G475" s="6">
        <v>-0.45243901014328003</v>
      </c>
      <c r="H475" s="6">
        <v>0.33156809210777305</v>
      </c>
      <c r="I475" s="6">
        <v>-0.16336461901664701</v>
      </c>
      <c r="J475" s="6">
        <v>0.95888388156890902</v>
      </c>
      <c r="K475" s="6">
        <v>-0.45464596152305603</v>
      </c>
      <c r="L475" s="6">
        <v>0.64760607481002808</v>
      </c>
      <c r="M475" s="6">
        <v>-0.90099716186523404</v>
      </c>
      <c r="N475" s="6">
        <v>2.883596393518594</v>
      </c>
      <c r="O475" s="6">
        <v>2.7765116413364579</v>
      </c>
      <c r="P475" s="6">
        <v>1.5414326393267661</v>
      </c>
      <c r="Q475" s="6">
        <v>1.386666073582995</v>
      </c>
      <c r="R475" s="6">
        <v>11.04966587922743</v>
      </c>
      <c r="S475" s="6">
        <v>10.427520778066038</v>
      </c>
      <c r="T475" s="6">
        <v>13.802184104919434</v>
      </c>
      <c r="U475" s="6" t="str">
        <f>_xll.BDP($A475,"TRAILING_12M_R&amp;D_%_SALES",$A$1,$A$2)</f>
        <v>#N/A N/A</v>
      </c>
      <c r="V475" s="6">
        <v>40</v>
      </c>
      <c r="W475" s="6">
        <v>401010</v>
      </c>
      <c r="X475" s="6">
        <v>40101010</v>
      </c>
      <c r="Y475" s="7" t="s">
        <v>53</v>
      </c>
      <c r="Z475" s="7" t="s">
        <v>76</v>
      </c>
      <c r="AA475" s="7" t="s">
        <v>77</v>
      </c>
      <c r="AB475" s="6">
        <v>55.577911376953125</v>
      </c>
      <c r="AC475" s="6">
        <v>0.92385661535939312</v>
      </c>
      <c r="AD475" s="6">
        <v>-12.683038058443618</v>
      </c>
      <c r="AE475" s="6">
        <v>271025</v>
      </c>
      <c r="AF475" s="6">
        <v>243355</v>
      </c>
    </row>
    <row r="476" spans="1:32" s="4" customFormat="1" ht="12.75" x14ac:dyDescent="0.2">
      <c r="A476" s="7" t="s">
        <v>1590</v>
      </c>
      <c r="B476" s="7" t="s">
        <v>1591</v>
      </c>
      <c r="C476" s="7" t="s">
        <v>1592</v>
      </c>
      <c r="D476" s="6">
        <v>0.7890572547912601</v>
      </c>
      <c r="E476" s="6">
        <v>-1.047669053077698</v>
      </c>
      <c r="F476" s="6">
        <v>-8.1810303032398002E-2</v>
      </c>
      <c r="G476" s="6">
        <v>-0.73457831144332908</v>
      </c>
      <c r="H476" s="6">
        <v>-1.2334320545196531</v>
      </c>
      <c r="I476" s="6">
        <v>0.83662939071655307</v>
      </c>
      <c r="J476" s="6">
        <v>0.75473493337631203</v>
      </c>
      <c r="K476" s="6">
        <v>-1.1999049186706541</v>
      </c>
      <c r="L476" s="6">
        <v>1.34736168384552</v>
      </c>
      <c r="M476" s="6">
        <v>-0.98320794105529807</v>
      </c>
      <c r="N476" s="6">
        <v>0.37180111372322505</v>
      </c>
      <c r="O476" s="6"/>
      <c r="P476" s="6">
        <v>0.34868462343617901</v>
      </c>
      <c r="Q476" s="6"/>
      <c r="R476" s="6">
        <v>9.2324463026300467</v>
      </c>
      <c r="S476" s="6"/>
      <c r="T476" s="6">
        <v>3.5724871158599849</v>
      </c>
      <c r="U476" s="6">
        <f>_xll.BDP($A476,"TRAILING_12M_R&amp;D_%_SALES",$A$1,$A$2)</f>
        <v>0</v>
      </c>
      <c r="V476" s="6">
        <v>40</v>
      </c>
      <c r="W476" s="6">
        <v>403010</v>
      </c>
      <c r="X476" s="6">
        <v>40301020</v>
      </c>
      <c r="Y476" s="7" t="s">
        <v>53</v>
      </c>
      <c r="Z476" s="7" t="s">
        <v>54</v>
      </c>
      <c r="AA476" s="7" t="s">
        <v>55</v>
      </c>
      <c r="AB476" s="6">
        <v>58.947792053222656</v>
      </c>
      <c r="AC476" s="6">
        <v>0.46680375014708902</v>
      </c>
      <c r="AD476" s="6">
        <v>14.331939923281167</v>
      </c>
      <c r="AE476" s="6">
        <v>232112</v>
      </c>
      <c r="AF476" s="6">
        <v>248384</v>
      </c>
    </row>
    <row r="477" spans="1:32" s="4" customFormat="1" ht="12.75" x14ac:dyDescent="0.2">
      <c r="A477" s="7" t="s">
        <v>1593</v>
      </c>
      <c r="B477" s="7" t="s">
        <v>1594</v>
      </c>
      <c r="C477" s="7" t="s">
        <v>1595</v>
      </c>
      <c r="D477" s="6">
        <v>-0.94660341739654508</v>
      </c>
      <c r="E477" s="6">
        <v>-0.28422605991363503</v>
      </c>
      <c r="F477" s="6">
        <v>-8.930215984582901E-2</v>
      </c>
      <c r="G477" s="6">
        <v>-0.83386993408203103</v>
      </c>
      <c r="H477" s="6">
        <v>-1.2911936044692991</v>
      </c>
      <c r="I477" s="6">
        <v>-0.24956184625625602</v>
      </c>
      <c r="J477" s="6">
        <v>3.8635544478890001E-3</v>
      </c>
      <c r="K477" s="6">
        <v>-0.81863260269165006</v>
      </c>
      <c r="L477" s="6">
        <v>0.51561605930328402</v>
      </c>
      <c r="M477" s="6">
        <v>-1.112948894500732</v>
      </c>
      <c r="N477" s="6">
        <v>7.3343565570053464</v>
      </c>
      <c r="O477" s="6"/>
      <c r="P477" s="6">
        <v>3.1942928056529429</v>
      </c>
      <c r="Q477" s="6"/>
      <c r="R477" s="6">
        <v>20.595897289533973</v>
      </c>
      <c r="S477" s="6"/>
      <c r="T477" s="6">
        <v>15.761510848999023</v>
      </c>
      <c r="U477" s="6">
        <f>_xll.BDP($A477,"TRAILING_12M_R&amp;D_%_SALES",$A$1,$A$2)</f>
        <v>0</v>
      </c>
      <c r="V477" s="6">
        <v>40</v>
      </c>
      <c r="W477" s="6">
        <v>402030</v>
      </c>
      <c r="X477" s="6">
        <v>40203040</v>
      </c>
      <c r="Y477" s="7" t="s">
        <v>53</v>
      </c>
      <c r="Z477" s="7" t="s">
        <v>298</v>
      </c>
      <c r="AA477" s="7" t="s">
        <v>746</v>
      </c>
      <c r="AB477" s="6">
        <v>38.829090118408203</v>
      </c>
      <c r="AC477" s="6">
        <v>0.80777803196822706</v>
      </c>
      <c r="AD477" s="6">
        <v>-32.356112704872864</v>
      </c>
      <c r="AE477" s="6">
        <v>1193</v>
      </c>
      <c r="AF477" s="6">
        <v>1085</v>
      </c>
    </row>
    <row r="478" spans="1:32" s="4" customFormat="1" ht="12.75" x14ac:dyDescent="0.2">
      <c r="A478" s="7" t="s">
        <v>1596</v>
      </c>
      <c r="B478" s="7" t="s">
        <v>1597</v>
      </c>
      <c r="C478" s="7" t="s">
        <v>1598</v>
      </c>
      <c r="D478" s="6">
        <v>-0.40548354387283303</v>
      </c>
      <c r="E478" s="6">
        <v>-0.57493370771408103</v>
      </c>
      <c r="F478" s="6">
        <v>-1.244239449501038</v>
      </c>
      <c r="G478" s="6">
        <v>-0.25007328391075101</v>
      </c>
      <c r="H478" s="6">
        <v>1.1693904399871831</v>
      </c>
      <c r="I478" s="6">
        <v>0.45589140057563804</v>
      </c>
      <c r="J478" s="6">
        <v>1.9893840551376341</v>
      </c>
      <c r="K478" s="6">
        <v>-1.454247832298279</v>
      </c>
      <c r="L478" s="6">
        <v>1.5453752279281621</v>
      </c>
      <c r="M478" s="6">
        <v>-0.11343340575695</v>
      </c>
      <c r="N478" s="6">
        <v>0.10476943651916901</v>
      </c>
      <c r="O478" s="6">
        <v>0.114148148189464</v>
      </c>
      <c r="P478" s="6">
        <v>0.44815063266199201</v>
      </c>
      <c r="Q478" s="6">
        <v>0.43393584830448506</v>
      </c>
      <c r="R478" s="6">
        <v>2.4948488627190542</v>
      </c>
      <c r="S478" s="6">
        <v>6.3930565418845839</v>
      </c>
      <c r="T478" s="6">
        <v>20.528667449951172</v>
      </c>
      <c r="U478" s="6" t="str">
        <f>_xll.BDP($A478,"TRAILING_12M_R&amp;D_%_SALES",$A$1,$A$2)</f>
        <v>#N/A N/A</v>
      </c>
      <c r="V478" s="6">
        <v>10</v>
      </c>
      <c r="W478" s="6">
        <v>101020</v>
      </c>
      <c r="X478" s="6">
        <v>10102030</v>
      </c>
      <c r="Y478" s="7" t="s">
        <v>505</v>
      </c>
      <c r="Z478" s="7" t="s">
        <v>556</v>
      </c>
      <c r="AA478" s="7" t="s">
        <v>1482</v>
      </c>
      <c r="AB478" s="6">
        <v>77.90966796875</v>
      </c>
      <c r="AC478" s="6">
        <v>0.28215585049282105</v>
      </c>
      <c r="AD478" s="6">
        <v>-3.1796508256602851</v>
      </c>
      <c r="AE478" s="6">
        <v>41852</v>
      </c>
      <c r="AF478" s="6">
        <v>35085</v>
      </c>
    </row>
    <row r="479" spans="1:32" s="4" customFormat="1" ht="12.75" x14ac:dyDescent="0.2">
      <c r="A479" s="7" t="s">
        <v>1599</v>
      </c>
      <c r="B479" s="7" t="s">
        <v>1600</v>
      </c>
      <c r="C479" s="7" t="s">
        <v>1601</v>
      </c>
      <c r="D479" s="6">
        <v>-0.40548354387283303</v>
      </c>
      <c r="E479" s="6">
        <v>-0.57493370771408103</v>
      </c>
      <c r="F479" s="6">
        <v>-1.244239449501038</v>
      </c>
      <c r="G479" s="6">
        <v>-0.25007328391075101</v>
      </c>
      <c r="H479" s="6">
        <v>1.1693904399871831</v>
      </c>
      <c r="I479" s="6">
        <v>0.45589140057563804</v>
      </c>
      <c r="J479" s="6">
        <v>1.9893840551376341</v>
      </c>
      <c r="K479" s="6">
        <v>-1.454247832298279</v>
      </c>
      <c r="L479" s="6">
        <v>1.5453752279281621</v>
      </c>
      <c r="M479" s="6">
        <v>-0.11343340575695</v>
      </c>
      <c r="N479" s="6">
        <v>0.10476943651916901</v>
      </c>
      <c r="O479" s="6"/>
      <c r="P479" s="6">
        <v>0.44815063266199201</v>
      </c>
      <c r="Q479" s="6"/>
      <c r="R479" s="6">
        <v>2.4948488627190542</v>
      </c>
      <c r="S479" s="6"/>
      <c r="T479" s="6">
        <v>20.528667449951172</v>
      </c>
      <c r="U479" s="6" t="str">
        <f>_xll.BDP($A479,"TRAILING_12M_R&amp;D_%_SALES",$A$1,$A$2)</f>
        <v>#N/A N/A</v>
      </c>
      <c r="V479" s="6">
        <v>10</v>
      </c>
      <c r="W479" s="6">
        <v>101020</v>
      </c>
      <c r="X479" s="6">
        <v>10102030</v>
      </c>
      <c r="Y479" s="7" t="s">
        <v>505</v>
      </c>
      <c r="Z479" s="7" t="s">
        <v>556</v>
      </c>
      <c r="AA479" s="7" t="s">
        <v>1482</v>
      </c>
      <c r="AB479" s="6">
        <v>77.90966796875</v>
      </c>
      <c r="AC479" s="6">
        <v>0.36216997908778803</v>
      </c>
      <c r="AD479" s="6">
        <v>-10.334615267118563</v>
      </c>
      <c r="AE479" s="6">
        <v>41852</v>
      </c>
      <c r="AF479" s="6">
        <v>35085</v>
      </c>
    </row>
    <row r="480" spans="1:32" s="4" customFormat="1" ht="12.75" x14ac:dyDescent="0.2">
      <c r="A480" s="7" t="s">
        <v>1602</v>
      </c>
      <c r="B480" s="7" t="s">
        <v>1603</v>
      </c>
      <c r="C480" s="7" t="s">
        <v>1604</v>
      </c>
      <c r="D480" s="6">
        <v>-0.84923422336578402</v>
      </c>
      <c r="E480" s="6">
        <v>0.45779660344123801</v>
      </c>
      <c r="F480" s="6">
        <v>3.0001339912414551</v>
      </c>
      <c r="G480" s="6">
        <v>0.8574693799018861</v>
      </c>
      <c r="H480" s="6">
        <v>-0.15902583301067402</v>
      </c>
      <c r="I480" s="6">
        <v>0.58376753330230702</v>
      </c>
      <c r="J480" s="6">
        <v>3.000007152557373</v>
      </c>
      <c r="K480" s="6">
        <v>-1.018619179725647</v>
      </c>
      <c r="L480" s="6">
        <v>2.320651531219482</v>
      </c>
      <c r="M480" s="6">
        <v>-0.97592318058013905</v>
      </c>
      <c r="N480" s="6">
        <v>0.18270804491549603</v>
      </c>
      <c r="O480" s="6">
        <v>0.44752946632628704</v>
      </c>
      <c r="P480" s="6">
        <v>0.32435624284379405</v>
      </c>
      <c r="Q480" s="6">
        <v>0.21178139095668502</v>
      </c>
      <c r="R480" s="6">
        <v>1.2581475370413611</v>
      </c>
      <c r="S480" s="6">
        <v>1.973977261622887</v>
      </c>
      <c r="T480" s="6">
        <v>78.212577819824219</v>
      </c>
      <c r="U480" s="6" t="str">
        <f>_xll.BDP($A480,"TRAILING_12M_R&amp;D_%_SALES",$A$1,$A$2)</f>
        <v>#N/A N/A</v>
      </c>
      <c r="V480" s="6">
        <v>40</v>
      </c>
      <c r="W480" s="6">
        <v>402010</v>
      </c>
      <c r="X480" s="6">
        <v>40201020</v>
      </c>
      <c r="Y480" s="7" t="s">
        <v>53</v>
      </c>
      <c r="Z480" s="7" t="s">
        <v>344</v>
      </c>
      <c r="AA480" s="7" t="s">
        <v>345</v>
      </c>
      <c r="AB480" s="6">
        <v>35.237903594970703</v>
      </c>
      <c r="AC480" s="6">
        <v>1.3206363455702199</v>
      </c>
      <c r="AD480" s="6">
        <v>-11.314260886696935</v>
      </c>
      <c r="AE480" s="6"/>
      <c r="AF480" s="6"/>
    </row>
    <row r="481" spans="1:32" s="4" customFormat="1" ht="12.75" x14ac:dyDescent="0.2">
      <c r="A481" s="7" t="s">
        <v>1605</v>
      </c>
      <c r="B481" s="7" t="s">
        <v>1606</v>
      </c>
      <c r="C481" s="7" t="s">
        <v>1607</v>
      </c>
      <c r="D481" s="6">
        <v>-0.94015681743621804</v>
      </c>
      <c r="E481" s="6">
        <v>-1.5786932781339E-2</v>
      </c>
      <c r="F481" s="6">
        <v>-0.77635580301284801</v>
      </c>
      <c r="G481" s="6">
        <v>5.5708501487970005E-2</v>
      </c>
      <c r="H481" s="6">
        <v>0.48276132345199602</v>
      </c>
      <c r="I481" s="6">
        <v>0.70706182718277011</v>
      </c>
      <c r="J481" s="6">
        <v>-2.9674751684070001E-2</v>
      </c>
      <c r="K481" s="6">
        <v>-0.81079983711242709</v>
      </c>
      <c r="L481" s="6">
        <v>0.7789670825004581</v>
      </c>
      <c r="M481" s="6">
        <v>-0.73157572746276911</v>
      </c>
      <c r="N481" s="6">
        <v>1.626397237992933</v>
      </c>
      <c r="O481" s="6">
        <v>1.5652705048105919</v>
      </c>
      <c r="P481" s="6">
        <v>5.6719216214560149</v>
      </c>
      <c r="Q481" s="6">
        <v>4.7084761875209287</v>
      </c>
      <c r="R481" s="6">
        <v>19.257170636943773</v>
      </c>
      <c r="S481" s="6">
        <v>17.189997590987687</v>
      </c>
      <c r="T481" s="6">
        <v>38.393203735351563</v>
      </c>
      <c r="U481" s="6" t="str">
        <f>_xll.BDP($A481,"TRAILING_12M_R&amp;D_%_SALES",$A$1,$A$2)</f>
        <v>#N/A N/A</v>
      </c>
      <c r="V481" s="6">
        <v>30</v>
      </c>
      <c r="W481" s="6">
        <v>302020</v>
      </c>
      <c r="X481" s="6">
        <v>30202030</v>
      </c>
      <c r="Y481" s="7" t="s">
        <v>91</v>
      </c>
      <c r="Z481" s="7" t="s">
        <v>168</v>
      </c>
      <c r="AA481" s="7" t="s">
        <v>906</v>
      </c>
      <c r="AB481" s="6">
        <v>63.48455810546875</v>
      </c>
      <c r="AC481" s="6">
        <v>0.45782882019207305</v>
      </c>
      <c r="AD481" s="6">
        <v>15.224424361848055</v>
      </c>
      <c r="AE481" s="6">
        <v>31000</v>
      </c>
      <c r="AF481" s="6">
        <v>37369</v>
      </c>
    </row>
    <row r="482" spans="1:32" s="4" customFormat="1" ht="12.75" x14ac:dyDescent="0.2">
      <c r="A482" s="7" t="s">
        <v>1608</v>
      </c>
      <c r="B482" s="7" t="s">
        <v>1609</v>
      </c>
      <c r="C482" s="7" t="s">
        <v>1610</v>
      </c>
      <c r="D482" s="6">
        <v>-0.81985515356063809</v>
      </c>
      <c r="E482" s="6">
        <v>-1.2727622985839839</v>
      </c>
      <c r="F482" s="6">
        <v>-0.34343081712722801</v>
      </c>
      <c r="G482" s="6">
        <v>-0.73725599050521906</v>
      </c>
      <c r="H482" s="6">
        <v>1.9821064472198491</v>
      </c>
      <c r="I482" s="6">
        <v>0.59028601646423307</v>
      </c>
      <c r="J482" s="6">
        <v>0.27041283249855003</v>
      </c>
      <c r="K482" s="6">
        <v>-4.7509144991636006E-2</v>
      </c>
      <c r="L482" s="6">
        <v>1.1031334400177</v>
      </c>
      <c r="M482" s="6">
        <v>-0.75005221366882302</v>
      </c>
      <c r="N482" s="6">
        <v>0.33803318743288702</v>
      </c>
      <c r="O482" s="6">
        <v>0.25992327943313503</v>
      </c>
      <c r="P482" s="6">
        <v>0.70224445320964302</v>
      </c>
      <c r="Q482" s="6">
        <v>0.60685748118426608</v>
      </c>
      <c r="R482" s="6"/>
      <c r="S482" s="6">
        <v>9.497348144528841</v>
      </c>
      <c r="T482" s="6">
        <v>-5.0247550010681152</v>
      </c>
      <c r="U482" s="6" t="str">
        <f>_xll.BDP($A482,"TRAILING_12M_R&amp;D_%_SALES",$A$1,$A$2)</f>
        <v>#N/A N/A</v>
      </c>
      <c r="V482" s="6">
        <v>55</v>
      </c>
      <c r="W482" s="6">
        <v>551010</v>
      </c>
      <c r="X482" s="6">
        <v>55101010</v>
      </c>
      <c r="Y482" s="7" t="s">
        <v>181</v>
      </c>
      <c r="Z482" s="7" t="s">
        <v>186</v>
      </c>
      <c r="AA482" s="7" t="s">
        <v>186</v>
      </c>
      <c r="AB482" s="6">
        <v>65.637260437011719</v>
      </c>
      <c r="AC482" s="6">
        <v>0.34933743019276403</v>
      </c>
      <c r="AD482" s="6"/>
      <c r="AE482" s="6">
        <v>31963</v>
      </c>
      <c r="AF482" s="6">
        <v>32666</v>
      </c>
    </row>
    <row r="483" spans="1:32" s="4" customFormat="1" ht="12.75" x14ac:dyDescent="0.2">
      <c r="A483" s="7" t="s">
        <v>1611</v>
      </c>
      <c r="B483" s="7" t="s">
        <v>1612</v>
      </c>
      <c r="C483" s="7" t="s">
        <v>1613</v>
      </c>
      <c r="D483" s="6">
        <v>-0.81985515356063809</v>
      </c>
      <c r="E483" s="6">
        <v>-1.2727622985839839</v>
      </c>
      <c r="F483" s="6">
        <v>-0.34343081712722801</v>
      </c>
      <c r="G483" s="6">
        <v>-0.73725599050521906</v>
      </c>
      <c r="H483" s="6">
        <v>1.9821064472198491</v>
      </c>
      <c r="I483" s="6">
        <v>0.59028601646423307</v>
      </c>
      <c r="J483" s="6">
        <v>0.27041283249855003</v>
      </c>
      <c r="K483" s="6">
        <v>-4.7509144991636006E-2</v>
      </c>
      <c r="L483" s="6">
        <v>1.1031334400177</v>
      </c>
      <c r="M483" s="6">
        <v>-0.75005221366882302</v>
      </c>
      <c r="N483" s="6">
        <v>0.33803318743288702</v>
      </c>
      <c r="O483" s="6"/>
      <c r="P483" s="6">
        <v>0.70224445320964302</v>
      </c>
      <c r="Q483" s="6"/>
      <c r="R483" s="6"/>
      <c r="S483" s="6"/>
      <c r="T483" s="6">
        <v>-5.0247550010681152</v>
      </c>
      <c r="U483" s="6" t="str">
        <f>_xll.BDP($A483,"TRAILING_12M_R&amp;D_%_SALES",$A$1,$A$2)</f>
        <v>#N/A N/A</v>
      </c>
      <c r="V483" s="6">
        <v>55</v>
      </c>
      <c r="W483" s="6">
        <v>551010</v>
      </c>
      <c r="X483" s="6">
        <v>55101010</v>
      </c>
      <c r="Y483" s="7" t="s">
        <v>181</v>
      </c>
      <c r="Z483" s="7" t="s">
        <v>186</v>
      </c>
      <c r="AA483" s="7" t="s">
        <v>186</v>
      </c>
      <c r="AB483" s="6">
        <v>65.637260437011719</v>
      </c>
      <c r="AC483" s="6">
        <v>0.30277087164837002</v>
      </c>
      <c r="AD483" s="6">
        <v>3.4334400407451948</v>
      </c>
      <c r="AE483" s="6">
        <v>31963</v>
      </c>
      <c r="AF483" s="6">
        <v>32666</v>
      </c>
    </row>
    <row r="484" spans="1:32" s="4" customFormat="1" ht="12.75" x14ac:dyDescent="0.2">
      <c r="A484" s="7" t="s">
        <v>1614</v>
      </c>
      <c r="B484" s="7" t="s">
        <v>1615</v>
      </c>
      <c r="C484" s="7" t="s">
        <v>1616</v>
      </c>
      <c r="D484" s="6">
        <v>-2.5309859775010002E-3</v>
      </c>
      <c r="E484" s="6">
        <v>-0.63882648944854703</v>
      </c>
      <c r="F484" s="6">
        <v>0.77193099260330211</v>
      </c>
      <c r="G484" s="6">
        <v>-0.6848397850990301</v>
      </c>
      <c r="H484" s="6">
        <v>1.3039073944091801</v>
      </c>
      <c r="I484" s="6">
        <v>0.21380053460598003</v>
      </c>
      <c r="J484" s="6">
        <v>1.0659011602401729</v>
      </c>
      <c r="K484" s="6">
        <v>-0.61314862966537509</v>
      </c>
      <c r="L484" s="6">
        <v>-0.32678258419036904</v>
      </c>
      <c r="M484" s="6">
        <v>-0.88847923278808605</v>
      </c>
      <c r="N484" s="6">
        <v>0.44074867779834004</v>
      </c>
      <c r="O484" s="6"/>
      <c r="P484" s="6">
        <v>0.39562119729198303</v>
      </c>
      <c r="Q484" s="6"/>
      <c r="R484" s="6">
        <v>4.1445906682618352</v>
      </c>
      <c r="S484" s="6">
        <v>3.4884624358381759</v>
      </c>
      <c r="T484" s="6">
        <v>9.4430332183837891</v>
      </c>
      <c r="U484" s="6" t="str">
        <f>_xll.BDP($A484,"TRAILING_12M_R&amp;D_%_SALES",$A$1,$A$2)</f>
        <v>#N/A N/A</v>
      </c>
      <c r="V484" s="6">
        <v>40</v>
      </c>
      <c r="W484" s="6">
        <v>401010</v>
      </c>
      <c r="X484" s="6">
        <v>40101010</v>
      </c>
      <c r="Y484" s="7" t="s">
        <v>53</v>
      </c>
      <c r="Z484" s="7" t="s">
        <v>76</v>
      </c>
      <c r="AA484" s="7" t="s">
        <v>77</v>
      </c>
      <c r="AB484" s="6">
        <v>68.785835266113281</v>
      </c>
      <c r="AC484" s="6">
        <v>0.8422275122260281</v>
      </c>
      <c r="AD484" s="6">
        <v>-11.490046820510891</v>
      </c>
      <c r="AE484" s="6"/>
      <c r="AF484" s="6"/>
    </row>
    <row r="485" spans="1:32" s="4" customFormat="1" ht="12.75" x14ac:dyDescent="0.2">
      <c r="A485" s="7" t="s">
        <v>1617</v>
      </c>
      <c r="B485" s="7" t="s">
        <v>1618</v>
      </c>
      <c r="C485" s="7" t="s">
        <v>1619</v>
      </c>
      <c r="D485" s="6">
        <v>-0.19099460542202001</v>
      </c>
      <c r="E485" s="6">
        <v>-0.78472787141799905</v>
      </c>
      <c r="F485" s="6">
        <v>1.7551577091217041</v>
      </c>
      <c r="G485" s="6">
        <v>-0.97284770011901911</v>
      </c>
      <c r="H485" s="6">
        <v>0.15635363757610302</v>
      </c>
      <c r="I485" s="6">
        <v>-1.1505411937833001E-2</v>
      </c>
      <c r="J485" s="6">
        <v>0.181678012013435</v>
      </c>
      <c r="K485" s="6">
        <v>-0.7891764044761661</v>
      </c>
      <c r="L485" s="6">
        <v>2.394210577011108</v>
      </c>
      <c r="M485" s="6">
        <v>-0.43226566910743702</v>
      </c>
      <c r="N485" s="6">
        <v>2.569839159594574</v>
      </c>
      <c r="O485" s="6">
        <v>2.8986664929292418</v>
      </c>
      <c r="P485" s="6">
        <v>1.3513140029180519</v>
      </c>
      <c r="Q485" s="6">
        <v>1.249005856212049</v>
      </c>
      <c r="R485" s="6">
        <v>9.3715233557782511</v>
      </c>
      <c r="S485" s="6">
        <v>9.9008570185626326</v>
      </c>
      <c r="T485" s="6">
        <v>13.485578536987305</v>
      </c>
      <c r="U485" s="6" t="str">
        <f>_xll.BDP($A485,"TRAILING_12M_R&amp;D_%_SALES",$A$1,$A$2)</f>
        <v>#N/A N/A</v>
      </c>
      <c r="V485" s="6">
        <v>40</v>
      </c>
      <c r="W485" s="6">
        <v>401010</v>
      </c>
      <c r="X485" s="6">
        <v>40101010</v>
      </c>
      <c r="Y485" s="7" t="s">
        <v>53</v>
      </c>
      <c r="Z485" s="7" t="s">
        <v>76</v>
      </c>
      <c r="AA485" s="7" t="s">
        <v>77</v>
      </c>
      <c r="AB485" s="6">
        <v>55.266071319580078</v>
      </c>
      <c r="AC485" s="6">
        <v>0.74204356166711904</v>
      </c>
      <c r="AD485" s="6">
        <v>-11.106297979652302</v>
      </c>
      <c r="AE485" s="6">
        <v>37194</v>
      </c>
      <c r="AF485" s="6">
        <v>38356</v>
      </c>
    </row>
    <row r="486" spans="1:32" s="4" customFormat="1" ht="12.75" x14ac:dyDescent="0.2">
      <c r="A486" s="7" t="s">
        <v>1620</v>
      </c>
      <c r="B486" s="7" t="s">
        <v>1621</v>
      </c>
      <c r="C486" s="7" t="s">
        <v>1622</v>
      </c>
      <c r="D486" s="6">
        <v>-0.19099460542202001</v>
      </c>
      <c r="E486" s="6">
        <v>-0.78472787141799905</v>
      </c>
      <c r="F486" s="6">
        <v>1.7551577091217041</v>
      </c>
      <c r="G486" s="6">
        <v>-0.97284770011901911</v>
      </c>
      <c r="H486" s="6">
        <v>0.15635363757610302</v>
      </c>
      <c r="I486" s="6">
        <v>-1.1505411937833001E-2</v>
      </c>
      <c r="J486" s="6">
        <v>0.181678012013435</v>
      </c>
      <c r="K486" s="6">
        <v>-0.7891764044761661</v>
      </c>
      <c r="L486" s="6">
        <v>2.394210577011108</v>
      </c>
      <c r="M486" s="6">
        <v>-0.43226566910743702</v>
      </c>
      <c r="N486" s="6">
        <v>2.569839159594574</v>
      </c>
      <c r="O486" s="6"/>
      <c r="P486" s="6">
        <v>1.3513140029180519</v>
      </c>
      <c r="Q486" s="6"/>
      <c r="R486" s="6">
        <v>9.3715233557782511</v>
      </c>
      <c r="S486" s="6">
        <v>9.3225120678833626</v>
      </c>
      <c r="T486" s="6">
        <v>13.485578536987305</v>
      </c>
      <c r="U486" s="6" t="str">
        <f>_xll.BDP($A486,"TRAILING_12M_R&amp;D_%_SALES",$A$1,$A$2)</f>
        <v>#N/A N/A</v>
      </c>
      <c r="V486" s="6">
        <v>40</v>
      </c>
      <c r="W486" s="6">
        <v>401010</v>
      </c>
      <c r="X486" s="6">
        <v>40101010</v>
      </c>
      <c r="Y486" s="7" t="s">
        <v>53</v>
      </c>
      <c r="Z486" s="7" t="s">
        <v>76</v>
      </c>
      <c r="AA486" s="7" t="s">
        <v>77</v>
      </c>
      <c r="AB486" s="6">
        <v>55.266071319580078</v>
      </c>
      <c r="AC486" s="6">
        <v>0.96495041748221511</v>
      </c>
      <c r="AD486" s="6">
        <v>-13.053700436568128</v>
      </c>
      <c r="AE486" s="6">
        <v>37194</v>
      </c>
      <c r="AF486" s="6">
        <v>38356</v>
      </c>
    </row>
    <row r="487" spans="1:32" s="4" customFormat="1" ht="12.75" x14ac:dyDescent="0.2">
      <c r="A487" s="7" t="s">
        <v>1623</v>
      </c>
      <c r="B487" s="7" t="s">
        <v>1624</v>
      </c>
      <c r="C487" s="7" t="s">
        <v>1625</v>
      </c>
      <c r="D487" s="6">
        <v>1.3707646168768002E-2</v>
      </c>
      <c r="E487" s="6">
        <v>-0.26145592331886303</v>
      </c>
      <c r="F487" s="6">
        <v>5.9772517532110006E-2</v>
      </c>
      <c r="G487" s="6">
        <v>-0.90614950656890902</v>
      </c>
      <c r="H487" s="6">
        <v>-0.79943203926086404</v>
      </c>
      <c r="I487" s="6">
        <v>0.78383541107177701</v>
      </c>
      <c r="J487" s="6">
        <v>0.87958580255508412</v>
      </c>
      <c r="K487" s="6">
        <v>-0.78813165426254306</v>
      </c>
      <c r="L487" s="6">
        <v>0.81177634000778209</v>
      </c>
      <c r="M487" s="6">
        <v>-0.76223546266555808</v>
      </c>
      <c r="N487" s="6">
        <v>1.584554744627662</v>
      </c>
      <c r="O487" s="6">
        <v>1.5892109702309241</v>
      </c>
      <c r="P487" s="6">
        <v>1.7165978881251509</v>
      </c>
      <c r="Q487" s="6">
        <v>1.6045626050291921</v>
      </c>
      <c r="R487" s="6">
        <v>13.246839721267708</v>
      </c>
      <c r="S487" s="6">
        <v>12.256865886783439</v>
      </c>
      <c r="T487" s="6">
        <v>13.330130577087402</v>
      </c>
      <c r="U487" s="6" t="str">
        <f>_xll.BDP($A487,"TRAILING_12M_R&amp;D_%_SALES",$A$1,$A$2)</f>
        <v>#N/A N/A</v>
      </c>
      <c r="V487" s="6">
        <v>50</v>
      </c>
      <c r="W487" s="6">
        <v>501020</v>
      </c>
      <c r="X487" s="6">
        <v>50102010</v>
      </c>
      <c r="Y487" s="7" t="s">
        <v>367</v>
      </c>
      <c r="Z487" s="7" t="s">
        <v>1626</v>
      </c>
      <c r="AA487" s="7" t="s">
        <v>1626</v>
      </c>
      <c r="AB487" s="6">
        <v>50.316871643066406</v>
      </c>
      <c r="AC487" s="6">
        <v>0.42362071255292305</v>
      </c>
      <c r="AD487" s="6">
        <v>2.565022709743769</v>
      </c>
      <c r="AE487" s="6">
        <v>48829</v>
      </c>
      <c r="AF487" s="6">
        <v>35032</v>
      </c>
    </row>
    <row r="488" spans="1:32" s="4" customFormat="1" ht="12.75" x14ac:dyDescent="0.2">
      <c r="A488" s="7" t="s">
        <v>1627</v>
      </c>
      <c r="B488" s="7" t="s">
        <v>1628</v>
      </c>
      <c r="C488" s="7" t="s">
        <v>1629</v>
      </c>
      <c r="D488" s="6">
        <v>1.3707646168768002E-2</v>
      </c>
      <c r="E488" s="6">
        <v>-0.26145592331886303</v>
      </c>
      <c r="F488" s="6">
        <v>5.9772517532110006E-2</v>
      </c>
      <c r="G488" s="6">
        <v>-0.90614950656890902</v>
      </c>
      <c r="H488" s="6">
        <v>-0.79943203926086404</v>
      </c>
      <c r="I488" s="6">
        <v>0.78383541107177701</v>
      </c>
      <c r="J488" s="6">
        <v>0.87958580255508412</v>
      </c>
      <c r="K488" s="6">
        <v>-0.78813165426254306</v>
      </c>
      <c r="L488" s="6">
        <v>0.81177634000778209</v>
      </c>
      <c r="M488" s="6">
        <v>-0.76223546266555808</v>
      </c>
      <c r="N488" s="6">
        <v>1.584554744627662</v>
      </c>
      <c r="O488" s="6">
        <v>1.6678543234472691</v>
      </c>
      <c r="P488" s="6">
        <v>1.7165978881251509</v>
      </c>
      <c r="Q488" s="6"/>
      <c r="R488" s="6">
        <v>13.246839721267708</v>
      </c>
      <c r="S488" s="6">
        <v>6.353391703800976</v>
      </c>
      <c r="T488" s="6">
        <v>13.330130577087402</v>
      </c>
      <c r="U488" s="6" t="str">
        <f>_xll.BDP($A488,"TRAILING_12M_R&amp;D_%_SALES",$A$1,$A$2)</f>
        <v>#N/A N/A</v>
      </c>
      <c r="V488" s="6">
        <v>50</v>
      </c>
      <c r="W488" s="6">
        <v>501020</v>
      </c>
      <c r="X488" s="6">
        <v>50102010</v>
      </c>
      <c r="Y488" s="7" t="s">
        <v>367</v>
      </c>
      <c r="Z488" s="7" t="s">
        <v>1626</v>
      </c>
      <c r="AA488" s="7" t="s">
        <v>1626</v>
      </c>
      <c r="AB488" s="6">
        <v>50.316871643066406</v>
      </c>
      <c r="AC488" s="6">
        <v>0.5277352686045701</v>
      </c>
      <c r="AD488" s="6">
        <v>6.7957892324465696</v>
      </c>
      <c r="AE488" s="6">
        <v>48829</v>
      </c>
      <c r="AF488" s="6">
        <v>35032</v>
      </c>
    </row>
    <row r="489" spans="1:32" s="4" customFormat="1" ht="12.75" x14ac:dyDescent="0.2">
      <c r="A489" s="7" t="s">
        <v>1630</v>
      </c>
      <c r="B489" s="7" t="s">
        <v>1631</v>
      </c>
      <c r="C489" s="7" t="s">
        <v>1632</v>
      </c>
      <c r="D489" s="6">
        <v>-0.45295867323875405</v>
      </c>
      <c r="E489" s="6">
        <v>0.57658189535141002</v>
      </c>
      <c r="F489" s="6">
        <v>-0.29625096917152405</v>
      </c>
      <c r="G489" s="6">
        <v>-0.34187957644462602</v>
      </c>
      <c r="H489" s="6">
        <v>-0.12264155596494701</v>
      </c>
      <c r="I489" s="6">
        <v>0.39352732896804804</v>
      </c>
      <c r="J489" s="6">
        <v>-5.7435277849436008E-2</v>
      </c>
      <c r="K489" s="6">
        <v>-0.61844575405120805</v>
      </c>
      <c r="L489" s="6">
        <v>0.26764681935310403</v>
      </c>
      <c r="M489" s="6">
        <v>-0.83347463607788108</v>
      </c>
      <c r="N489" s="6">
        <v>3.7042757697809918</v>
      </c>
      <c r="O489" s="6">
        <v>3.413312819671372</v>
      </c>
      <c r="P489" s="6">
        <v>2.0119322722325492</v>
      </c>
      <c r="Q489" s="6">
        <v>1.90599743675571</v>
      </c>
      <c r="R489" s="6">
        <v>22.69939476870038</v>
      </c>
      <c r="S489" s="6">
        <v>19.673555130463996</v>
      </c>
      <c r="T489" s="6">
        <v>7.3767352104187012</v>
      </c>
      <c r="U489" s="6" t="str">
        <f>_xll.BDP($A489,"TRAILING_12M_R&amp;D_%_SALES",$A$1,$A$2)</f>
        <v>#N/A N/A</v>
      </c>
      <c r="V489" s="6">
        <v>30</v>
      </c>
      <c r="W489" s="6">
        <v>302010</v>
      </c>
      <c r="X489" s="6">
        <v>30201030</v>
      </c>
      <c r="Y489" s="7" t="s">
        <v>91</v>
      </c>
      <c r="Z489" s="7" t="s">
        <v>92</v>
      </c>
      <c r="AA489" s="7" t="s">
        <v>651</v>
      </c>
      <c r="AB489" s="6">
        <v>62.156726837158203</v>
      </c>
      <c r="AC489" s="6">
        <v>0.65066489097484403</v>
      </c>
      <c r="AD489" s="6">
        <v>-0.73829968086298603</v>
      </c>
      <c r="AE489" s="6">
        <v>27500</v>
      </c>
      <c r="AF489" s="6">
        <v>20000</v>
      </c>
    </row>
    <row r="490" spans="1:32" s="4" customFormat="1" ht="12.75" x14ac:dyDescent="0.2">
      <c r="A490" s="7" t="s">
        <v>1633</v>
      </c>
      <c r="B490" s="7" t="s">
        <v>1634</v>
      </c>
      <c r="C490" s="7" t="s">
        <v>1635</v>
      </c>
      <c r="D490" s="6">
        <v>-0.33435553312301602</v>
      </c>
      <c r="E490" s="6">
        <v>-2.2808518409728999</v>
      </c>
      <c r="F490" s="6">
        <v>-0.44499105215072604</v>
      </c>
      <c r="G490" s="6">
        <v>-0.7510157227516171</v>
      </c>
      <c r="H490" s="6">
        <v>1.756953239440918</v>
      </c>
      <c r="I490" s="6">
        <v>3.0931040644646003E-2</v>
      </c>
      <c r="J490" s="6">
        <v>-2.3429973125457759</v>
      </c>
      <c r="K490" s="6">
        <v>-1.411574006080627</v>
      </c>
      <c r="L490" s="6">
        <v>1.9136300086975102</v>
      </c>
      <c r="M490" s="6">
        <v>-0.26177358627319303</v>
      </c>
      <c r="N490" s="6">
        <v>0.20799791644289001</v>
      </c>
      <c r="O490" s="6"/>
      <c r="P490" s="6">
        <v>0.28770038578287505</v>
      </c>
      <c r="Q490" s="6"/>
      <c r="R490" s="6"/>
      <c r="S490" s="6"/>
      <c r="T490" s="6">
        <v>-35.097785949707031</v>
      </c>
      <c r="U490" s="6">
        <f>_xll.BDP($A490,"TRAILING_12M_R&amp;D_%_SALES",$A$1,$A$2)</f>
        <v>1.0799469803813364</v>
      </c>
      <c r="V490" s="6">
        <v>55</v>
      </c>
      <c r="W490" s="6">
        <v>551010</v>
      </c>
      <c r="X490" s="6">
        <v>55101010</v>
      </c>
      <c r="Y490" s="7" t="s">
        <v>181</v>
      </c>
      <c r="Z490" s="7" t="s">
        <v>186</v>
      </c>
      <c r="AA490" s="7" t="s">
        <v>186</v>
      </c>
      <c r="AB490" s="6">
        <v>58.28387451171875</v>
      </c>
      <c r="AC490" s="6">
        <v>0.74640575499201001</v>
      </c>
      <c r="AD490" s="6">
        <v>-5.5737628029479458</v>
      </c>
      <c r="AE490" s="6"/>
      <c r="AF490" s="6"/>
    </row>
    <row r="491" spans="1:32" s="4" customFormat="1" ht="12.75" x14ac:dyDescent="0.2">
      <c r="A491" s="7" t="s">
        <v>1636</v>
      </c>
      <c r="B491" s="7" t="s">
        <v>1637</v>
      </c>
      <c r="C491" s="7" t="s">
        <v>1638</v>
      </c>
      <c r="D491" s="6">
        <v>-0.58036059141159102</v>
      </c>
      <c r="E491" s="6">
        <v>-0.70357549190521207</v>
      </c>
      <c r="F491" s="6">
        <v>-0.13724012672901201</v>
      </c>
      <c r="G491" s="6">
        <v>0.69409877061843905</v>
      </c>
      <c r="H491" s="6">
        <v>0.99756550788879406</v>
      </c>
      <c r="I491" s="6">
        <v>-0.44448593258857705</v>
      </c>
      <c r="J491" s="6">
        <v>1.1166185140609741</v>
      </c>
      <c r="K491" s="6">
        <v>-0.52157241106033303</v>
      </c>
      <c r="L491" s="6">
        <v>1.5007783174514771</v>
      </c>
      <c r="M491" s="6">
        <v>-1.0411528348922729</v>
      </c>
      <c r="N491" s="6">
        <v>2.0693628830894468</v>
      </c>
      <c r="O491" s="6">
        <v>2.0649305076472562</v>
      </c>
      <c r="P491" s="6">
        <v>1.5061891132032661</v>
      </c>
      <c r="Q491" s="6">
        <v>1.288546141649006</v>
      </c>
      <c r="R491" s="6">
        <v>7.9537461004385461</v>
      </c>
      <c r="S491" s="6">
        <v>7.6692769969080761</v>
      </c>
      <c r="T491" s="6">
        <v>15.5</v>
      </c>
      <c r="U491" s="6" t="str">
        <f>_xll.BDP($A491,"TRAILING_12M_R&amp;D_%_SALES",$A$1,$A$2)</f>
        <v>#N/A N/A</v>
      </c>
      <c r="V491" s="6">
        <v>40</v>
      </c>
      <c r="W491" s="6">
        <v>401010</v>
      </c>
      <c r="X491" s="6">
        <v>40101010</v>
      </c>
      <c r="Y491" s="7" t="s">
        <v>53</v>
      </c>
      <c r="Z491" s="7" t="s">
        <v>76</v>
      </c>
      <c r="AA491" s="7" t="s">
        <v>77</v>
      </c>
      <c r="AB491" s="6">
        <v>54.270195007324219</v>
      </c>
      <c r="AC491" s="6">
        <v>1.026284320807253</v>
      </c>
      <c r="AD491" s="6">
        <v>-21.860360737271712</v>
      </c>
      <c r="AE491" s="6">
        <v>16974</v>
      </c>
      <c r="AF491" s="6">
        <v>18849</v>
      </c>
    </row>
    <row r="492" spans="1:32" s="4" customFormat="1" ht="12.75" x14ac:dyDescent="0.2">
      <c r="A492" s="7" t="s">
        <v>1639</v>
      </c>
      <c r="B492" s="7" t="s">
        <v>1640</v>
      </c>
      <c r="C492" s="7" t="s">
        <v>1641</v>
      </c>
      <c r="D492" s="6">
        <v>-0.17263138294220001</v>
      </c>
      <c r="E492" s="6">
        <v>-0.86069977283477805</v>
      </c>
      <c r="F492" s="6">
        <v>-0.14758685231208801</v>
      </c>
      <c r="G492" s="6">
        <v>-0.16987279057502702</v>
      </c>
      <c r="H492" s="6">
        <v>-0.11397114396095301</v>
      </c>
      <c r="I492" s="6">
        <v>0.80638438463211104</v>
      </c>
      <c r="J492" s="6">
        <v>0.29268592596054105</v>
      </c>
      <c r="K492" s="6">
        <v>-1.23370885848999</v>
      </c>
      <c r="L492" s="6">
        <v>1.1019937992095949</v>
      </c>
      <c r="M492" s="6">
        <v>-0.40314593911171004</v>
      </c>
      <c r="N492" s="6">
        <v>1.9327564641068291</v>
      </c>
      <c r="O492" s="6">
        <v>1.888428688222624</v>
      </c>
      <c r="P492" s="6">
        <v>1.0374505110608501</v>
      </c>
      <c r="Q492" s="6">
        <v>1.0013907401882829</v>
      </c>
      <c r="R492" s="6">
        <v>13.916982422006928</v>
      </c>
      <c r="S492" s="6">
        <v>14.782840916805352</v>
      </c>
      <c r="T492" s="6">
        <v>2.475646018981934</v>
      </c>
      <c r="U492" s="6" t="str">
        <f>_xll.BDP($A492,"TRAILING_12M_R&amp;D_%_SALES",$A$1,$A$2)</f>
        <v>#N/A N/A</v>
      </c>
      <c r="V492" s="6">
        <v>30</v>
      </c>
      <c r="W492" s="6">
        <v>302020</v>
      </c>
      <c r="X492" s="6">
        <v>30202030</v>
      </c>
      <c r="Y492" s="7" t="s">
        <v>91</v>
      </c>
      <c r="Z492" s="7" t="s">
        <v>168</v>
      </c>
      <c r="AA492" s="7" t="s">
        <v>906</v>
      </c>
      <c r="AB492" s="6">
        <v>58.1229248046875</v>
      </c>
      <c r="AC492" s="6">
        <v>0.50257114755466603</v>
      </c>
      <c r="AD492" s="6">
        <v>19.042770425397435</v>
      </c>
      <c r="AE492" s="6">
        <v>36000</v>
      </c>
      <c r="AF492" s="6">
        <v>41000</v>
      </c>
    </row>
    <row r="493" spans="1:32" s="4" customFormat="1" ht="12.75" x14ac:dyDescent="0.2">
      <c r="A493" s="7" t="s">
        <v>1642</v>
      </c>
      <c r="B493" s="7" t="s">
        <v>1643</v>
      </c>
      <c r="C493" s="7" t="s">
        <v>1644</v>
      </c>
      <c r="D493" s="6">
        <v>-0.54897731542587302</v>
      </c>
      <c r="E493" s="6">
        <v>0.42420664429664601</v>
      </c>
      <c r="F493" s="6">
        <v>1.082085847854614</v>
      </c>
      <c r="G493" s="6">
        <v>0.30889639258384705</v>
      </c>
      <c r="H493" s="6">
        <v>0.44273185729980502</v>
      </c>
      <c r="I493" s="6">
        <v>2.4626939296722412</v>
      </c>
      <c r="J493" s="6">
        <v>3.000007152557373</v>
      </c>
      <c r="K493" s="6">
        <v>0.79573631286621105</v>
      </c>
      <c r="L493" s="6">
        <v>-0.32192689180374101</v>
      </c>
      <c r="M493" s="6">
        <v>-0.42353484034538302</v>
      </c>
      <c r="N493" s="6">
        <v>0.27557661532723504</v>
      </c>
      <c r="O493" s="6"/>
      <c r="P493" s="6">
        <v>1.7203812721056131</v>
      </c>
      <c r="Q493" s="6"/>
      <c r="R493" s="6">
        <v>4.4391073589356251</v>
      </c>
      <c r="S493" s="6"/>
      <c r="T493" s="6">
        <v>53.529266357421875</v>
      </c>
      <c r="U493" s="6">
        <f>_xll.BDP($A493,"TRAILING_12M_R&amp;D_%_SALES",$A$1,$A$2)</f>
        <v>0.29707835560270535</v>
      </c>
      <c r="V493" s="6">
        <v>20</v>
      </c>
      <c r="W493" s="6">
        <v>201050</v>
      </c>
      <c r="X493" s="6">
        <v>20105010</v>
      </c>
      <c r="Y493" s="7" t="s">
        <v>43</v>
      </c>
      <c r="Z493" s="7" t="s">
        <v>1427</v>
      </c>
      <c r="AA493" s="7" t="s">
        <v>1427</v>
      </c>
      <c r="AB493" s="6">
        <v>55.940044403076172</v>
      </c>
      <c r="AC493" s="6">
        <v>0.75158291638199903</v>
      </c>
      <c r="AD493" s="6">
        <v>114.99941711658886</v>
      </c>
      <c r="AE493" s="6">
        <v>105908</v>
      </c>
      <c r="AF493" s="6">
        <v>95456</v>
      </c>
    </row>
    <row r="494" spans="1:32" s="4" customFormat="1" ht="12.75" x14ac:dyDescent="0.2">
      <c r="A494" s="7" t="s">
        <v>1645</v>
      </c>
      <c r="B494" s="7" t="s">
        <v>1646</v>
      </c>
      <c r="C494" s="7" t="s">
        <v>1647</v>
      </c>
      <c r="D494" s="6">
        <v>-0.18169909715652502</v>
      </c>
      <c r="E494" s="6">
        <v>-0.9773450493812561</v>
      </c>
      <c r="F494" s="6">
        <v>-0.55438250303268399</v>
      </c>
      <c r="G494" s="6">
        <v>-0.42554014921188404</v>
      </c>
      <c r="H494" s="6">
        <v>1.2476954460144041</v>
      </c>
      <c r="I494" s="6">
        <v>-0.78490066528320301</v>
      </c>
      <c r="J494" s="6">
        <v>-0.76623141765594505</v>
      </c>
      <c r="K494" s="6">
        <v>0.42929410934448203</v>
      </c>
      <c r="L494" s="6">
        <v>-0.15187732875347101</v>
      </c>
      <c r="M494" s="6">
        <v>-0.39694979786872903</v>
      </c>
      <c r="N494" s="6">
        <v>3.3906534183610719</v>
      </c>
      <c r="O494" s="6">
        <v>5.5800037589199034</v>
      </c>
      <c r="P494" s="6">
        <v>2.4433944978905191</v>
      </c>
      <c r="Q494" s="6">
        <v>1.4688352153601909</v>
      </c>
      <c r="R494" s="6"/>
      <c r="S494" s="6">
        <v>11.159192974497088</v>
      </c>
      <c r="T494" s="6">
        <v>-1.997125029563904</v>
      </c>
      <c r="U494" s="6" t="str">
        <f>_xll.BDP($A494,"TRAILING_12M_R&amp;D_%_SALES",$A$1,$A$2)</f>
        <v>#N/A N/A</v>
      </c>
      <c r="V494" s="6">
        <v>40</v>
      </c>
      <c r="W494" s="6">
        <v>402030</v>
      </c>
      <c r="X494" s="6">
        <v>40203010</v>
      </c>
      <c r="Y494" s="7" t="s">
        <v>53</v>
      </c>
      <c r="Z494" s="7" t="s">
        <v>298</v>
      </c>
      <c r="AA494" s="7" t="s">
        <v>299</v>
      </c>
      <c r="AB494" s="6">
        <v>27.109949111938477</v>
      </c>
      <c r="AC494" s="6">
        <v>1.419521048743946</v>
      </c>
      <c r="AD494" s="6">
        <v>-37.233613341004322</v>
      </c>
      <c r="AE494" s="6">
        <v>3238</v>
      </c>
      <c r="AF494" s="6">
        <v>1178</v>
      </c>
    </row>
    <row r="495" spans="1:32" s="4" customFormat="1" ht="12.75" x14ac:dyDescent="0.2">
      <c r="A495" s="7" t="s">
        <v>1648</v>
      </c>
      <c r="B495" s="7" t="s">
        <v>1649</v>
      </c>
      <c r="C495" s="7" t="s">
        <v>1650</v>
      </c>
      <c r="D495" s="6">
        <v>-0.88738167285919212</v>
      </c>
      <c r="E495" s="6">
        <v>1.656597375869751</v>
      </c>
      <c r="F495" s="6">
        <v>0.24077214300632502</v>
      </c>
      <c r="G495" s="6">
        <v>0.613331079483032</v>
      </c>
      <c r="H495" s="6">
        <v>0.67004275321960405</v>
      </c>
      <c r="I495" s="6">
        <v>0.33880913257598905</v>
      </c>
      <c r="J495" s="6">
        <v>-0.12844905257225001</v>
      </c>
      <c r="K495" s="6">
        <v>0.38709977269172702</v>
      </c>
      <c r="L495" s="6">
        <v>-0.13136550784111001</v>
      </c>
      <c r="M495" s="6">
        <v>1.2751772403717041</v>
      </c>
      <c r="N495" s="6">
        <v>5.6454917545279573</v>
      </c>
      <c r="O495" s="6">
        <v>5.6983390696644074</v>
      </c>
      <c r="P495" s="6">
        <v>25.418674979407925</v>
      </c>
      <c r="Q495" s="6">
        <v>23.716977968918886</v>
      </c>
      <c r="R495" s="6">
        <v>16.059928092707125</v>
      </c>
      <c r="S495" s="6">
        <v>17.474614643129364</v>
      </c>
      <c r="T495" s="6">
        <v>109.99090576171875</v>
      </c>
      <c r="U495" s="6">
        <f>_xll.BDP($A495,"TRAILING_12M_R&amp;D_%_SALES",$A$1,$A$2)</f>
        <v>12.138436614066045</v>
      </c>
      <c r="V495" s="6">
        <v>45</v>
      </c>
      <c r="W495" s="6">
        <v>453010</v>
      </c>
      <c r="X495" s="6">
        <v>45301010</v>
      </c>
      <c r="Y495" s="7" t="s">
        <v>66</v>
      </c>
      <c r="Z495" s="7" t="s">
        <v>163</v>
      </c>
      <c r="AA495" s="7" t="s">
        <v>278</v>
      </c>
      <c r="AB495" s="6">
        <v>46.786037445068359</v>
      </c>
      <c r="AC495" s="6">
        <v>1.428025522263088</v>
      </c>
      <c r="AD495" s="6">
        <v>-10.582345466815246</v>
      </c>
      <c r="AE495" s="6">
        <v>14000</v>
      </c>
      <c r="AF495" s="6">
        <v>5990</v>
      </c>
    </row>
    <row r="496" spans="1:32" s="4" customFormat="1" ht="12.75" x14ac:dyDescent="0.2">
      <c r="A496" s="7" t="s">
        <v>1651</v>
      </c>
      <c r="B496" s="7" t="s">
        <v>1652</v>
      </c>
      <c r="C496" s="7" t="s">
        <v>1653</v>
      </c>
      <c r="D496" s="6">
        <v>-0.69196557998657204</v>
      </c>
      <c r="E496" s="6">
        <v>0.730038642883301</v>
      </c>
      <c r="F496" s="6">
        <v>-8.8770948350430007E-2</v>
      </c>
      <c r="G496" s="6">
        <v>-0.28744739294052102</v>
      </c>
      <c r="H496" s="6">
        <v>0.94197332859039307</v>
      </c>
      <c r="I496" s="6">
        <v>0.32714074850082403</v>
      </c>
      <c r="J496" s="6">
        <v>-0.26024731993675204</v>
      </c>
      <c r="K496" s="6">
        <v>-0.70909869670867909</v>
      </c>
      <c r="L496" s="6">
        <v>0.83145189285278309</v>
      </c>
      <c r="M496" s="6">
        <v>-0.618394434452057</v>
      </c>
      <c r="N496" s="6">
        <v>2.268774829932569</v>
      </c>
      <c r="O496" s="6">
        <v>2.276939068265929</v>
      </c>
      <c r="P496" s="6">
        <v>104.84123665781446</v>
      </c>
      <c r="Q496" s="6">
        <v>49.294194028176406</v>
      </c>
      <c r="R496" s="6">
        <v>25.199745920962158</v>
      </c>
      <c r="S496" s="6">
        <v>21.452248551499178</v>
      </c>
      <c r="T496" s="6">
        <v>391.65753173828125</v>
      </c>
      <c r="U496" s="6" t="str">
        <f>_xll.BDP($A496,"TRAILING_12M_R&amp;D_%_SALES",$A$1,$A$2)</f>
        <v>#N/A N/A</v>
      </c>
      <c r="V496" s="6">
        <v>30</v>
      </c>
      <c r="W496" s="6">
        <v>303010</v>
      </c>
      <c r="X496" s="6">
        <v>30301010</v>
      </c>
      <c r="Y496" s="7" t="s">
        <v>91</v>
      </c>
      <c r="Z496" s="7" t="s">
        <v>736</v>
      </c>
      <c r="AA496" s="7" t="s">
        <v>736</v>
      </c>
      <c r="AB496" s="6">
        <v>77.939842224121094</v>
      </c>
      <c r="AC496" s="6">
        <v>0.56444718833212704</v>
      </c>
      <c r="AD496" s="6">
        <v>-0.59873080733520201</v>
      </c>
      <c r="AE496" s="6">
        <v>45000</v>
      </c>
      <c r="AF496" s="6">
        <v>42000</v>
      </c>
    </row>
    <row r="497" spans="1:32" s="4" customFormat="1" ht="12.75" x14ac:dyDescent="0.2">
      <c r="A497" s="7" t="s">
        <v>1654</v>
      </c>
      <c r="B497" s="7" t="s">
        <v>1655</v>
      </c>
      <c r="C497" s="7" t="s">
        <v>1656</v>
      </c>
      <c r="D497" s="6">
        <v>-0.37143975496292103</v>
      </c>
      <c r="E497" s="6">
        <v>-0.71618938446044911</v>
      </c>
      <c r="F497" s="6">
        <v>-0.30693405866622903</v>
      </c>
      <c r="G497" s="6">
        <v>0.10913291573524501</v>
      </c>
      <c r="H497" s="6">
        <v>0.88082295656204201</v>
      </c>
      <c r="I497" s="6">
        <v>0.67958682775497403</v>
      </c>
      <c r="J497" s="6">
        <v>0.41761854290962203</v>
      </c>
      <c r="K497" s="6">
        <v>-1.182975769042969</v>
      </c>
      <c r="L497" s="6">
        <v>2.185822486877441</v>
      </c>
      <c r="M497" s="6">
        <v>-0.85773491859436002</v>
      </c>
      <c r="N497" s="6">
        <v>2.147878544465839</v>
      </c>
      <c r="O497" s="6">
        <v>2.2890298028097362</v>
      </c>
      <c r="P497" s="6">
        <v>1.322508737139668</v>
      </c>
      <c r="Q497" s="6">
        <v>1.323909122123945</v>
      </c>
      <c r="R497" s="6">
        <v>16.494138246479164</v>
      </c>
      <c r="S497" s="6">
        <v>16.25178657691875</v>
      </c>
      <c r="T497" s="6">
        <v>8.1653289794921875</v>
      </c>
      <c r="U497" s="6" t="str">
        <f>_xll.BDP($A497,"TRAILING_12M_R&amp;D_%_SALES",$A$1,$A$2)</f>
        <v>#N/A N/A</v>
      </c>
      <c r="V497" s="6">
        <v>10</v>
      </c>
      <c r="W497" s="6">
        <v>101020</v>
      </c>
      <c r="X497" s="6">
        <v>10102040</v>
      </c>
      <c r="Y497" s="7" t="s">
        <v>505</v>
      </c>
      <c r="Z497" s="7" t="s">
        <v>556</v>
      </c>
      <c r="AA497" s="7" t="s">
        <v>1122</v>
      </c>
      <c r="AB497" s="6">
        <v>77.768836975097656</v>
      </c>
      <c r="AC497" s="6">
        <v>0.74198365310594605</v>
      </c>
      <c r="AD497" s="6">
        <v>21.695114877673593</v>
      </c>
      <c r="AE497" s="6">
        <v>10529</v>
      </c>
      <c r="AF497" s="6">
        <v>11121</v>
      </c>
    </row>
    <row r="498" spans="1:32" s="4" customFormat="1" ht="12.75" x14ac:dyDescent="0.2">
      <c r="A498" s="7" t="s">
        <v>1657</v>
      </c>
      <c r="B498" s="7" t="s">
        <v>1658</v>
      </c>
      <c r="C498" s="7" t="s">
        <v>1659</v>
      </c>
      <c r="D498" s="6">
        <v>-0.71144694089889504</v>
      </c>
      <c r="E498" s="6">
        <v>-0.58313190937042203</v>
      </c>
      <c r="F498" s="6">
        <v>1.1908631324768071</v>
      </c>
      <c r="G498" s="6">
        <v>-0.65011781454086304</v>
      </c>
      <c r="H498" s="6">
        <v>-0.29922091960907005</v>
      </c>
      <c r="I498" s="6">
        <v>0.69574326276779208</v>
      </c>
      <c r="J498" s="6">
        <v>0.89199507236480702</v>
      </c>
      <c r="K498" s="6">
        <v>-0.92045974731445313</v>
      </c>
      <c r="L498" s="6">
        <v>1.306623578071594</v>
      </c>
      <c r="M498" s="6">
        <v>-0.61279428005218506</v>
      </c>
      <c r="N498" s="6">
        <v>0.86779520376888208</v>
      </c>
      <c r="O498" s="6">
        <v>0.79709581158052412</v>
      </c>
      <c r="P498" s="6">
        <v>1.0552196984443161</v>
      </c>
      <c r="Q498" s="6">
        <v>1.025549585191627</v>
      </c>
      <c r="R498" s="6">
        <v>9.2365994624752599</v>
      </c>
      <c r="S498" s="6">
        <v>9.0418068401498246</v>
      </c>
      <c r="T498" s="6">
        <v>12.854944229125977</v>
      </c>
      <c r="U498" s="6" t="str">
        <f>_xll.BDP($A498,"TRAILING_12M_R&amp;D_%_SALES",$A$1,$A$2)</f>
        <v>#N/A N/A</v>
      </c>
      <c r="V498" s="6">
        <v>20</v>
      </c>
      <c r="W498" s="6">
        <v>201060</v>
      </c>
      <c r="X498" s="6">
        <v>20106010</v>
      </c>
      <c r="Y498" s="7" t="s">
        <v>43</v>
      </c>
      <c r="Z498" s="7" t="s">
        <v>630</v>
      </c>
      <c r="AA498" s="7" t="s">
        <v>631</v>
      </c>
      <c r="AB498" s="6">
        <v>65.707672119140625</v>
      </c>
      <c r="AC498" s="6">
        <v>0.50132694626332908</v>
      </c>
      <c r="AD498" s="6">
        <v>-6.378675882848861</v>
      </c>
      <c r="AE498" s="6">
        <v>62774</v>
      </c>
      <c r="AF498" s="6">
        <v>47204</v>
      </c>
    </row>
    <row r="499" spans="1:32" s="4" customFormat="1" ht="12.75" x14ac:dyDescent="0.2">
      <c r="A499" s="7" t="s">
        <v>1660</v>
      </c>
      <c r="B499" s="7" t="s">
        <v>1661</v>
      </c>
      <c r="C499" s="7" t="s">
        <v>1662</v>
      </c>
      <c r="D499" s="6">
        <v>-0.71144694089889504</v>
      </c>
      <c r="E499" s="6">
        <v>-0.58313190937042203</v>
      </c>
      <c r="F499" s="6">
        <v>1.1908631324768071</v>
      </c>
      <c r="G499" s="6">
        <v>-0.65011781454086304</v>
      </c>
      <c r="H499" s="6">
        <v>-0.29922091960907005</v>
      </c>
      <c r="I499" s="6">
        <v>0.69574326276779208</v>
      </c>
      <c r="J499" s="6">
        <v>0.89199507236480702</v>
      </c>
      <c r="K499" s="6">
        <v>-0.92045974731445313</v>
      </c>
      <c r="L499" s="6">
        <v>1.306623578071594</v>
      </c>
      <c r="M499" s="6">
        <v>-0.61279428005218506</v>
      </c>
      <c r="N499" s="6">
        <v>0.86779520376888208</v>
      </c>
      <c r="O499" s="6">
        <v>0.84212957652479503</v>
      </c>
      <c r="P499" s="6">
        <v>1.0552196984443161</v>
      </c>
      <c r="Q499" s="6"/>
      <c r="R499" s="6">
        <v>9.2365994624752599</v>
      </c>
      <c r="S499" s="6">
        <v>9.6273578142656842</v>
      </c>
      <c r="T499" s="6">
        <v>12.854944229125977</v>
      </c>
      <c r="U499" s="6" t="str">
        <f>_xll.BDP($A499,"TRAILING_12M_R&amp;D_%_SALES",$A$1,$A$2)</f>
        <v>#N/A N/A</v>
      </c>
      <c r="V499" s="6">
        <v>20</v>
      </c>
      <c r="W499" s="6">
        <v>201060</v>
      </c>
      <c r="X499" s="6">
        <v>20106010</v>
      </c>
      <c r="Y499" s="7" t="s">
        <v>43</v>
      </c>
      <c r="Z499" s="7" t="s">
        <v>630</v>
      </c>
      <c r="AA499" s="7" t="s">
        <v>631</v>
      </c>
      <c r="AB499" s="6">
        <v>65.707672119140625</v>
      </c>
      <c r="AC499" s="6">
        <v>0.76120770582635111</v>
      </c>
      <c r="AD499" s="6">
        <v>-3.2251313179742951</v>
      </c>
      <c r="AE499" s="6">
        <v>62774</v>
      </c>
      <c r="AF499" s="6">
        <v>47204</v>
      </c>
    </row>
    <row r="500" spans="1:32" s="4" customFormat="1" ht="12.75" x14ac:dyDescent="0.2">
      <c r="A500" s="7" t="s">
        <v>1663</v>
      </c>
      <c r="B500" s="7" t="s">
        <v>1664</v>
      </c>
      <c r="C500" s="7" t="s">
        <v>1665</v>
      </c>
      <c r="D500" s="6">
        <v>-0.98529750108718905</v>
      </c>
      <c r="E500" s="6">
        <v>-0.84124106168746904</v>
      </c>
      <c r="F500" s="6">
        <v>-0.87021797895431507</v>
      </c>
      <c r="G500" s="6">
        <v>0.75182139873504605</v>
      </c>
      <c r="H500" s="6">
        <v>2.205174446105957</v>
      </c>
      <c r="I500" s="6">
        <v>-1.6904256343841551</v>
      </c>
      <c r="J500" s="6">
        <v>-9.4732500612736012E-2</v>
      </c>
      <c r="K500" s="6">
        <v>-2.1739320829511001E-2</v>
      </c>
      <c r="L500" s="6">
        <v>-0.81727248430252109</v>
      </c>
      <c r="M500" s="6">
        <v>0.32342708110809304</v>
      </c>
      <c r="N500" s="6">
        <v>0.30728832646501303</v>
      </c>
      <c r="O500" s="6">
        <v>0.33594037492179102</v>
      </c>
      <c r="P500" s="6">
        <v>1.7533800624592879</v>
      </c>
      <c r="Q500" s="6">
        <v>1.0984538904437759</v>
      </c>
      <c r="R500" s="6">
        <v>17.056022343360546</v>
      </c>
      <c r="S500" s="6">
        <v>20.160754986480203</v>
      </c>
      <c r="T500" s="6">
        <v>10.862809181213379</v>
      </c>
      <c r="U500" s="6">
        <f>_xll.BDP($A500,"TRAILING_12M_R&amp;D_%_SALES",$A$1,$A$2)</f>
        <v>0</v>
      </c>
      <c r="V500" s="6">
        <v>25</v>
      </c>
      <c r="W500" s="6">
        <v>255040</v>
      </c>
      <c r="X500" s="6">
        <v>25504050</v>
      </c>
      <c r="Y500" s="7" t="s">
        <v>108</v>
      </c>
      <c r="Z500" s="7" t="s">
        <v>388</v>
      </c>
      <c r="AA500" s="7" t="s">
        <v>389</v>
      </c>
      <c r="AB500" s="6">
        <v>40.166984558105469</v>
      </c>
      <c r="AC500" s="6">
        <v>1.2467716830428761</v>
      </c>
      <c r="AD500" s="6">
        <v>-52.500196403787136</v>
      </c>
      <c r="AE500" s="6">
        <v>32647</v>
      </c>
      <c r="AF500" s="6">
        <v>24344</v>
      </c>
    </row>
    <row r="501" spans="1:32" s="4" customFormat="1" ht="12.75" x14ac:dyDescent="0.2">
      <c r="A501" s="7" t="s">
        <v>1666</v>
      </c>
      <c r="B501" s="7" t="s">
        <v>1667</v>
      </c>
      <c r="C501" s="7" t="s">
        <v>1668</v>
      </c>
      <c r="D501" s="6">
        <v>0.48647794127464306</v>
      </c>
      <c r="E501" s="6">
        <v>0.48099449276924106</v>
      </c>
      <c r="F501" s="6">
        <v>-6.1681821942329004E-2</v>
      </c>
      <c r="G501" s="6">
        <v>-0.60925090312957808</v>
      </c>
      <c r="H501" s="6">
        <v>0.30398306250572205</v>
      </c>
      <c r="I501" s="6">
        <v>0.63334494829177901</v>
      </c>
      <c r="J501" s="6">
        <v>-0.41368582844734203</v>
      </c>
      <c r="K501" s="6">
        <v>-0.59653490781784102</v>
      </c>
      <c r="L501" s="6">
        <v>0.52576094865799006</v>
      </c>
      <c r="M501" s="6">
        <v>-0.56145274639129605</v>
      </c>
      <c r="N501" s="6">
        <v>6.5009206074849564</v>
      </c>
      <c r="O501" s="6">
        <v>6.2720846528560701</v>
      </c>
      <c r="P501" s="6">
        <v>12.060935099704905</v>
      </c>
      <c r="Q501" s="6">
        <v>10.234967046361971</v>
      </c>
      <c r="R501" s="6">
        <v>25.580827319512601</v>
      </c>
      <c r="S501" s="6">
        <v>25.119807421010378</v>
      </c>
      <c r="T501" s="6">
        <v>44.126800537109375</v>
      </c>
      <c r="U501" s="6">
        <f>_xll.BDP($A501,"TRAILING_12M_R&amp;D_%_SALES",$A$1,$A$2)</f>
        <v>0</v>
      </c>
      <c r="V501" s="6">
        <v>30</v>
      </c>
      <c r="W501" s="6">
        <v>302010</v>
      </c>
      <c r="X501" s="6">
        <v>30201030</v>
      </c>
      <c r="Y501" s="7" t="s">
        <v>91</v>
      </c>
      <c r="Z501" s="7" t="s">
        <v>92</v>
      </c>
      <c r="AA501" s="7" t="s">
        <v>651</v>
      </c>
      <c r="AB501" s="6">
        <v>61.643699645996094</v>
      </c>
      <c r="AC501" s="6">
        <v>0.65813372550612204</v>
      </c>
      <c r="AD501" s="6">
        <v>11.417676203340754</v>
      </c>
      <c r="AE501" s="6">
        <v>79000</v>
      </c>
      <c r="AF501" s="6">
        <v>100300</v>
      </c>
    </row>
    <row r="502" spans="1:32" s="4" customFormat="1" ht="12.75" x14ac:dyDescent="0.2">
      <c r="A502" s="7" t="s">
        <v>1669</v>
      </c>
      <c r="B502" s="7" t="s">
        <v>1670</v>
      </c>
      <c r="C502" s="7" t="s">
        <v>1671</v>
      </c>
      <c r="D502" s="6">
        <v>-0.92262876033783003</v>
      </c>
      <c r="E502" s="6">
        <v>-0.96876889467239402</v>
      </c>
      <c r="F502" s="6">
        <v>0.56066143512725808</v>
      </c>
      <c r="G502" s="6">
        <v>0.59799253940582309</v>
      </c>
      <c r="H502" s="6">
        <v>-0.6364638805389401</v>
      </c>
      <c r="I502" s="6">
        <v>0.20800971984863301</v>
      </c>
      <c r="J502" s="6">
        <v>2.2434172630310059</v>
      </c>
      <c r="K502" s="6">
        <v>-0.71938699483871504</v>
      </c>
      <c r="L502" s="6">
        <v>0.29130017757415805</v>
      </c>
      <c r="M502" s="6">
        <v>-0.88503330945968606</v>
      </c>
      <c r="N502" s="6">
        <v>1.7612400372023551</v>
      </c>
      <c r="O502" s="6">
        <v>1.7698026099257831</v>
      </c>
      <c r="P502" s="6">
        <v>0.69860573138611903</v>
      </c>
      <c r="Q502" s="6"/>
      <c r="R502" s="6">
        <v>8.2263533036823215</v>
      </c>
      <c r="S502" s="6"/>
      <c r="T502" s="6">
        <v>8.8076372146606445</v>
      </c>
      <c r="U502" s="6" t="str">
        <f>_xll.BDP($A502,"TRAILING_12M_R&amp;D_%_SALES",$A$1,$A$2)</f>
        <v>#N/A N/A</v>
      </c>
      <c r="V502" s="6">
        <v>40</v>
      </c>
      <c r="W502" s="6">
        <v>401010</v>
      </c>
      <c r="X502" s="6">
        <v>40101010</v>
      </c>
      <c r="Y502" s="7" t="s">
        <v>53</v>
      </c>
      <c r="Z502" s="7" t="s">
        <v>76</v>
      </c>
      <c r="AA502" s="7" t="s">
        <v>77</v>
      </c>
      <c r="AB502" s="6">
        <v>60.245449066162109</v>
      </c>
      <c r="AC502" s="6">
        <v>0.28302379275095402</v>
      </c>
      <c r="AD502" s="6">
        <v>-0.9495776847118661</v>
      </c>
      <c r="AE502" s="6">
        <v>19153</v>
      </c>
      <c r="AF502" s="6">
        <v>21029</v>
      </c>
    </row>
    <row r="503" spans="1:32" s="4" customFormat="1" ht="12.75" x14ac:dyDescent="0.2">
      <c r="A503" s="7" t="s">
        <v>1672</v>
      </c>
      <c r="B503" s="7" t="s">
        <v>1673</v>
      </c>
      <c r="C503" s="7" t="s">
        <v>1674</v>
      </c>
      <c r="D503" s="6">
        <v>-0.92262876033783003</v>
      </c>
      <c r="E503" s="6">
        <v>-0.96876889467239402</v>
      </c>
      <c r="F503" s="6">
        <v>0.56066143512725808</v>
      </c>
      <c r="G503" s="6">
        <v>0.59799253940582309</v>
      </c>
      <c r="H503" s="6">
        <v>-0.6364638805389401</v>
      </c>
      <c r="I503" s="6">
        <v>0.20800971984863301</v>
      </c>
      <c r="J503" s="6">
        <v>2.2434172630310059</v>
      </c>
      <c r="K503" s="6">
        <v>-0.71938699483871504</v>
      </c>
      <c r="L503" s="6">
        <v>0.29130017757415805</v>
      </c>
      <c r="M503" s="6">
        <v>-0.88503330945968606</v>
      </c>
      <c r="N503" s="6">
        <v>1.7612400372023551</v>
      </c>
      <c r="O503" s="6"/>
      <c r="P503" s="6">
        <v>0.69860573138611903</v>
      </c>
      <c r="Q503" s="6"/>
      <c r="R503" s="6">
        <v>8.2263533036823215</v>
      </c>
      <c r="S503" s="6"/>
      <c r="T503" s="6">
        <v>8.8076372146606445</v>
      </c>
      <c r="U503" s="6" t="str">
        <f>_xll.BDP($A503,"TRAILING_12M_R&amp;D_%_SALES",$A$1,$A$2)</f>
        <v>#N/A N/A</v>
      </c>
      <c r="V503" s="6">
        <v>40</v>
      </c>
      <c r="W503" s="6">
        <v>401010</v>
      </c>
      <c r="X503" s="6">
        <v>40101010</v>
      </c>
      <c r="Y503" s="7" t="s">
        <v>53</v>
      </c>
      <c r="Z503" s="7" t="s">
        <v>76</v>
      </c>
      <c r="AA503" s="7" t="s">
        <v>77</v>
      </c>
      <c r="AB503" s="6">
        <v>60.245449066162109</v>
      </c>
      <c r="AC503" s="6"/>
      <c r="AD503" s="6"/>
      <c r="AE503" s="6">
        <v>19153</v>
      </c>
      <c r="AF503" s="6">
        <v>21029</v>
      </c>
    </row>
    <row r="504" spans="1:32" s="4" customFormat="1" ht="12.75" x14ac:dyDescent="0.2">
      <c r="A504" s="7" t="s">
        <v>1675</v>
      </c>
      <c r="B504" s="7" t="s">
        <v>1676</v>
      </c>
      <c r="C504" s="7" t="s">
        <v>1677</v>
      </c>
      <c r="D504" s="6">
        <v>-0.109949193894863</v>
      </c>
      <c r="E504" s="6">
        <v>-0.71261751651763905</v>
      </c>
      <c r="F504" s="6">
        <v>-0.21709428727626801</v>
      </c>
      <c r="G504" s="6">
        <v>0.50475108623504605</v>
      </c>
      <c r="H504" s="6">
        <v>0.88314664363861106</v>
      </c>
      <c r="I504" s="6">
        <v>0.41986501216888406</v>
      </c>
      <c r="J504" s="6">
        <v>0.67568790912628207</v>
      </c>
      <c r="K504" s="6">
        <v>-0.23878654837608301</v>
      </c>
      <c r="L504" s="6">
        <v>0.31439706683158902</v>
      </c>
      <c r="M504" s="6">
        <v>-0.25520929694175704</v>
      </c>
      <c r="N504" s="6">
        <v>0.21960757931576602</v>
      </c>
      <c r="O504" s="6">
        <v>0.21063747707005101</v>
      </c>
      <c r="P504" s="6">
        <v>3.206356753618592</v>
      </c>
      <c r="Q504" s="6">
        <v>2.6261008480042771</v>
      </c>
      <c r="R504" s="6">
        <v>10.839320941314234</v>
      </c>
      <c r="S504" s="6">
        <v>10.601687410243292</v>
      </c>
      <c r="T504" s="6">
        <v>24.227174758911133</v>
      </c>
      <c r="U504" s="6" t="str">
        <f>_xll.BDP($A504,"TRAILING_12M_R&amp;D_%_SALES",$A$1,$A$2)</f>
        <v>#N/A N/A</v>
      </c>
      <c r="V504" s="6">
        <v>30</v>
      </c>
      <c r="W504" s="6">
        <v>301010</v>
      </c>
      <c r="X504" s="6">
        <v>30101030</v>
      </c>
      <c r="Y504" s="7" t="s">
        <v>91</v>
      </c>
      <c r="Z504" s="7" t="s">
        <v>133</v>
      </c>
      <c r="AA504" s="7" t="s">
        <v>134</v>
      </c>
      <c r="AB504" s="6">
        <v>56.151294708251953</v>
      </c>
      <c r="AC504" s="6">
        <v>0.56053934040100906</v>
      </c>
      <c r="AD504" s="6">
        <v>0.70535403985014811</v>
      </c>
      <c r="AE504" s="6">
        <v>420000</v>
      </c>
      <c r="AF504" s="6">
        <v>443000</v>
      </c>
    </row>
    <row r="505" spans="1:32" s="4" customFormat="1" ht="12.75" x14ac:dyDescent="0.2">
      <c r="A505" s="7" t="s">
        <v>1678</v>
      </c>
      <c r="B505" s="7" t="s">
        <v>1679</v>
      </c>
      <c r="C505" s="7" t="s">
        <v>1680</v>
      </c>
      <c r="D505" s="6">
        <v>-0.93124300241470304</v>
      </c>
      <c r="E505" s="6">
        <v>-3.0003259181976318</v>
      </c>
      <c r="F505" s="6">
        <v>0.23172602057457001</v>
      </c>
      <c r="G505" s="6">
        <v>9.868458658456801E-2</v>
      </c>
      <c r="H505" s="6">
        <v>-0.99515974521637007</v>
      </c>
      <c r="I505" s="6">
        <v>0.22059163451194802</v>
      </c>
      <c r="J505" s="6">
        <v>-1.097555875778198</v>
      </c>
      <c r="K505" s="6">
        <v>1.3685673475265501</v>
      </c>
      <c r="L505" s="6">
        <v>-0.81727248430252109</v>
      </c>
      <c r="M505" s="6">
        <v>2.4338431358337402</v>
      </c>
      <c r="N505" s="6">
        <v>2.9467651347748682</v>
      </c>
      <c r="O505" s="6"/>
      <c r="P505" s="6">
        <v>5.4637545681412032</v>
      </c>
      <c r="Q505" s="6"/>
      <c r="R505" s="6"/>
      <c r="S505" s="6"/>
      <c r="T505" s="6">
        <v>-40.459541320800781</v>
      </c>
      <c r="U505" s="6">
        <f>_xll.BDP($A505,"TRAILING_12M_R&amp;D_%_SALES",$A$1,$A$2)</f>
        <v>9.7070320370743506</v>
      </c>
      <c r="V505" s="6">
        <v>50</v>
      </c>
      <c r="W505" s="6">
        <v>502030</v>
      </c>
      <c r="X505" s="6">
        <v>50203010</v>
      </c>
      <c r="Y505" s="7" t="s">
        <v>367</v>
      </c>
      <c r="Z505" s="7" t="s">
        <v>418</v>
      </c>
      <c r="AA505" s="7" t="s">
        <v>418</v>
      </c>
      <c r="AB505" s="6">
        <v>48.667137145996094</v>
      </c>
      <c r="AC505" s="6">
        <v>0.67030124700781002</v>
      </c>
      <c r="AD505" s="6">
        <v>-17.000001668930054</v>
      </c>
      <c r="AE505" s="6">
        <v>28098</v>
      </c>
      <c r="AF505" s="6"/>
    </row>
    <row r="506" spans="1:32" s="4" customFormat="1" ht="12.75" x14ac:dyDescent="0.2">
      <c r="A506" s="7" t="s">
        <v>1681</v>
      </c>
      <c r="B506" s="7" t="s">
        <v>1682</v>
      </c>
      <c r="C506" s="7" t="s">
        <v>1683</v>
      </c>
      <c r="D506" s="6">
        <v>-0.93124300241470304</v>
      </c>
      <c r="E506" s="6">
        <v>-3.0003259181976318</v>
      </c>
      <c r="F506" s="6">
        <v>0.23172602057457001</v>
      </c>
      <c r="G506" s="6">
        <v>9.868458658456801E-2</v>
      </c>
      <c r="H506" s="6">
        <v>-0.99515974521637007</v>
      </c>
      <c r="I506" s="6">
        <v>0.22059163451194802</v>
      </c>
      <c r="J506" s="6">
        <v>-1.097555875778198</v>
      </c>
      <c r="K506" s="6">
        <v>1.3685673475265501</v>
      </c>
      <c r="L506" s="6">
        <v>-0.81727248430252109</v>
      </c>
      <c r="M506" s="6">
        <v>2.4338431358337402</v>
      </c>
      <c r="N506" s="6">
        <v>2.9467651347748682</v>
      </c>
      <c r="O506" s="6">
        <v>2.5084762698767151</v>
      </c>
      <c r="P506" s="6">
        <v>5.4637545681412032</v>
      </c>
      <c r="Q506" s="6">
        <v>7.4244964630488601</v>
      </c>
      <c r="R506" s="6"/>
      <c r="S506" s="6"/>
      <c r="T506" s="6">
        <v>-40.459541320800781</v>
      </c>
      <c r="U506" s="6">
        <f>_xll.BDP($A506,"TRAILING_12M_R&amp;D_%_SALES",$A$1,$A$2)</f>
        <v>9.7070320370743506</v>
      </c>
      <c r="V506" s="6">
        <v>50</v>
      </c>
      <c r="W506" s="6">
        <v>502030</v>
      </c>
      <c r="X506" s="6">
        <v>50203010</v>
      </c>
      <c r="Y506" s="7" t="s">
        <v>367</v>
      </c>
      <c r="Z506" s="7" t="s">
        <v>418</v>
      </c>
      <c r="AA506" s="7" t="s">
        <v>418</v>
      </c>
      <c r="AB506" s="6">
        <v>48.667137145996094</v>
      </c>
      <c r="AC506" s="6">
        <v>0.42709657232534304</v>
      </c>
      <c r="AD506" s="6">
        <v>-21.645021287579201</v>
      </c>
      <c r="AE506" s="6">
        <v>28098</v>
      </c>
      <c r="AF506" s="6"/>
    </row>
    <row r="507" spans="1:32" s="4" customFormat="1" ht="12.75" x14ac:dyDescent="0.2">
      <c r="A507" s="7" t="s">
        <v>1684</v>
      </c>
      <c r="B507" s="7" t="s">
        <v>1685</v>
      </c>
      <c r="C507" s="7" t="s">
        <v>1686</v>
      </c>
      <c r="D507" s="6">
        <v>-0.85419178009033203</v>
      </c>
      <c r="E507" s="6">
        <v>-0.74705922603607211</v>
      </c>
      <c r="F507" s="6">
        <v>0.7498033642768861</v>
      </c>
      <c r="G507" s="6">
        <v>-0.79106718301773105</v>
      </c>
      <c r="H507" s="6">
        <v>0.44640854001045205</v>
      </c>
      <c r="I507" s="6">
        <v>-0.22033078968524902</v>
      </c>
      <c r="J507" s="6">
        <v>0.40385383367538502</v>
      </c>
      <c r="K507" s="6">
        <v>-0.57896745204925504</v>
      </c>
      <c r="L507" s="6">
        <v>0.35548287630081205</v>
      </c>
      <c r="M507" s="6">
        <v>-0.74660003185272206</v>
      </c>
      <c r="N507" s="6">
        <v>0.86679332194427705</v>
      </c>
      <c r="O507" s="6">
        <v>0.80964262337058901</v>
      </c>
      <c r="P507" s="6">
        <v>1.099996548854002</v>
      </c>
      <c r="Q507" s="6">
        <v>1.121245733732734</v>
      </c>
      <c r="R507" s="6">
        <v>13.398716660025428</v>
      </c>
      <c r="S507" s="6">
        <v>11.089189852662777</v>
      </c>
      <c r="T507" s="6">
        <v>8.9967765808105469</v>
      </c>
      <c r="U507" s="6" t="str">
        <f>_xll.BDP($A507,"TRAILING_12M_R&amp;D_%_SALES",$A$1,$A$2)</f>
        <v>#N/A N/A</v>
      </c>
      <c r="V507" s="6">
        <v>20</v>
      </c>
      <c r="W507" s="6">
        <v>201060</v>
      </c>
      <c r="X507" s="6">
        <v>20106015</v>
      </c>
      <c r="Y507" s="7" t="s">
        <v>43</v>
      </c>
      <c r="Z507" s="7" t="s">
        <v>630</v>
      </c>
      <c r="AA507" s="7" t="s">
        <v>766</v>
      </c>
      <c r="AB507" s="6">
        <v>66.673370361328125</v>
      </c>
      <c r="AC507" s="6">
        <v>0.51616110046508101</v>
      </c>
      <c r="AD507" s="6">
        <v>-37.025898127619541</v>
      </c>
      <c r="AE507" s="6">
        <v>43293</v>
      </c>
      <c r="AF507" s="6">
        <v>38291</v>
      </c>
    </row>
    <row r="508" spans="1:32" s="4" customFormat="1" ht="12.75" x14ac:dyDescent="0.2">
      <c r="A508" s="7" t="s">
        <v>1687</v>
      </c>
      <c r="B508" s="7" t="s">
        <v>1688</v>
      </c>
      <c r="C508" s="7" t="s">
        <v>1689</v>
      </c>
      <c r="D508" s="6">
        <v>-0.85419178009033203</v>
      </c>
      <c r="E508" s="6">
        <v>-0.74705922603607211</v>
      </c>
      <c r="F508" s="6">
        <v>0.7498033642768861</v>
      </c>
      <c r="G508" s="6">
        <v>-0.79106718301773105</v>
      </c>
      <c r="H508" s="6">
        <v>0.44640854001045205</v>
      </c>
      <c r="I508" s="6">
        <v>-0.22033078968524902</v>
      </c>
      <c r="J508" s="6">
        <v>0.40385383367538502</v>
      </c>
      <c r="K508" s="6">
        <v>-0.57896745204925504</v>
      </c>
      <c r="L508" s="6">
        <v>0.35548287630081205</v>
      </c>
      <c r="M508" s="6">
        <v>-0.74660003185272206</v>
      </c>
      <c r="N508" s="6">
        <v>0.86679332194427705</v>
      </c>
      <c r="O508" s="6">
        <v>0.82955017506988105</v>
      </c>
      <c r="P508" s="6">
        <v>1.099996548854002</v>
      </c>
      <c r="Q508" s="6"/>
      <c r="R508" s="6">
        <v>13.398716660025428</v>
      </c>
      <c r="S508" s="6">
        <v>11.59274563735547</v>
      </c>
      <c r="T508" s="6">
        <v>8.9967765808105469</v>
      </c>
      <c r="U508" s="6" t="str">
        <f>_xll.BDP($A508,"TRAILING_12M_R&amp;D_%_SALES",$A$1,$A$2)</f>
        <v>#N/A N/A</v>
      </c>
      <c r="V508" s="6">
        <v>20</v>
      </c>
      <c r="W508" s="6">
        <v>201060</v>
      </c>
      <c r="X508" s="6">
        <v>20106015</v>
      </c>
      <c r="Y508" s="7" t="s">
        <v>43</v>
      </c>
      <c r="Z508" s="7" t="s">
        <v>630</v>
      </c>
      <c r="AA508" s="7" t="s">
        <v>766</v>
      </c>
      <c r="AB508" s="6">
        <v>66.673370361328125</v>
      </c>
      <c r="AC508" s="6">
        <v>0.80250305110266507</v>
      </c>
      <c r="AD508" s="6">
        <v>-37.471387693956423</v>
      </c>
      <c r="AE508" s="6">
        <v>43293</v>
      </c>
      <c r="AF508" s="6">
        <v>38291</v>
      </c>
    </row>
    <row r="509" spans="1:32" s="4" customFormat="1" ht="12.75" x14ac:dyDescent="0.2">
      <c r="A509" s="7" t="s">
        <v>1690</v>
      </c>
      <c r="B509" s="7" t="s">
        <v>1691</v>
      </c>
      <c r="C509" s="7" t="s">
        <v>1692</v>
      </c>
      <c r="D509" s="6">
        <v>-0.9049963951110841</v>
      </c>
      <c r="E509" s="6">
        <v>-0.80137604475021407</v>
      </c>
      <c r="F509" s="6">
        <v>-0.201578199863434</v>
      </c>
      <c r="G509" s="6">
        <v>-0.78247433900833108</v>
      </c>
      <c r="H509" s="6">
        <v>-1.3203167915344241</v>
      </c>
      <c r="I509" s="6">
        <v>0.21909831464290602</v>
      </c>
      <c r="J509" s="6">
        <v>0.69675338268280007</v>
      </c>
      <c r="K509" s="6">
        <v>-0.86739134788513206</v>
      </c>
      <c r="L509" s="6">
        <v>0.66846877336502109</v>
      </c>
      <c r="M509" s="6">
        <v>-0.85389226675033603</v>
      </c>
      <c r="N509" s="6">
        <v>1.1917402345668939</v>
      </c>
      <c r="O509" s="6">
        <v>1.203813091701627</v>
      </c>
      <c r="P509" s="6">
        <v>0.76368608278237804</v>
      </c>
      <c r="Q509" s="6">
        <v>0.77425729288327905</v>
      </c>
      <c r="R509" s="6">
        <v>15.611894765620539</v>
      </c>
      <c r="S509" s="6">
        <v>14.298190191444409</v>
      </c>
      <c r="T509" s="6">
        <v>5.209169864654541</v>
      </c>
      <c r="U509" s="6">
        <f>_xll.BDP($A509,"TRAILING_12M_R&amp;D_%_SALES",$A$1,$A$2)</f>
        <v>5.6900465361418728</v>
      </c>
      <c r="V509" s="6">
        <v>45</v>
      </c>
      <c r="W509" s="6">
        <v>452030</v>
      </c>
      <c r="X509" s="6">
        <v>45203015</v>
      </c>
      <c r="Y509" s="7" t="s">
        <v>66</v>
      </c>
      <c r="Z509" s="7" t="s">
        <v>339</v>
      </c>
      <c r="AA509" s="7" t="s">
        <v>340</v>
      </c>
      <c r="AB509" s="6">
        <v>61.050197601318359</v>
      </c>
      <c r="AC509" s="6">
        <v>0.40938214457705902</v>
      </c>
      <c r="AD509" s="6">
        <v>-19.012796834128942</v>
      </c>
      <c r="AE509" s="6">
        <v>83001</v>
      </c>
      <c r="AF509" s="6">
        <v>70153</v>
      </c>
    </row>
    <row r="510" spans="1:32" s="4" customFormat="1" ht="12.75" x14ac:dyDescent="0.2">
      <c r="A510" s="7" t="s">
        <v>1693</v>
      </c>
      <c r="B510" s="7" t="s">
        <v>1694</v>
      </c>
      <c r="C510" s="7" t="s">
        <v>1695</v>
      </c>
      <c r="D510" s="6">
        <v>-0.9049963951110841</v>
      </c>
      <c r="E510" s="6">
        <v>-0.80137604475021407</v>
      </c>
      <c r="F510" s="6">
        <v>-0.201578199863434</v>
      </c>
      <c r="G510" s="6">
        <v>-0.78247433900833108</v>
      </c>
      <c r="H510" s="6">
        <v>-1.3203167915344241</v>
      </c>
      <c r="I510" s="6">
        <v>0.21909831464290602</v>
      </c>
      <c r="J510" s="6">
        <v>0.69675338268280007</v>
      </c>
      <c r="K510" s="6">
        <v>-0.86739134788513206</v>
      </c>
      <c r="L510" s="6">
        <v>0.66846877336502109</v>
      </c>
      <c r="M510" s="6">
        <v>-0.85389226675033603</v>
      </c>
      <c r="N510" s="6">
        <v>1.1917402345668939</v>
      </c>
      <c r="O510" s="6">
        <v>1.144469012531016</v>
      </c>
      <c r="P510" s="6">
        <v>0.76368608278237804</v>
      </c>
      <c r="Q510" s="6"/>
      <c r="R510" s="6">
        <v>15.611894765620539</v>
      </c>
      <c r="S510" s="6">
        <v>13.215268988914207</v>
      </c>
      <c r="T510" s="6">
        <v>5.209169864654541</v>
      </c>
      <c r="U510" s="6">
        <f>_xll.BDP($A510,"TRAILING_12M_R&amp;D_%_SALES",$A$1,$A$2)</f>
        <v>5.6900465361418728</v>
      </c>
      <c r="V510" s="6">
        <v>45</v>
      </c>
      <c r="W510" s="6">
        <v>452030</v>
      </c>
      <c r="X510" s="6">
        <v>45203015</v>
      </c>
      <c r="Y510" s="7" t="s">
        <v>66</v>
      </c>
      <c r="Z510" s="7" t="s">
        <v>339</v>
      </c>
      <c r="AA510" s="7" t="s">
        <v>340</v>
      </c>
      <c r="AB510" s="6">
        <v>61.050197601318359</v>
      </c>
      <c r="AC510" s="6">
        <v>0.72307560447749408</v>
      </c>
      <c r="AD510" s="6">
        <v>-18.848917832079636</v>
      </c>
      <c r="AE510" s="6">
        <v>83001</v>
      </c>
      <c r="AF510" s="6">
        <v>70153</v>
      </c>
    </row>
    <row r="511" spans="1:32" s="4" customFormat="1" ht="12.75" x14ac:dyDescent="0.2">
      <c r="A511" s="7" t="s">
        <v>1696</v>
      </c>
      <c r="B511" s="7" t="s">
        <v>1697</v>
      </c>
      <c r="C511" s="7" t="s">
        <v>1698</v>
      </c>
      <c r="D511" s="6">
        <v>-0.76188677549362205</v>
      </c>
      <c r="E511" s="6">
        <v>-0.90554034709930409</v>
      </c>
      <c r="F511" s="6">
        <v>-0.28224536776542702</v>
      </c>
      <c r="G511" s="6">
        <v>-0.62962669134140004</v>
      </c>
      <c r="H511" s="6">
        <v>3.6875974386930001E-2</v>
      </c>
      <c r="I511" s="6">
        <v>0.153295338153839</v>
      </c>
      <c r="J511" s="6">
        <v>1.4228320121765141</v>
      </c>
      <c r="K511" s="6">
        <v>-1.2842521667480471</v>
      </c>
      <c r="L511" s="6">
        <v>-0.607746481895447</v>
      </c>
      <c r="M511" s="6">
        <v>-0.86792039871215809</v>
      </c>
      <c r="N511" s="6">
        <v>1.0338694395392221</v>
      </c>
      <c r="O511" s="6"/>
      <c r="P511" s="6">
        <v>1.0032678842290039</v>
      </c>
      <c r="Q511" s="6"/>
      <c r="R511" s="6">
        <v>17.300242825709748</v>
      </c>
      <c r="S511" s="6"/>
      <c r="T511" s="6">
        <v>6.1775569915771484</v>
      </c>
      <c r="U511" s="6" t="str">
        <f>_xll.BDP($A511,"TRAILING_12M_R&amp;D_%_SALES",$A$1,$A$2)</f>
        <v>#N/A N/A</v>
      </c>
      <c r="V511" s="6">
        <v>40</v>
      </c>
      <c r="W511" s="6">
        <v>403010</v>
      </c>
      <c r="X511" s="6">
        <v>40301040</v>
      </c>
      <c r="Y511" s="7" t="s">
        <v>53</v>
      </c>
      <c r="Z511" s="7" t="s">
        <v>54</v>
      </c>
      <c r="AA511" s="7" t="s">
        <v>125</v>
      </c>
      <c r="AB511" s="6">
        <v>32.220100402832031</v>
      </c>
      <c r="AC511" s="6">
        <v>0.79158923027374206</v>
      </c>
      <c r="AD511" s="6">
        <v>1.3724621846956659</v>
      </c>
      <c r="AE511" s="6">
        <v>10340</v>
      </c>
      <c r="AF511" s="6">
        <v>15800</v>
      </c>
    </row>
    <row r="512" spans="1:32" s="4" customFormat="1" ht="12.75" x14ac:dyDescent="0.2">
      <c r="A512" s="7" t="s">
        <v>1699</v>
      </c>
      <c r="B512" s="7" t="s">
        <v>1700</v>
      </c>
      <c r="C512" s="7" t="s">
        <v>1701</v>
      </c>
      <c r="D512" s="6">
        <v>-0.55969679355621305</v>
      </c>
      <c r="E512" s="6">
        <v>-0.59959703683853105</v>
      </c>
      <c r="F512" s="6">
        <v>0.28870570659637501</v>
      </c>
      <c r="G512" s="6">
        <v>-0.8140872120857241</v>
      </c>
      <c r="H512" s="6">
        <v>0.65372174978256203</v>
      </c>
      <c r="I512" s="6">
        <v>0.87815445661544811</v>
      </c>
      <c r="J512" s="6">
        <v>0.31093558669090304</v>
      </c>
      <c r="K512" s="6">
        <v>-0.44445323944091802</v>
      </c>
      <c r="L512" s="6">
        <v>-0.17244344949722301</v>
      </c>
      <c r="M512" s="6">
        <v>-0.42958045005798301</v>
      </c>
      <c r="N512" s="6">
        <v>0.71585413581381507</v>
      </c>
      <c r="O512" s="6">
        <v>0.67847547549376508</v>
      </c>
      <c r="P512" s="6">
        <v>3.5184329415552691</v>
      </c>
      <c r="Q512" s="6">
        <v>3.528243333270745</v>
      </c>
      <c r="R512" s="6">
        <v>19.08112856500259</v>
      </c>
      <c r="S512" s="6">
        <v>16.482343742113315</v>
      </c>
      <c r="T512" s="6">
        <v>19.345142364501953</v>
      </c>
      <c r="U512" s="6" t="str">
        <f>_xll.BDP($A512,"TRAILING_12M_R&amp;D_%_SALES",$A$1,$A$2)</f>
        <v>#N/A N/A</v>
      </c>
      <c r="V512" s="6">
        <v>30</v>
      </c>
      <c r="W512" s="6">
        <v>301010</v>
      </c>
      <c r="X512" s="6">
        <v>30101030</v>
      </c>
      <c r="Y512" s="7" t="s">
        <v>91</v>
      </c>
      <c r="Z512" s="7" t="s">
        <v>133</v>
      </c>
      <c r="AA512" s="7" t="s">
        <v>134</v>
      </c>
      <c r="AB512" s="6">
        <v>54.169601440429688</v>
      </c>
      <c r="AC512" s="6">
        <v>0.46341745313048804</v>
      </c>
      <c r="AD512" s="6">
        <v>14.647827229269783</v>
      </c>
      <c r="AE512" s="6">
        <v>215000</v>
      </c>
      <c r="AF512" s="6">
        <v>195000</v>
      </c>
    </row>
    <row r="513" spans="1:32" s="4" customFormat="1" ht="12.75" x14ac:dyDescent="0.2">
      <c r="A513" s="7" t="s">
        <v>1702</v>
      </c>
      <c r="B513" s="7" t="s">
        <v>1703</v>
      </c>
      <c r="C513" s="7" t="s">
        <v>1704</v>
      </c>
      <c r="D513" s="6">
        <v>-0.60062897205352805</v>
      </c>
      <c r="E513" s="6">
        <v>-0.28409576416015603</v>
      </c>
      <c r="F513" s="6">
        <v>0.74620425701141402</v>
      </c>
      <c r="G513" s="6">
        <v>0.57140576839446999</v>
      </c>
      <c r="H513" s="6">
        <v>-0.719593286514282</v>
      </c>
      <c r="I513" s="6">
        <v>-0.23759911954402901</v>
      </c>
      <c r="J513" s="6">
        <v>1.3171455860137939</v>
      </c>
      <c r="K513" s="6">
        <v>-7.1273081004620001E-2</v>
      </c>
      <c r="L513" s="6">
        <v>4.9216607585550005E-3</v>
      </c>
      <c r="M513" s="6">
        <v>7.5645618140697007E-2</v>
      </c>
      <c r="N513" s="6">
        <v>0.77778783360693604</v>
      </c>
      <c r="O513" s="6">
        <v>0.92495378383877003</v>
      </c>
      <c r="P513" s="6">
        <v>1.0933622438247981</v>
      </c>
      <c r="Q513" s="6">
        <v>0.97896219530770012</v>
      </c>
      <c r="R513" s="6">
        <v>4.690592763370601</v>
      </c>
      <c r="S513" s="6">
        <v>9.9112373401351821</v>
      </c>
      <c r="T513" s="6">
        <v>20.365957260131836</v>
      </c>
      <c r="U513" s="6" t="str">
        <f>_xll.BDP($A513,"TRAILING_12M_R&amp;D_%_SALES",$A$1,$A$2)</f>
        <v>#N/A N/A</v>
      </c>
      <c r="V513" s="6">
        <v>25</v>
      </c>
      <c r="W513" s="6">
        <v>252010</v>
      </c>
      <c r="X513" s="6">
        <v>25201030</v>
      </c>
      <c r="Y513" s="7" t="s">
        <v>108</v>
      </c>
      <c r="Z513" s="7" t="s">
        <v>944</v>
      </c>
      <c r="AA513" s="7" t="s">
        <v>945</v>
      </c>
      <c r="AB513" s="6">
        <v>33.598228454589844</v>
      </c>
      <c r="AC513" s="6">
        <v>1.187339768621626</v>
      </c>
      <c r="AD513" s="6">
        <v>-20.009721280581804</v>
      </c>
      <c r="AE513" s="6">
        <v>10753</v>
      </c>
      <c r="AF513" s="6">
        <v>8335</v>
      </c>
    </row>
    <row r="514" spans="1:32" s="4" customFormat="1" ht="12.75" x14ac:dyDescent="0.2">
      <c r="A514" s="7" t="s">
        <v>1705</v>
      </c>
      <c r="B514" s="7" t="s">
        <v>1706</v>
      </c>
      <c r="C514" s="7" t="s">
        <v>1707</v>
      </c>
      <c r="D514" s="6">
        <v>-0.60062897205352805</v>
      </c>
      <c r="E514" s="6">
        <v>-0.28409576416015603</v>
      </c>
      <c r="F514" s="6">
        <v>0.74620425701141402</v>
      </c>
      <c r="G514" s="6">
        <v>0.57140576839446999</v>
      </c>
      <c r="H514" s="6">
        <v>-0.719593286514282</v>
      </c>
      <c r="I514" s="6">
        <v>-0.23759911954402901</v>
      </c>
      <c r="J514" s="6">
        <v>1.3171455860137939</v>
      </c>
      <c r="K514" s="6">
        <v>-7.1273081004620001E-2</v>
      </c>
      <c r="L514" s="6">
        <v>4.9216607585550005E-3</v>
      </c>
      <c r="M514" s="6">
        <v>7.5645618140697007E-2</v>
      </c>
      <c r="N514" s="6">
        <v>0.77778783360693604</v>
      </c>
      <c r="O514" s="6">
        <v>0.92495378383877003</v>
      </c>
      <c r="P514" s="6">
        <v>1.0933622438247981</v>
      </c>
      <c r="Q514" s="6">
        <v>0.80891482618881305</v>
      </c>
      <c r="R514" s="6">
        <v>4.690592763370601</v>
      </c>
      <c r="S514" s="6">
        <v>8.1896388530014423</v>
      </c>
      <c r="T514" s="6">
        <v>20.365957260131836</v>
      </c>
      <c r="U514" s="6" t="str">
        <f>_xll.BDP($A514,"TRAILING_12M_R&amp;D_%_SALES",$A$1,$A$2)</f>
        <v>#N/A N/A</v>
      </c>
      <c r="V514" s="6">
        <v>25</v>
      </c>
      <c r="W514" s="6">
        <v>252010</v>
      </c>
      <c r="X514" s="6">
        <v>25201030</v>
      </c>
      <c r="Y514" s="7" t="s">
        <v>108</v>
      </c>
      <c r="Z514" s="7" t="s">
        <v>944</v>
      </c>
      <c r="AA514" s="7" t="s">
        <v>945</v>
      </c>
      <c r="AB514" s="6">
        <v>33.598228454589844</v>
      </c>
      <c r="AC514" s="6">
        <v>1.179863765582831</v>
      </c>
      <c r="AD514" s="6">
        <v>-18.945031172239958</v>
      </c>
      <c r="AE514" s="6">
        <v>10753</v>
      </c>
      <c r="AF514" s="6">
        <v>8335</v>
      </c>
    </row>
    <row r="515" spans="1:32" s="4" customFormat="1" ht="12.75" x14ac:dyDescent="0.2">
      <c r="A515" s="7" t="s">
        <v>1708</v>
      </c>
      <c r="B515" s="7" t="s">
        <v>1709</v>
      </c>
      <c r="C515" s="7" t="s">
        <v>1710</v>
      </c>
      <c r="D515" s="6">
        <v>-0.36390486359596302</v>
      </c>
      <c r="E515" s="6">
        <v>-0.98109924793243408</v>
      </c>
      <c r="F515" s="6">
        <v>0.276879042387009</v>
      </c>
      <c r="G515" s="6">
        <v>-0.46884658932685902</v>
      </c>
      <c r="H515" s="6">
        <v>0.45288452506065402</v>
      </c>
      <c r="I515" s="6">
        <v>-1.70858371257782</v>
      </c>
      <c r="J515" s="6">
        <v>2.399999618530273</v>
      </c>
      <c r="K515" s="6">
        <v>-0.18140354752540602</v>
      </c>
      <c r="L515" s="6">
        <v>-0.59108185768127408</v>
      </c>
      <c r="M515" s="6">
        <v>-0.49756643176078802</v>
      </c>
      <c r="N515" s="6">
        <v>0.170243743158037</v>
      </c>
      <c r="O515" s="6"/>
      <c r="P515" s="6">
        <v>0.6617394016207121</v>
      </c>
      <c r="Q515" s="6"/>
      <c r="R515" s="6">
        <v>10.33452807646356</v>
      </c>
      <c r="S515" s="6"/>
      <c r="T515" s="6">
        <v>7.4063820838928223</v>
      </c>
      <c r="U515" s="6">
        <f>_xll.BDP($A515,"TRAILING_12M_R&amp;D_%_SALES",$A$1,$A$2)</f>
        <v>5.2788710934674237</v>
      </c>
      <c r="V515" s="6">
        <v>25</v>
      </c>
      <c r="W515" s="6">
        <v>252010</v>
      </c>
      <c r="X515" s="6">
        <v>25201010</v>
      </c>
      <c r="Y515" s="7" t="s">
        <v>108</v>
      </c>
      <c r="Z515" s="7" t="s">
        <v>944</v>
      </c>
      <c r="AA515" s="7" t="s">
        <v>1711</v>
      </c>
      <c r="AB515" s="6">
        <v>67.136100769042969</v>
      </c>
      <c r="AC515" s="6"/>
      <c r="AD515" s="6"/>
      <c r="AE515" s="6"/>
      <c r="AF515" s="6"/>
    </row>
    <row r="516" spans="1:32" s="4" customFormat="1" ht="12.75" x14ac:dyDescent="0.2">
      <c r="A516" s="7" t="s">
        <v>1712</v>
      </c>
      <c r="B516" s="7" t="s">
        <v>1709</v>
      </c>
      <c r="C516" s="7" t="s">
        <v>1713</v>
      </c>
      <c r="D516" s="6">
        <v>-0.36390486359596302</v>
      </c>
      <c r="E516" s="6">
        <v>-0.98109924793243408</v>
      </c>
      <c r="F516" s="6">
        <v>0.276879042387009</v>
      </c>
      <c r="G516" s="6">
        <v>-0.46884658932685902</v>
      </c>
      <c r="H516" s="6">
        <v>0.45288452506065402</v>
      </c>
      <c r="I516" s="6">
        <v>-1.70858371257782</v>
      </c>
      <c r="J516" s="6">
        <v>2.399999618530273</v>
      </c>
      <c r="K516" s="6">
        <v>-0.18140354752540602</v>
      </c>
      <c r="L516" s="6">
        <v>-0.59108185768127408</v>
      </c>
      <c r="M516" s="6">
        <v>-0.49756643176078802</v>
      </c>
      <c r="N516" s="6">
        <v>0.170243743158037</v>
      </c>
      <c r="O516" s="6"/>
      <c r="P516" s="6">
        <v>0.6617394016207121</v>
      </c>
      <c r="Q516" s="6"/>
      <c r="R516" s="6">
        <v>10.33452807646356</v>
      </c>
      <c r="S516" s="6"/>
      <c r="T516" s="6">
        <v>7.4063820838928223</v>
      </c>
      <c r="U516" s="6">
        <f>_xll.BDP($A516,"TRAILING_12M_R&amp;D_%_SALES",$A$1,$A$2)</f>
        <v>5.2788710934674237</v>
      </c>
      <c r="V516" s="6">
        <v>25</v>
      </c>
      <c r="W516" s="6">
        <v>252010</v>
      </c>
      <c r="X516" s="6">
        <v>25201010</v>
      </c>
      <c r="Y516" s="7" t="s">
        <v>108</v>
      </c>
      <c r="Z516" s="7" t="s">
        <v>944</v>
      </c>
      <c r="AA516" s="7" t="s">
        <v>1711</v>
      </c>
      <c r="AB516" s="6">
        <v>67.136100769042969</v>
      </c>
      <c r="AC516" s="6"/>
      <c r="AD516" s="6"/>
      <c r="AE516" s="6"/>
      <c r="AF516" s="6"/>
    </row>
    <row r="517" spans="1:32" s="4" customFormat="1" ht="12.75" x14ac:dyDescent="0.2">
      <c r="A517" s="7" t="s">
        <v>1714</v>
      </c>
      <c r="B517" s="7" t="s">
        <v>1715</v>
      </c>
      <c r="C517" s="7" t="s">
        <v>1716</v>
      </c>
      <c r="D517" s="6">
        <v>-0.27091196179390004</v>
      </c>
      <c r="E517" s="6">
        <v>-0.61202794313430808</v>
      </c>
      <c r="F517" s="6">
        <v>3.0001339912414551</v>
      </c>
      <c r="G517" s="6">
        <v>-0.87274003028869607</v>
      </c>
      <c r="H517" s="6">
        <v>1.013615608215332</v>
      </c>
      <c r="I517" s="6">
        <v>-8.2990959286690008E-2</v>
      </c>
      <c r="J517" s="6">
        <v>1.8165879249572749</v>
      </c>
      <c r="K517" s="6">
        <v>-6.9013714790344002E-2</v>
      </c>
      <c r="L517" s="6">
        <v>2.7774851322174072</v>
      </c>
      <c r="M517" s="6">
        <v>-0.5631024241447451</v>
      </c>
      <c r="N517" s="6">
        <v>0.49194397914499705</v>
      </c>
      <c r="O517" s="6"/>
      <c r="P517" s="6">
        <v>1.054651405000999</v>
      </c>
      <c r="Q517" s="6"/>
      <c r="R517" s="6">
        <v>5.2974970141739934</v>
      </c>
      <c r="S517" s="6"/>
      <c r="T517" s="6">
        <v>20.487083435058594</v>
      </c>
      <c r="U517" s="6">
        <f>_xll.BDP($A517,"TRAILING_12M_R&amp;D_%_SALES",$A$1,$A$2)</f>
        <v>0</v>
      </c>
      <c r="V517" s="6">
        <v>60</v>
      </c>
      <c r="W517" s="6">
        <v>602010</v>
      </c>
      <c r="X517" s="6">
        <v>60201030</v>
      </c>
      <c r="Y517" s="7" t="s">
        <v>307</v>
      </c>
      <c r="Z517" s="7" t="s">
        <v>615</v>
      </c>
      <c r="AA517" s="7" t="s">
        <v>616</v>
      </c>
      <c r="AB517" s="6">
        <v>49.109748840332031</v>
      </c>
      <c r="AC517" s="6">
        <v>0.52429631829273304</v>
      </c>
      <c r="AD517" s="6">
        <v>-31.570366288919505</v>
      </c>
      <c r="AE517" s="6">
        <v>44065</v>
      </c>
      <c r="AF517" s="6">
        <v>17172</v>
      </c>
    </row>
    <row r="518" spans="1:32" s="4" customFormat="1" ht="12.75" x14ac:dyDescent="0.2">
      <c r="A518" s="7" t="s">
        <v>1717</v>
      </c>
      <c r="B518" s="7" t="s">
        <v>1718</v>
      </c>
      <c r="C518" s="7" t="s">
        <v>1719</v>
      </c>
      <c r="D518" s="6">
        <v>-0.61159354448318504</v>
      </c>
      <c r="E518" s="6">
        <v>-0.66944015026092507</v>
      </c>
      <c r="F518" s="6">
        <v>-0.35305100679397605</v>
      </c>
      <c r="G518" s="6">
        <v>-0.140120029449463</v>
      </c>
      <c r="H518" s="6">
        <v>-0.34874886274337802</v>
      </c>
      <c r="I518" s="6">
        <v>0.29666465520858804</v>
      </c>
      <c r="J518" s="6">
        <v>-4.8751551657915004E-2</v>
      </c>
      <c r="K518" s="6">
        <v>-1.8108228221536002E-2</v>
      </c>
      <c r="L518" s="6">
        <v>0.24511680006980902</v>
      </c>
      <c r="M518" s="6">
        <v>-0.41329646110534701</v>
      </c>
      <c r="N518" s="6">
        <v>2.3862497880154661</v>
      </c>
      <c r="O518" s="6">
        <v>2.278362396029324</v>
      </c>
      <c r="P518" s="6">
        <v>2.1697571157024562</v>
      </c>
      <c r="Q518" s="6">
        <v>2.1347002549752401</v>
      </c>
      <c r="R518" s="6">
        <v>19.256410012161162</v>
      </c>
      <c r="S518" s="6">
        <v>16.451059701421933</v>
      </c>
      <c r="T518" s="6">
        <v>5.9755158424377441</v>
      </c>
      <c r="U518" s="6" t="str">
        <f>_xll.BDP($A518,"TRAILING_12M_R&amp;D_%_SALES",$A$1,$A$2)</f>
        <v>#N/A N/A</v>
      </c>
      <c r="V518" s="6">
        <v>20</v>
      </c>
      <c r="W518" s="6">
        <v>201010</v>
      </c>
      <c r="X518" s="6">
        <v>20101010</v>
      </c>
      <c r="Y518" s="7" t="s">
        <v>43</v>
      </c>
      <c r="Z518" s="7" t="s">
        <v>393</v>
      </c>
      <c r="AA518" s="7" t="s">
        <v>393</v>
      </c>
      <c r="AB518" s="6">
        <v>61.110553741455078</v>
      </c>
      <c r="AC518" s="6">
        <v>0.59452815103466106</v>
      </c>
      <c r="AD518" s="6">
        <v>-0.34600370359875204</v>
      </c>
      <c r="AE518" s="6">
        <v>47000</v>
      </c>
      <c r="AF518" s="6">
        <v>21000</v>
      </c>
    </row>
    <row r="519" spans="1:32" s="4" customFormat="1" ht="12.75" x14ac:dyDescent="0.2">
      <c r="A519" s="7" t="s">
        <v>1720</v>
      </c>
      <c r="B519" s="7" t="s">
        <v>1721</v>
      </c>
      <c r="C519" s="7" t="s">
        <v>1722</v>
      </c>
      <c r="D519" s="6">
        <v>0.36788216233253501</v>
      </c>
      <c r="E519" s="6">
        <v>-0.86816257238388106</v>
      </c>
      <c r="F519" s="6">
        <v>1.4078871011734011</v>
      </c>
      <c r="G519" s="6">
        <v>-0.85401886701583907</v>
      </c>
      <c r="H519" s="6">
        <v>1.039827346801758</v>
      </c>
      <c r="I519" s="6">
        <v>0.29856008291244501</v>
      </c>
      <c r="J519" s="6">
        <v>2.275051355361938</v>
      </c>
      <c r="K519" s="6">
        <v>-0.90274137258529707</v>
      </c>
      <c r="L519" s="6">
        <v>1.4172676801681521</v>
      </c>
      <c r="M519" s="6">
        <v>-0.88285177946090709</v>
      </c>
      <c r="N519" s="6">
        <v>1.8569862417022041</v>
      </c>
      <c r="O519" s="6">
        <v>1.637015443600109</v>
      </c>
      <c r="P519" s="6">
        <v>0.76640186844905811</v>
      </c>
      <c r="Q519" s="6">
        <v>0.7257994433121101</v>
      </c>
      <c r="R519" s="6">
        <v>7.6928287364285692</v>
      </c>
      <c r="S519" s="6">
        <v>6.4112757173393504</v>
      </c>
      <c r="T519" s="6">
        <v>9.1149835586547852</v>
      </c>
      <c r="U519" s="6" t="str">
        <f>_xll.BDP($A519,"TRAILING_12M_R&amp;D_%_SALES",$A$1,$A$2)</f>
        <v>#N/A N/A</v>
      </c>
      <c r="V519" s="6">
        <v>40</v>
      </c>
      <c r="W519" s="6">
        <v>401010</v>
      </c>
      <c r="X519" s="6">
        <v>40101010</v>
      </c>
      <c r="Y519" s="7" t="s">
        <v>53</v>
      </c>
      <c r="Z519" s="7" t="s">
        <v>76</v>
      </c>
      <c r="AA519" s="7" t="s">
        <v>77</v>
      </c>
      <c r="AB519" s="6">
        <v>60.416458129882813</v>
      </c>
      <c r="AC519" s="6">
        <v>0.45588722917788405</v>
      </c>
      <c r="AD519" s="6">
        <v>-10.566331461721779</v>
      </c>
      <c r="AE519" s="6">
        <v>57955</v>
      </c>
      <c r="AF519" s="6">
        <v>70433</v>
      </c>
    </row>
    <row r="520" spans="1:32" s="4" customFormat="1" ht="12.75" x14ac:dyDescent="0.2">
      <c r="A520" s="7" t="s">
        <v>1723</v>
      </c>
      <c r="B520" s="7" t="s">
        <v>1724</v>
      </c>
      <c r="C520" s="7" t="s">
        <v>1725</v>
      </c>
      <c r="D520" s="6">
        <v>0.29999992251396201</v>
      </c>
      <c r="E520" s="6">
        <v>0.45951992273330705</v>
      </c>
      <c r="F520" s="6">
        <v>0.33482715487480202</v>
      </c>
      <c r="G520" s="6">
        <v>-0.692549228668213</v>
      </c>
      <c r="H520" s="6">
        <v>-1.8152445554733002E-2</v>
      </c>
      <c r="I520" s="6">
        <v>1.3262127637863159</v>
      </c>
      <c r="J520" s="6">
        <v>-0.6585474610328671</v>
      </c>
      <c r="K520" s="6">
        <v>-0.25675374269485501</v>
      </c>
      <c r="L520" s="6">
        <v>-0.21691453456878701</v>
      </c>
      <c r="M520" s="6">
        <v>0.11334578692913101</v>
      </c>
      <c r="N520" s="6">
        <v>11.308449437025077</v>
      </c>
      <c r="O520" s="6">
        <v>11.492944394120974</v>
      </c>
      <c r="P520" s="6">
        <v>34.51929308394012</v>
      </c>
      <c r="Q520" s="6">
        <v>24.472925815170708</v>
      </c>
      <c r="R520" s="6">
        <v>46.530866089801414</v>
      </c>
      <c r="S520" s="6">
        <v>42.992851940455402</v>
      </c>
      <c r="T520" s="6">
        <v>67.685714721679688</v>
      </c>
      <c r="U520" s="6">
        <f>_xll.BDP($A520,"TRAILING_12M_R&amp;D_%_SALES",$A$1,$A$2)</f>
        <v>24.400402284942952</v>
      </c>
      <c r="V520" s="6">
        <v>35</v>
      </c>
      <c r="W520" s="6">
        <v>352020</v>
      </c>
      <c r="X520" s="6">
        <v>35202010</v>
      </c>
      <c r="Y520" s="7" t="s">
        <v>86</v>
      </c>
      <c r="Z520" s="7" t="s">
        <v>271</v>
      </c>
      <c r="AA520" s="7" t="s">
        <v>271</v>
      </c>
      <c r="AB520" s="6">
        <v>72.910171508789063</v>
      </c>
      <c r="AC520" s="6">
        <v>0.68819389105111206</v>
      </c>
      <c r="AD520" s="6">
        <v>33.739372418653389</v>
      </c>
      <c r="AE520" s="6">
        <v>35000</v>
      </c>
      <c r="AF520" s="6">
        <v>41975</v>
      </c>
    </row>
    <row r="521" spans="1:32" s="4" customFormat="1" ht="12.75" x14ac:dyDescent="0.2">
      <c r="A521" s="7" t="s">
        <v>1726</v>
      </c>
      <c r="B521" s="7" t="s">
        <v>1727</v>
      </c>
      <c r="C521" s="7" t="s">
        <v>1728</v>
      </c>
      <c r="D521" s="6">
        <v>0.16998384892940502</v>
      </c>
      <c r="E521" s="6">
        <v>0.153405636548996</v>
      </c>
      <c r="F521" s="6">
        <v>0.37859025597572304</v>
      </c>
      <c r="G521" s="6">
        <v>-0.22250387072563202</v>
      </c>
      <c r="H521" s="6">
        <v>-0.19671870768070202</v>
      </c>
      <c r="I521" s="6">
        <v>1.2142901420593259</v>
      </c>
      <c r="J521" s="6">
        <v>-8.1179805099964003E-2</v>
      </c>
      <c r="K521" s="6">
        <v>-0.43715354800224304</v>
      </c>
      <c r="L521" s="6">
        <v>0.38738259673118602</v>
      </c>
      <c r="M521" s="6">
        <v>-0.12076932936906801</v>
      </c>
      <c r="N521" s="6">
        <v>2.0140720827213072</v>
      </c>
      <c r="O521" s="6">
        <v>1.9387869756467531</v>
      </c>
      <c r="P521" s="6">
        <v>10.611222130243261</v>
      </c>
      <c r="Q521" s="6">
        <v>16.11472779212157</v>
      </c>
      <c r="R521" s="6">
        <v>17.802743102291448</v>
      </c>
      <c r="S521" s="6">
        <v>17.92076042832031</v>
      </c>
      <c r="T521" s="6">
        <v>54.350139617919922</v>
      </c>
      <c r="U521" s="6" t="str">
        <f>_xll.BDP($A521,"TRAILING_12M_R&amp;D_%_SALES",$A$1,$A$2)</f>
        <v>#N/A N/A</v>
      </c>
      <c r="V521" s="6">
        <v>20</v>
      </c>
      <c r="W521" s="6">
        <v>201010</v>
      </c>
      <c r="X521" s="6">
        <v>20101010</v>
      </c>
      <c r="Y521" s="7" t="s">
        <v>43</v>
      </c>
      <c r="Z521" s="7" t="s">
        <v>393</v>
      </c>
      <c r="AA521" s="7" t="s">
        <v>393</v>
      </c>
      <c r="AB521" s="6">
        <v>68.081680297851563</v>
      </c>
      <c r="AC521" s="6">
        <v>0.53022377871036708</v>
      </c>
      <c r="AD521" s="6">
        <v>41.155119354423107</v>
      </c>
      <c r="AE521" s="6">
        <v>114000</v>
      </c>
      <c r="AF521" s="6">
        <v>97000</v>
      </c>
    </row>
    <row r="522" spans="1:32" s="4" customFormat="1" ht="12.75" x14ac:dyDescent="0.2">
      <c r="A522" s="7" t="s">
        <v>1729</v>
      </c>
      <c r="B522" s="7" t="s">
        <v>1730</v>
      </c>
      <c r="C522" s="7" t="s">
        <v>1731</v>
      </c>
      <c r="D522" s="6">
        <v>-0.6156314611434941</v>
      </c>
      <c r="E522" s="6">
        <v>-2.3178236484527588</v>
      </c>
      <c r="F522" s="6">
        <v>0.96983623504638705</v>
      </c>
      <c r="G522" s="6">
        <v>0.68243306875228904</v>
      </c>
      <c r="H522" s="6">
        <v>0.67196083068847701</v>
      </c>
      <c r="I522" s="6">
        <v>-1.3016624450683589</v>
      </c>
      <c r="J522" s="6">
        <v>1.237030625343323</v>
      </c>
      <c r="K522" s="6">
        <v>1.9634559750557001E-2</v>
      </c>
      <c r="L522" s="6">
        <v>2.1396193504333501</v>
      </c>
      <c r="M522" s="6">
        <v>-1.013317823410034</v>
      </c>
      <c r="N522" s="6">
        <v>0.27756245286895403</v>
      </c>
      <c r="O522" s="6">
        <v>0.27603460210826603</v>
      </c>
      <c r="P522" s="6">
        <v>2.3447311368988411</v>
      </c>
      <c r="Q522" s="6">
        <v>1.461732550176619</v>
      </c>
      <c r="R522" s="6"/>
      <c r="S522" s="6">
        <v>3.41566383925923</v>
      </c>
      <c r="T522" s="6">
        <v>-0.34207001328468301</v>
      </c>
      <c r="U522" s="6" t="str">
        <f>_xll.BDP($A522,"TRAILING_12M_R&amp;D_%_SALES",$A$1,$A$2)</f>
        <v>#N/A N/A</v>
      </c>
      <c r="V522" s="6">
        <v>40</v>
      </c>
      <c r="W522" s="6">
        <v>403010</v>
      </c>
      <c r="X522" s="6">
        <v>40301020</v>
      </c>
      <c r="Y522" s="7" t="s">
        <v>53</v>
      </c>
      <c r="Z522" s="7" t="s">
        <v>54</v>
      </c>
      <c r="AA522" s="7" t="s">
        <v>55</v>
      </c>
      <c r="AB522" s="6">
        <v>51.483753204345703</v>
      </c>
      <c r="AC522" s="6">
        <v>1.277952886979016</v>
      </c>
      <c r="AD522" s="6">
        <v>-53.725137297865835</v>
      </c>
      <c r="AE522" s="6">
        <v>10848</v>
      </c>
      <c r="AF522" s="6">
        <v>9057</v>
      </c>
    </row>
    <row r="523" spans="1:32" s="4" customFormat="1" ht="12.75" x14ac:dyDescent="0.2">
      <c r="A523" s="7" t="s">
        <v>1732</v>
      </c>
      <c r="B523" s="7" t="s">
        <v>1733</v>
      </c>
      <c r="C523" s="7" t="s">
        <v>1734</v>
      </c>
      <c r="D523" s="6">
        <v>-0.42540055513382002</v>
      </c>
      <c r="E523" s="6">
        <v>-1.6992522478103642</v>
      </c>
      <c r="F523" s="6">
        <v>-1.0519299507141111</v>
      </c>
      <c r="G523" s="6">
        <v>0.31572988629341103</v>
      </c>
      <c r="H523" s="6">
        <v>1.8580836057662959</v>
      </c>
      <c r="I523" s="6">
        <v>1.4830243587493901</v>
      </c>
      <c r="J523" s="6">
        <v>-0.12869030237197901</v>
      </c>
      <c r="K523" s="6">
        <v>-0.49601367115974404</v>
      </c>
      <c r="L523" s="6">
        <v>-0.304460078477859</v>
      </c>
      <c r="M523" s="6">
        <v>0.67058104276657104</v>
      </c>
      <c r="N523" s="6">
        <v>1.2260072575323699</v>
      </c>
      <c r="O523" s="6">
        <v>1.410773421759888</v>
      </c>
      <c r="P523" s="6"/>
      <c r="Q523" s="6">
        <v>140.3416370642274</v>
      </c>
      <c r="R523" s="6"/>
      <c r="S523" s="6">
        <v>7.1365972439197316</v>
      </c>
      <c r="T523" s="6"/>
      <c r="U523" s="6" t="str">
        <f>_xll.BDP($A523,"TRAILING_12M_R&amp;D_%_SALES",$A$1,$A$2)</f>
        <v>#N/A N/A</v>
      </c>
      <c r="V523" s="6">
        <v>10</v>
      </c>
      <c r="W523" s="6">
        <v>101020</v>
      </c>
      <c r="X523" s="6">
        <v>10102040</v>
      </c>
      <c r="Y523" s="7" t="s">
        <v>505</v>
      </c>
      <c r="Z523" s="7" t="s">
        <v>556</v>
      </c>
      <c r="AA523" s="7" t="s">
        <v>1122</v>
      </c>
      <c r="AB523" s="6">
        <v>63.041946411132813</v>
      </c>
      <c r="AC523" s="6">
        <v>0.73123238237893906</v>
      </c>
      <c r="AD523" s="6">
        <v>49.477209650379272</v>
      </c>
      <c r="AE523" s="6">
        <v>1550</v>
      </c>
      <c r="AF523" s="6">
        <v>911</v>
      </c>
    </row>
    <row r="524" spans="1:32" s="4" customFormat="1" ht="12.75" x14ac:dyDescent="0.2">
      <c r="A524" s="7" t="s">
        <v>1735</v>
      </c>
      <c r="B524" s="7" t="s">
        <v>1736</v>
      </c>
      <c r="C524" s="7" t="s">
        <v>1737</v>
      </c>
      <c r="D524" s="6">
        <v>-0.27091196179390004</v>
      </c>
      <c r="E524" s="6">
        <v>-0.61202794313430808</v>
      </c>
      <c r="F524" s="6">
        <v>3.0001339912414551</v>
      </c>
      <c r="G524" s="6">
        <v>-0.87274003028869607</v>
      </c>
      <c r="H524" s="6">
        <v>1.013615608215332</v>
      </c>
      <c r="I524" s="6">
        <v>-8.2990959286690008E-2</v>
      </c>
      <c r="J524" s="6">
        <v>1.8165879249572749</v>
      </c>
      <c r="K524" s="6">
        <v>-6.9013714790344002E-2</v>
      </c>
      <c r="L524" s="6">
        <v>2.7774851322174072</v>
      </c>
      <c r="M524" s="6">
        <v>-0.5631024241447451</v>
      </c>
      <c r="N524" s="6">
        <v>0.49194397914499705</v>
      </c>
      <c r="O524" s="6">
        <v>0.49791421415133702</v>
      </c>
      <c r="P524" s="6">
        <v>1.054651405000999</v>
      </c>
      <c r="Q524" s="6">
        <v>0.8344332006552001</v>
      </c>
      <c r="R524" s="6">
        <v>5.2974970141739934</v>
      </c>
      <c r="S524" s="6">
        <v>5.1903896368445324</v>
      </c>
      <c r="T524" s="6">
        <v>20.487083435058594</v>
      </c>
      <c r="U524" s="6">
        <f>_xll.BDP($A524,"TRAILING_12M_R&amp;D_%_SALES",$A$1,$A$2)</f>
        <v>0</v>
      </c>
      <c r="V524" s="6">
        <v>60</v>
      </c>
      <c r="W524" s="6">
        <v>602010</v>
      </c>
      <c r="X524" s="6">
        <v>60201030</v>
      </c>
      <c r="Y524" s="7" t="s">
        <v>307</v>
      </c>
      <c r="Z524" s="7" t="s">
        <v>615</v>
      </c>
      <c r="AA524" s="7" t="s">
        <v>616</v>
      </c>
      <c r="AB524" s="6">
        <v>49.109748840332031</v>
      </c>
      <c r="AC524" s="6">
        <v>0.47336891895057503</v>
      </c>
      <c r="AD524" s="6">
        <v>-29.751304370866237</v>
      </c>
      <c r="AE524" s="6">
        <v>44065</v>
      </c>
      <c r="AF524" s="6">
        <v>17172</v>
      </c>
    </row>
    <row r="525" spans="1:32" s="4" customFormat="1" ht="12.75" x14ac:dyDescent="0.2">
      <c r="A525" s="7" t="s">
        <v>1738</v>
      </c>
      <c r="B525" s="7" t="s">
        <v>1739</v>
      </c>
      <c r="C525" s="7" t="s">
        <v>1740</v>
      </c>
      <c r="D525" s="6">
        <v>-0.664351105690002</v>
      </c>
      <c r="E525" s="6">
        <v>-0.24940943717956501</v>
      </c>
      <c r="F525" s="6">
        <v>0.77325522899627708</v>
      </c>
      <c r="G525" s="6">
        <v>-0.55879557132720903</v>
      </c>
      <c r="H525" s="6">
        <v>-7.2666116058826002E-2</v>
      </c>
      <c r="I525" s="6">
        <v>-0.33383333683013905</v>
      </c>
      <c r="J525" s="6">
        <v>2.6084661483764648</v>
      </c>
      <c r="K525" s="6">
        <v>0.25511813163757302</v>
      </c>
      <c r="L525" s="6">
        <v>1.9756960868835449</v>
      </c>
      <c r="M525" s="6">
        <v>0.30180239677429205</v>
      </c>
      <c r="N525" s="6">
        <v>0.136181040986602</v>
      </c>
      <c r="O525" s="6">
        <v>0.145246004712445</v>
      </c>
      <c r="P525" s="6">
        <v>1.922101512806492</v>
      </c>
      <c r="Q525" s="6">
        <v>1.2876287329532961</v>
      </c>
      <c r="R525" s="6">
        <v>4.577093455960946</v>
      </c>
      <c r="S525" s="6">
        <v>5.2719529743104969</v>
      </c>
      <c r="T525" s="6">
        <v>45.904510498046875</v>
      </c>
      <c r="U525" s="6">
        <f>_xll.BDP($A525,"TRAILING_12M_R&amp;D_%_SALES",$A$1,$A$2)</f>
        <v>3.3007219383111326</v>
      </c>
      <c r="V525" s="6">
        <v>45</v>
      </c>
      <c r="W525" s="6">
        <v>452020</v>
      </c>
      <c r="X525" s="6">
        <v>45202030</v>
      </c>
      <c r="Y525" s="7" t="s">
        <v>66</v>
      </c>
      <c r="Z525" s="7" t="s">
        <v>67</v>
      </c>
      <c r="AA525" s="7" t="s">
        <v>67</v>
      </c>
      <c r="AB525" s="6">
        <v>67.769844055175781</v>
      </c>
      <c r="AC525" s="6">
        <v>0.51708279523318101</v>
      </c>
      <c r="AD525" s="6">
        <v>-24.792471520554727</v>
      </c>
      <c r="AE525" s="6">
        <v>75000</v>
      </c>
      <c r="AF525" s="6">
        <v>52000</v>
      </c>
    </row>
    <row r="526" spans="1:32" s="4" customFormat="1" ht="12.75" x14ac:dyDescent="0.2">
      <c r="A526" s="7" t="s">
        <v>1741</v>
      </c>
      <c r="B526" s="7" t="s">
        <v>1742</v>
      </c>
      <c r="C526" s="7" t="s">
        <v>1743</v>
      </c>
      <c r="D526" s="6">
        <v>-0.664351105690002</v>
      </c>
      <c r="E526" s="6">
        <v>-0.24940943717956501</v>
      </c>
      <c r="F526" s="6">
        <v>0.77325522899627708</v>
      </c>
      <c r="G526" s="6">
        <v>-0.55879557132720903</v>
      </c>
      <c r="H526" s="6">
        <v>-7.2666116058826002E-2</v>
      </c>
      <c r="I526" s="6">
        <v>-0.33383333683013905</v>
      </c>
      <c r="J526" s="6">
        <v>2.6084661483764648</v>
      </c>
      <c r="K526" s="6">
        <v>0.25511813163757302</v>
      </c>
      <c r="L526" s="6">
        <v>1.9756960868835449</v>
      </c>
      <c r="M526" s="6">
        <v>0.30180239677429205</v>
      </c>
      <c r="N526" s="6">
        <v>0.136181040986602</v>
      </c>
      <c r="O526" s="6">
        <v>0.146430581834148</v>
      </c>
      <c r="P526" s="6">
        <v>1.922101512806492</v>
      </c>
      <c r="Q526" s="6"/>
      <c r="R526" s="6">
        <v>4.577093455960946</v>
      </c>
      <c r="S526" s="6">
        <v>5.887623897230033</v>
      </c>
      <c r="T526" s="6">
        <v>45.904510498046875</v>
      </c>
      <c r="U526" s="6">
        <f>_xll.BDP($A526,"TRAILING_12M_R&amp;D_%_SALES",$A$1,$A$2)</f>
        <v>3.3007219383111326</v>
      </c>
      <c r="V526" s="6">
        <v>45</v>
      </c>
      <c r="W526" s="6">
        <v>452020</v>
      </c>
      <c r="X526" s="6">
        <v>45202030</v>
      </c>
      <c r="Y526" s="7" t="s">
        <v>66</v>
      </c>
      <c r="Z526" s="7" t="s">
        <v>67</v>
      </c>
      <c r="AA526" s="7" t="s">
        <v>67</v>
      </c>
      <c r="AB526" s="6">
        <v>67.769844055175781</v>
      </c>
      <c r="AC526" s="6">
        <v>0.72919386900761107</v>
      </c>
      <c r="AD526" s="6">
        <v>-25.077429577237908</v>
      </c>
      <c r="AE526" s="6">
        <v>75000</v>
      </c>
      <c r="AF526" s="6">
        <v>52000</v>
      </c>
    </row>
    <row r="527" spans="1:32" s="4" customFormat="1" ht="12.75" x14ac:dyDescent="0.2">
      <c r="A527" s="7" t="s">
        <v>1744</v>
      </c>
      <c r="B527" s="7" t="s">
        <v>1745</v>
      </c>
      <c r="C527" s="7" t="s">
        <v>1746</v>
      </c>
      <c r="D527" s="6">
        <v>0.20999936759471902</v>
      </c>
      <c r="E527" s="6">
        <v>-0.17344483733177202</v>
      </c>
      <c r="F527" s="6">
        <v>-0.56664544343948409</v>
      </c>
      <c r="G527" s="6">
        <v>-0.19213142991066001</v>
      </c>
      <c r="H527" s="6">
        <v>1.7594469785690312</v>
      </c>
      <c r="I527" s="6">
        <v>-0.21531283855438202</v>
      </c>
      <c r="J527" s="6">
        <v>-8.1256568431854012E-2</v>
      </c>
      <c r="K527" s="6">
        <v>9.5952525734901012E-2</v>
      </c>
      <c r="L527" s="6">
        <v>0.201120465993881</v>
      </c>
      <c r="M527" s="6">
        <v>0.47241646051406905</v>
      </c>
      <c r="N527" s="6">
        <v>1.340672482258757</v>
      </c>
      <c r="O527" s="6">
        <v>1.314292877666974</v>
      </c>
      <c r="P527" s="6"/>
      <c r="Q527" s="6"/>
      <c r="R527" s="6">
        <v>15.003116464818268</v>
      </c>
      <c r="S527" s="6">
        <v>14.228347324644369</v>
      </c>
      <c r="T527" s="6"/>
      <c r="U527" s="6">
        <f>_xll.BDP($A527,"TRAILING_12M_R&amp;D_%_SALES",$A$1,$A$2)</f>
        <v>0</v>
      </c>
      <c r="V527" s="6">
        <v>25</v>
      </c>
      <c r="W527" s="6">
        <v>255040</v>
      </c>
      <c r="X527" s="6">
        <v>25504030</v>
      </c>
      <c r="Y527" s="7" t="s">
        <v>108</v>
      </c>
      <c r="Z527" s="7" t="s">
        <v>388</v>
      </c>
      <c r="AA527" s="7" t="s">
        <v>1371</v>
      </c>
      <c r="AB527" s="6">
        <v>67.206520080566406</v>
      </c>
      <c r="AC527" s="6">
        <v>0.97835442072386702</v>
      </c>
      <c r="AD527" s="6">
        <v>-20.859119107350221</v>
      </c>
      <c r="AE527" s="6">
        <v>200000</v>
      </c>
      <c r="AF527" s="6">
        <v>190000</v>
      </c>
    </row>
    <row r="528" spans="1:32" s="4" customFormat="1" ht="12.75" x14ac:dyDescent="0.2">
      <c r="A528" s="7" t="s">
        <v>1747</v>
      </c>
      <c r="B528" s="7" t="s">
        <v>1748</v>
      </c>
      <c r="C528" s="7" t="s">
        <v>1749</v>
      </c>
      <c r="D528" s="6">
        <v>-0.64646983146667503</v>
      </c>
      <c r="E528" s="6">
        <v>0.90136933326721203</v>
      </c>
      <c r="F528" s="6">
        <v>0.62637311220169101</v>
      </c>
      <c r="G528" s="6">
        <v>0.84399300813674905</v>
      </c>
      <c r="H528" s="6">
        <v>-0.23880396783351901</v>
      </c>
      <c r="I528" s="6">
        <v>-0.64336699247360207</v>
      </c>
      <c r="J528" s="6">
        <v>0.161636233329773</v>
      </c>
      <c r="K528" s="6">
        <v>5.6153215467930007E-2</v>
      </c>
      <c r="L528" s="6">
        <v>1.3698815368116001E-2</v>
      </c>
      <c r="M528" s="6">
        <v>0.48445272445678705</v>
      </c>
      <c r="N528" s="6">
        <v>3.236116072227762</v>
      </c>
      <c r="O528" s="6">
        <v>3.4436173280180409</v>
      </c>
      <c r="P528" s="6">
        <v>7.7325425649409274</v>
      </c>
      <c r="Q528" s="6">
        <v>6.0778361606449174</v>
      </c>
      <c r="R528" s="6">
        <v>12.046422942047966</v>
      </c>
      <c r="S528" s="6">
        <v>13.629371972663478</v>
      </c>
      <c r="T528" s="6">
        <v>73.325233459472656</v>
      </c>
      <c r="U528" s="6">
        <f>_xll.BDP($A528,"TRAILING_12M_R&amp;D_%_SALES",$A$1,$A$2)</f>
        <v>12.341274228383483</v>
      </c>
      <c r="V528" s="6">
        <v>45</v>
      </c>
      <c r="W528" s="6">
        <v>453010</v>
      </c>
      <c r="X528" s="6">
        <v>45301010</v>
      </c>
      <c r="Y528" s="7" t="s">
        <v>66</v>
      </c>
      <c r="Z528" s="7" t="s">
        <v>163</v>
      </c>
      <c r="AA528" s="7" t="s">
        <v>278</v>
      </c>
      <c r="AB528" s="6">
        <v>57.187404632568359</v>
      </c>
      <c r="AC528" s="6">
        <v>1.5281082958764491</v>
      </c>
      <c r="AD528" s="6">
        <v>-40.656595579257001</v>
      </c>
      <c r="AE528" s="6">
        <v>17700</v>
      </c>
      <c r="AF528" s="6">
        <v>9400</v>
      </c>
    </row>
    <row r="529" spans="1:32" s="4" customFormat="1" ht="12.75" x14ac:dyDescent="0.2">
      <c r="A529" s="7" t="s">
        <v>1750</v>
      </c>
      <c r="B529" s="7" t="s">
        <v>1751</v>
      </c>
      <c r="C529" s="7" t="s">
        <v>1752</v>
      </c>
      <c r="D529" s="6">
        <v>-0.99855309724807706</v>
      </c>
      <c r="E529" s="6">
        <v>0.9400526881217961</v>
      </c>
      <c r="F529" s="6">
        <v>0.76530396938324008</v>
      </c>
      <c r="G529" s="6">
        <v>-0.90590476989746105</v>
      </c>
      <c r="H529" s="6">
        <v>-2.3149551823735001E-2</v>
      </c>
      <c r="I529" s="6">
        <v>0.37471851706504805</v>
      </c>
      <c r="J529" s="6">
        <v>0.52219420671463002</v>
      </c>
      <c r="K529" s="6">
        <v>1.3115909881890001E-2</v>
      </c>
      <c r="L529" s="6">
        <v>0.32300099730491605</v>
      </c>
      <c r="M529" s="6">
        <v>-0.20006932318210602</v>
      </c>
      <c r="N529" s="6">
        <v>5.5136215565853757</v>
      </c>
      <c r="O529" s="6"/>
      <c r="P529" s="6">
        <v>0.60752545958912607</v>
      </c>
      <c r="Q529" s="6"/>
      <c r="R529" s="6">
        <v>11.387146406579085</v>
      </c>
      <c r="S529" s="6"/>
      <c r="T529" s="6">
        <v>5.3909788131713867</v>
      </c>
      <c r="U529" s="6" t="str">
        <f>_xll.BDP($A529,"TRAILING_12M_R&amp;D_%_SALES",$A$1,$A$2)</f>
        <v>#N/A N/A</v>
      </c>
      <c r="V529" s="6">
        <v>60</v>
      </c>
      <c r="W529" s="6">
        <v>601010</v>
      </c>
      <c r="X529" s="6">
        <v>60101010</v>
      </c>
      <c r="Y529" s="7" t="s">
        <v>307</v>
      </c>
      <c r="Z529" s="7" t="s">
        <v>1753</v>
      </c>
      <c r="AA529" s="7" t="s">
        <v>1753</v>
      </c>
      <c r="AB529" s="6">
        <v>64.731918334960938</v>
      </c>
      <c r="AC529" s="6"/>
      <c r="AD529" s="6"/>
      <c r="AE529" s="6">
        <v>578</v>
      </c>
      <c r="AF529" s="6">
        <v>638</v>
      </c>
    </row>
    <row r="530" spans="1:32" s="4" customFormat="1" ht="12.75" x14ac:dyDescent="0.2">
      <c r="A530" s="7" t="s">
        <v>1754</v>
      </c>
      <c r="B530" s="7" t="s">
        <v>1755</v>
      </c>
      <c r="C530" s="7" t="s">
        <v>1756</v>
      </c>
      <c r="D530" s="6">
        <v>-0.27022993564605702</v>
      </c>
      <c r="E530" s="6">
        <v>-0.63747006654739402</v>
      </c>
      <c r="F530" s="6">
        <v>1.139124989509583</v>
      </c>
      <c r="G530" s="6">
        <v>-0.97254610061645508</v>
      </c>
      <c r="H530" s="6">
        <v>0.92861390113830611</v>
      </c>
      <c r="I530" s="6">
        <v>-0.22387821972370101</v>
      </c>
      <c r="J530" s="6">
        <v>-0.79002916812896706</v>
      </c>
      <c r="K530" s="6">
        <v>0.298636674880981</v>
      </c>
      <c r="L530" s="6">
        <v>-0.48930212855339106</v>
      </c>
      <c r="M530" s="6">
        <v>-0.55878639221191406</v>
      </c>
      <c r="N530" s="6">
        <v>1.882171681054861</v>
      </c>
      <c r="O530" s="6"/>
      <c r="P530" s="6">
        <v>3.5562347423615162</v>
      </c>
      <c r="Q530" s="6"/>
      <c r="R530" s="6">
        <v>33.800033702365582</v>
      </c>
      <c r="S530" s="6"/>
      <c r="T530" s="6">
        <v>10.954686164855957</v>
      </c>
      <c r="U530" s="6" t="str">
        <f>_xll.BDP($A530,"TRAILING_12M_R&amp;D_%_SALES",$A$1,$A$2)</f>
        <v>#N/A N/A</v>
      </c>
      <c r="V530" s="6">
        <v>20</v>
      </c>
      <c r="W530" s="6">
        <v>201030</v>
      </c>
      <c r="X530" s="6">
        <v>20103010</v>
      </c>
      <c r="Y530" s="7" t="s">
        <v>43</v>
      </c>
      <c r="Z530" s="7" t="s">
        <v>143</v>
      </c>
      <c r="AA530" s="7" t="s">
        <v>143</v>
      </c>
      <c r="AB530" s="6"/>
      <c r="AC530" s="6"/>
      <c r="AD530" s="6"/>
      <c r="AE530" s="6">
        <v>45615</v>
      </c>
      <c r="AF530" s="6"/>
    </row>
    <row r="531" spans="1:32" s="4" customFormat="1" ht="12.75" x14ac:dyDescent="0.2">
      <c r="A531" s="7" t="s">
        <v>1757</v>
      </c>
      <c r="B531" s="7" t="s">
        <v>1755</v>
      </c>
      <c r="C531" s="7" t="s">
        <v>1758</v>
      </c>
      <c r="D531" s="6">
        <v>-0.53015315532684304</v>
      </c>
      <c r="E531" s="6">
        <v>-0.63744902610778809</v>
      </c>
      <c r="F531" s="6">
        <v>0.27169683575630205</v>
      </c>
      <c r="G531" s="6">
        <v>-0.97643977403640703</v>
      </c>
      <c r="H531" s="6">
        <v>0.145914271473885</v>
      </c>
      <c r="I531" s="6">
        <v>0.52391982078552202</v>
      </c>
      <c r="J531" s="6">
        <v>-0.10007751733064701</v>
      </c>
      <c r="K531" s="6">
        <v>-0.43180218338966403</v>
      </c>
      <c r="L531" s="6">
        <v>-0.31413355469703702</v>
      </c>
      <c r="M531" s="6">
        <v>-0.554240882396698</v>
      </c>
      <c r="N531" s="6">
        <v>1.882171681054861</v>
      </c>
      <c r="O531" s="6">
        <v>1.585198627963009</v>
      </c>
      <c r="P531" s="6">
        <v>3.5562347423615162</v>
      </c>
      <c r="Q531" s="6"/>
      <c r="R531" s="6">
        <v>33.800033702365582</v>
      </c>
      <c r="S531" s="6">
        <v>23.349863464153835</v>
      </c>
      <c r="T531" s="6">
        <v>10.954686164855957</v>
      </c>
      <c r="U531" s="6" t="str">
        <f>_xll.BDP($A531,"TRAILING_12M_R&amp;D_%_SALES",$A$1,$A$2)</f>
        <v>#N/A N/A</v>
      </c>
      <c r="V531" s="6">
        <v>20</v>
      </c>
      <c r="W531" s="6">
        <v>201030</v>
      </c>
      <c r="X531" s="6">
        <v>20103010</v>
      </c>
      <c r="Y531" s="7" t="s">
        <v>43</v>
      </c>
      <c r="Z531" s="7" t="s">
        <v>143</v>
      </c>
      <c r="AA531" s="7" t="s">
        <v>143</v>
      </c>
      <c r="AB531" s="6"/>
      <c r="AC531" s="6">
        <v>0.44783273038037302</v>
      </c>
      <c r="AD531" s="6">
        <v>13.960873825749399</v>
      </c>
      <c r="AE531" s="6">
        <v>45615</v>
      </c>
      <c r="AF531" s="6"/>
    </row>
    <row r="532" spans="1:32" s="4" customFormat="1" ht="12.75" x14ac:dyDescent="0.2">
      <c r="A532" s="7" t="s">
        <v>1759</v>
      </c>
      <c r="B532" s="7" t="s">
        <v>1760</v>
      </c>
      <c r="C532" s="7" t="s">
        <v>1761</v>
      </c>
      <c r="D532" s="6">
        <v>4.2231544852257004E-2</v>
      </c>
      <c r="E532" s="6">
        <v>-0.42921382188797003</v>
      </c>
      <c r="F532" s="6">
        <v>1.183748602867126</v>
      </c>
      <c r="G532" s="6">
        <v>-0.98792141675949108</v>
      </c>
      <c r="H532" s="6">
        <v>-0.65819972753524802</v>
      </c>
      <c r="I532" s="6">
        <v>-0.78351342678070102</v>
      </c>
      <c r="J532" s="6">
        <v>3.0000064373016362</v>
      </c>
      <c r="K532" s="6">
        <v>-1.9632564783096311</v>
      </c>
      <c r="L532" s="6">
        <v>3.000003576278687</v>
      </c>
      <c r="M532" s="6">
        <v>7.1037940680981002E-2</v>
      </c>
      <c r="N532" s="6">
        <v>0.28811820208421801</v>
      </c>
      <c r="O532" s="6"/>
      <c r="P532" s="6">
        <v>0.58660156748642001</v>
      </c>
      <c r="Q532" s="6"/>
      <c r="R532" s="6">
        <v>3.434813259958406</v>
      </c>
      <c r="S532" s="6"/>
      <c r="T532" s="6">
        <v>17.907796859741211</v>
      </c>
      <c r="U532" s="6" t="str">
        <f>_xll.BDP($A532,"TRAILING_12M_R&amp;D_%_SALES",$A$1,$A$2)</f>
        <v>#N/A N/A</v>
      </c>
      <c r="V532" s="6">
        <v>10</v>
      </c>
      <c r="W532" s="6">
        <v>101020</v>
      </c>
      <c r="X532" s="6">
        <v>10102010</v>
      </c>
      <c r="Y532" s="7" t="s">
        <v>505</v>
      </c>
      <c r="Z532" s="7" t="s">
        <v>556</v>
      </c>
      <c r="AA532" s="7" t="s">
        <v>557</v>
      </c>
      <c r="AB532" s="6">
        <v>68.926666259765625</v>
      </c>
      <c r="AC532" s="6">
        <v>1.2337811371760861</v>
      </c>
      <c r="AD532" s="6"/>
      <c r="AE532" s="6"/>
      <c r="AF532" s="6"/>
    </row>
    <row r="533" spans="1:32" s="4" customFormat="1" ht="12.75" x14ac:dyDescent="0.2">
      <c r="A533" s="7" t="s">
        <v>1762</v>
      </c>
      <c r="B533" s="7" t="s">
        <v>1763</v>
      </c>
      <c r="C533" s="7" t="s">
        <v>1764</v>
      </c>
      <c r="D533" s="6">
        <v>-0.75603890419006303</v>
      </c>
      <c r="E533" s="6">
        <v>-0.94055533409118708</v>
      </c>
      <c r="F533" s="6">
        <v>0.43410876393318204</v>
      </c>
      <c r="G533" s="6">
        <v>0.85216510295867909</v>
      </c>
      <c r="H533" s="6">
        <v>0.31770145893096902</v>
      </c>
      <c r="I533" s="6">
        <v>-0.16981258988380402</v>
      </c>
      <c r="J533" s="6">
        <v>0.64586246013641402</v>
      </c>
      <c r="K533" s="6">
        <v>-0.76986587047576904</v>
      </c>
      <c r="L533" s="6">
        <v>0.26774796843528703</v>
      </c>
      <c r="M533" s="6">
        <v>0.14439497888088201</v>
      </c>
      <c r="N533" s="6">
        <v>0.87920660819334806</v>
      </c>
      <c r="O533" s="6">
        <v>0.73961517779138808</v>
      </c>
      <c r="P533" s="6">
        <v>1.830064822831968</v>
      </c>
      <c r="Q533" s="6">
        <v>1.5410159045152141</v>
      </c>
      <c r="R533" s="6">
        <v>20.8026207474873</v>
      </c>
      <c r="S533" s="6">
        <v>10.565016012126515</v>
      </c>
      <c r="T533" s="6">
        <v>7.811467170715332</v>
      </c>
      <c r="U533" s="6">
        <f>_xll.BDP($A533,"TRAILING_12M_R&amp;D_%_SALES",$A$1,$A$2)</f>
        <v>0</v>
      </c>
      <c r="V533" s="6">
        <v>20</v>
      </c>
      <c r="W533" s="6">
        <v>203020</v>
      </c>
      <c r="X533" s="6">
        <v>20302010</v>
      </c>
      <c r="Y533" s="7" t="s">
        <v>43</v>
      </c>
      <c r="Z533" s="7" t="s">
        <v>62</v>
      </c>
      <c r="AA533" s="7" t="s">
        <v>62</v>
      </c>
      <c r="AB533" s="6">
        <v>66.361534118652344</v>
      </c>
      <c r="AC533" s="6">
        <v>0.99511935218184011</v>
      </c>
      <c r="AD533" s="6">
        <v>-21.184463467131099</v>
      </c>
      <c r="AE533" s="6">
        <v>55093</v>
      </c>
      <c r="AF533" s="6">
        <v>53536</v>
      </c>
    </row>
    <row r="534" spans="1:32" s="4" customFormat="1" ht="12.75" x14ac:dyDescent="0.2">
      <c r="A534" s="7" t="s">
        <v>1765</v>
      </c>
      <c r="B534" s="7" t="s">
        <v>1766</v>
      </c>
      <c r="C534" s="7" t="s">
        <v>1767</v>
      </c>
      <c r="D534" s="6">
        <v>-0.46619111299514804</v>
      </c>
      <c r="E534" s="6">
        <v>-0.22907283902168302</v>
      </c>
      <c r="F534" s="6">
        <v>0.46859323978424106</v>
      </c>
      <c r="G534" s="6">
        <v>-2.3565938696265002E-2</v>
      </c>
      <c r="H534" s="6">
        <v>0.42346376180648804</v>
      </c>
      <c r="I534" s="6">
        <v>0.30518916249275202</v>
      </c>
      <c r="J534" s="6">
        <v>1.3971706628799441</v>
      </c>
      <c r="K534" s="6">
        <v>-0.66332638263702404</v>
      </c>
      <c r="L534" s="6">
        <v>1.995212316513062</v>
      </c>
      <c r="M534" s="6">
        <v>0.43885576725006104</v>
      </c>
      <c r="N534" s="6">
        <v>0.51388894233909999</v>
      </c>
      <c r="O534" s="6">
        <v>0.57644081201872099</v>
      </c>
      <c r="P534" s="6">
        <v>2.2177413266028201</v>
      </c>
      <c r="Q534" s="6">
        <v>2.190795204990414</v>
      </c>
      <c r="R534" s="6">
        <v>5.4966610464425427</v>
      </c>
      <c r="S534" s="6">
        <v>8.6867855876777575</v>
      </c>
      <c r="T534" s="6">
        <v>35.471633911132813</v>
      </c>
      <c r="U534" s="6">
        <f>_xll.BDP($A534,"TRAILING_12M_R&amp;D_%_SALES",$A$1,$A$2)</f>
        <v>0.33497096918267083</v>
      </c>
      <c r="V534" s="6">
        <v>15</v>
      </c>
      <c r="W534" s="6">
        <v>151010</v>
      </c>
      <c r="X534" s="6">
        <v>15101010</v>
      </c>
      <c r="Y534" s="7" t="s">
        <v>38</v>
      </c>
      <c r="Z534" s="7" t="s">
        <v>48</v>
      </c>
      <c r="AA534" s="7" t="s">
        <v>998</v>
      </c>
      <c r="AB534" s="6">
        <v>70.304794311523438</v>
      </c>
      <c r="AC534" s="6">
        <v>0.89802077551095905</v>
      </c>
      <c r="AD534" s="6">
        <v>-0.79247274413548607</v>
      </c>
      <c r="AE534" s="6">
        <v>19100</v>
      </c>
      <c r="AF534" s="6">
        <v>13000</v>
      </c>
    </row>
    <row r="535" spans="1:32" s="4" customFormat="1" ht="12.75" x14ac:dyDescent="0.2">
      <c r="A535" s="7" t="s">
        <v>1768</v>
      </c>
      <c r="B535" s="7" t="s">
        <v>1769</v>
      </c>
      <c r="C535" s="7" t="s">
        <v>1770</v>
      </c>
      <c r="D535" s="6">
        <v>0.36788216233253501</v>
      </c>
      <c r="E535" s="6">
        <v>-0.86816257238388106</v>
      </c>
      <c r="F535" s="6">
        <v>1.4078871011734011</v>
      </c>
      <c r="G535" s="6">
        <v>-0.85401886701583907</v>
      </c>
      <c r="H535" s="6">
        <v>1.039827346801758</v>
      </c>
      <c r="I535" s="6">
        <v>0.29856008291244501</v>
      </c>
      <c r="J535" s="6">
        <v>2.275051355361938</v>
      </c>
      <c r="K535" s="6">
        <v>-0.90274137258529707</v>
      </c>
      <c r="L535" s="6">
        <v>1.4172676801681521</v>
      </c>
      <c r="M535" s="6">
        <v>-0.88285177946090709</v>
      </c>
      <c r="N535" s="6">
        <v>1.8569862417022041</v>
      </c>
      <c r="O535" s="6">
        <v>1.637015443600109</v>
      </c>
      <c r="P535" s="6">
        <v>0.76640186844905811</v>
      </c>
      <c r="Q535" s="6">
        <v>0.72405899418174002</v>
      </c>
      <c r="R535" s="6">
        <v>7.6928287364285692</v>
      </c>
      <c r="S535" s="6">
        <v>6.3959070555456687</v>
      </c>
      <c r="T535" s="6">
        <v>9.1149835586547852</v>
      </c>
      <c r="U535" s="6" t="str">
        <f>_xll.BDP($A535,"TRAILING_12M_R&amp;D_%_SALES",$A$1,$A$2)</f>
        <v>#N/A N/A</v>
      </c>
      <c r="V535" s="6">
        <v>40</v>
      </c>
      <c r="W535" s="6">
        <v>401010</v>
      </c>
      <c r="X535" s="6">
        <v>40101010</v>
      </c>
      <c r="Y535" s="7" t="s">
        <v>53</v>
      </c>
      <c r="Z535" s="7" t="s">
        <v>76</v>
      </c>
      <c r="AA535" s="7" t="s">
        <v>77</v>
      </c>
      <c r="AB535" s="6">
        <v>60.416458129882813</v>
      </c>
      <c r="AC535" s="6">
        <v>0.99981842501333107</v>
      </c>
      <c r="AD535" s="6">
        <v>-9.3664835884765818</v>
      </c>
      <c r="AE535" s="6">
        <v>57955</v>
      </c>
      <c r="AF535" s="6">
        <v>70433</v>
      </c>
    </row>
    <row r="536" spans="1:32" s="4" customFormat="1" ht="12.75" x14ac:dyDescent="0.2">
      <c r="A536" s="7" t="s">
        <v>1771</v>
      </c>
      <c r="B536" s="7" t="s">
        <v>1772</v>
      </c>
      <c r="C536" s="7" t="s">
        <v>1773</v>
      </c>
      <c r="D536" s="6">
        <v>0.15560233592987102</v>
      </c>
      <c r="E536" s="6">
        <v>2.6994402408599849</v>
      </c>
      <c r="F536" s="6">
        <v>0.52296322584152199</v>
      </c>
      <c r="G536" s="6">
        <v>-0.60398542881012007</v>
      </c>
      <c r="H536" s="6">
        <v>0.22409509122371701</v>
      </c>
      <c r="I536" s="6">
        <v>0.39060536026954701</v>
      </c>
      <c r="J536" s="6">
        <v>-0.53612273931503307</v>
      </c>
      <c r="K536" s="6">
        <v>0.41167482733726501</v>
      </c>
      <c r="L536" s="6">
        <v>-0.49382883310318004</v>
      </c>
      <c r="M536" s="6">
        <v>6.7890211939812012E-2</v>
      </c>
      <c r="N536" s="6">
        <v>15.645058012907318</v>
      </c>
      <c r="O536" s="6">
        <v>13.338760483852981</v>
      </c>
      <c r="P536" s="6">
        <v>52.643292834347633</v>
      </c>
      <c r="Q536" s="6">
        <v>34.470969058300575</v>
      </c>
      <c r="R536" s="6">
        <v>34.101318054293259</v>
      </c>
      <c r="S536" s="6">
        <v>28.644461189225453</v>
      </c>
      <c r="T536" s="6">
        <v>149.78567504882813</v>
      </c>
      <c r="U536" s="6" t="str">
        <f>_xll.BDP($A536,"TRAILING_12M_R&amp;D_%_SALES",$A$1,$A$2)</f>
        <v>#N/A N/A</v>
      </c>
      <c r="V536" s="6">
        <v>40</v>
      </c>
      <c r="W536" s="6">
        <v>402010</v>
      </c>
      <c r="X536" s="6">
        <v>40201060</v>
      </c>
      <c r="Y536" s="7" t="s">
        <v>53</v>
      </c>
      <c r="Z536" s="7" t="s">
        <v>344</v>
      </c>
      <c r="AA536" s="7" t="s">
        <v>579</v>
      </c>
      <c r="AB536" s="6">
        <v>56.603961944580078</v>
      </c>
      <c r="AC536" s="6">
        <v>1.066416973897883</v>
      </c>
      <c r="AD536" s="6">
        <v>-3.1059964937797608</v>
      </c>
      <c r="AE536" s="6">
        <v>24000</v>
      </c>
      <c r="AF536" s="6">
        <v>11900</v>
      </c>
    </row>
    <row r="537" spans="1:32" s="4" customFormat="1" ht="12.75" x14ac:dyDescent="0.2">
      <c r="A537" s="7" t="s">
        <v>1774</v>
      </c>
      <c r="B537" s="7" t="s">
        <v>1775</v>
      </c>
      <c r="C537" s="7" t="s">
        <v>1776</v>
      </c>
      <c r="D537" s="6">
        <v>-0.97779434919357311</v>
      </c>
      <c r="E537" s="6">
        <v>-0.46419516205787703</v>
      </c>
      <c r="F537" s="6">
        <v>0.55236804485321001</v>
      </c>
      <c r="G537" s="6">
        <v>-0.72399306297302202</v>
      </c>
      <c r="H537" s="6">
        <v>0.42449563741684004</v>
      </c>
      <c r="I537" s="6">
        <v>1.211525559425354</v>
      </c>
      <c r="J537" s="6">
        <v>0.15260198712348902</v>
      </c>
      <c r="K537" s="6">
        <v>-0.36956566572189303</v>
      </c>
      <c r="L537" s="6">
        <v>-0.36988621950149503</v>
      </c>
      <c r="M537" s="6">
        <v>-0.27841237187385603</v>
      </c>
      <c r="N537" s="6">
        <v>1.5390724713925552</v>
      </c>
      <c r="O537" s="6"/>
      <c r="P537" s="6">
        <v>3.172135893115489</v>
      </c>
      <c r="Q537" s="6"/>
      <c r="R537" s="6">
        <v>21.101350254608487</v>
      </c>
      <c r="S537" s="6"/>
      <c r="T537" s="6">
        <v>14.82972240447998</v>
      </c>
      <c r="U537" s="6" t="str">
        <f>_xll.BDP($A537,"TRAILING_12M_R&amp;D_%_SALES",$A$1,$A$2)</f>
        <v>#N/A N/A</v>
      </c>
      <c r="V537" s="6">
        <v>25</v>
      </c>
      <c r="W537" s="6">
        <v>251020</v>
      </c>
      <c r="X537" s="6">
        <v>25102010</v>
      </c>
      <c r="Y537" s="7" t="s">
        <v>108</v>
      </c>
      <c r="Z537" s="7" t="s">
        <v>422</v>
      </c>
      <c r="AA537" s="7" t="s">
        <v>423</v>
      </c>
      <c r="AB537" s="6"/>
      <c r="AC537" s="6">
        <v>0.36266792388157304</v>
      </c>
      <c r="AD537" s="6">
        <v>40.443777023134395</v>
      </c>
      <c r="AE537" s="6">
        <v>21297</v>
      </c>
      <c r="AF537" s="6">
        <v>20366</v>
      </c>
    </row>
    <row r="538" spans="1:32" s="4" customFormat="1" ht="12.75" x14ac:dyDescent="0.2">
      <c r="A538" s="7" t="s">
        <v>1777</v>
      </c>
      <c r="B538" s="7" t="s">
        <v>1778</v>
      </c>
      <c r="C538" s="7" t="s">
        <v>1779</v>
      </c>
      <c r="D538" s="6">
        <v>-0.61113566160202004</v>
      </c>
      <c r="E538" s="6">
        <v>1.175025939941406</v>
      </c>
      <c r="F538" s="6">
        <v>0.76059198379516602</v>
      </c>
      <c r="G538" s="6">
        <v>6.13367650658E-4</v>
      </c>
      <c r="H538" s="6">
        <v>0.85658556222915605</v>
      </c>
      <c r="I538" s="6">
        <v>0.34586066007614102</v>
      </c>
      <c r="J538" s="6">
        <v>-0.24003958702087402</v>
      </c>
      <c r="K538" s="6">
        <v>-0.90835165977478005</v>
      </c>
      <c r="L538" s="6">
        <v>-0.28420156240463301</v>
      </c>
      <c r="M538" s="6">
        <v>-0.18698686361312902</v>
      </c>
      <c r="N538" s="6">
        <v>2.5236057731980091</v>
      </c>
      <c r="O538" s="6">
        <v>2.0975261434970291</v>
      </c>
      <c r="P538" s="6">
        <v>44.723018962078349</v>
      </c>
      <c r="Q538" s="6">
        <v>126.99625937614078</v>
      </c>
      <c r="R538" s="6">
        <v>22.405069274489005</v>
      </c>
      <c r="S538" s="6">
        <v>19.598200781489115</v>
      </c>
      <c r="T538" s="6">
        <v>217.36495971679688</v>
      </c>
      <c r="U538" s="6">
        <f>_xll.BDP($A538,"TRAILING_12M_R&amp;D_%_SALES",$A$1,$A$2)</f>
        <v>0</v>
      </c>
      <c r="V538" s="6">
        <v>25</v>
      </c>
      <c r="W538" s="6">
        <v>253010</v>
      </c>
      <c r="X538" s="6">
        <v>25301020</v>
      </c>
      <c r="Y538" s="7" t="s">
        <v>108</v>
      </c>
      <c r="Z538" s="7" t="s">
        <v>109</v>
      </c>
      <c r="AA538" s="7" t="s">
        <v>110</v>
      </c>
      <c r="AB538" s="6">
        <v>62.066192626953125</v>
      </c>
      <c r="AC538" s="6">
        <v>1.0695935134165739</v>
      </c>
      <c r="AD538" s="6">
        <v>-9.1357299267184171</v>
      </c>
      <c r="AE538" s="6">
        <v>120000</v>
      </c>
      <c r="AF538" s="6">
        <v>226500</v>
      </c>
    </row>
    <row r="539" spans="1:32" s="4" customFormat="1" ht="12.75" x14ac:dyDescent="0.2">
      <c r="A539" s="7" t="s">
        <v>1780</v>
      </c>
      <c r="B539" s="7" t="s">
        <v>1781</v>
      </c>
      <c r="C539" s="7" t="s">
        <v>1782</v>
      </c>
      <c r="D539" s="6">
        <v>-0.32078638672828702</v>
      </c>
      <c r="E539" s="6">
        <v>-0.44679081439971902</v>
      </c>
      <c r="F539" s="6">
        <v>2.3524184226989751</v>
      </c>
      <c r="G539" s="6">
        <v>-0.49610951542854304</v>
      </c>
      <c r="H539" s="6">
        <v>0.44905334711074801</v>
      </c>
      <c r="I539" s="6">
        <v>1.414415597915649</v>
      </c>
      <c r="J539" s="6">
        <v>1.6501256227493291</v>
      </c>
      <c r="K539" s="6">
        <v>-1.047338604927063</v>
      </c>
      <c r="L539" s="6">
        <v>1.5513530969619751</v>
      </c>
      <c r="M539" s="6">
        <v>-0.35262978076934803</v>
      </c>
      <c r="N539" s="6">
        <v>0.26042353110821803</v>
      </c>
      <c r="O539" s="6">
        <v>0.28006871941093003</v>
      </c>
      <c r="P539" s="6">
        <v>0.95432425100469909</v>
      </c>
      <c r="Q539" s="6">
        <v>0.8768773929015351</v>
      </c>
      <c r="R539" s="6">
        <v>4.9209081926010878</v>
      </c>
      <c r="S539" s="6">
        <v>5.7407426359497986</v>
      </c>
      <c r="T539" s="6">
        <v>23.868326187133789</v>
      </c>
      <c r="U539" s="6">
        <f>_xll.BDP($A539,"TRAILING_12M_R&amp;D_%_SALES",$A$1,$A$2)</f>
        <v>0</v>
      </c>
      <c r="V539" s="6">
        <v>20</v>
      </c>
      <c r="W539" s="6">
        <v>201070</v>
      </c>
      <c r="X539" s="6">
        <v>20107010</v>
      </c>
      <c r="Y539" s="7" t="s">
        <v>43</v>
      </c>
      <c r="Z539" s="7" t="s">
        <v>44</v>
      </c>
      <c r="AA539" s="7" t="s">
        <v>44</v>
      </c>
      <c r="AB539" s="6">
        <v>52.892063140869141</v>
      </c>
      <c r="AC539" s="6">
        <v>0.45161585606978405</v>
      </c>
      <c r="AD539" s="6">
        <v>27.480241606662492</v>
      </c>
      <c r="AE539" s="6">
        <v>46100</v>
      </c>
      <c r="AF539" s="6">
        <v>39952</v>
      </c>
    </row>
    <row r="540" spans="1:32" s="4" customFormat="1" ht="12.75" x14ac:dyDescent="0.2">
      <c r="A540" s="7" t="s">
        <v>1783</v>
      </c>
      <c r="B540" s="7" t="s">
        <v>1784</v>
      </c>
      <c r="C540" s="7" t="s">
        <v>1785</v>
      </c>
      <c r="D540" s="6">
        <v>-0.32078638672828702</v>
      </c>
      <c r="E540" s="6">
        <v>-0.44679081439971902</v>
      </c>
      <c r="F540" s="6">
        <v>2.3524184226989751</v>
      </c>
      <c r="G540" s="6">
        <v>-0.49610951542854304</v>
      </c>
      <c r="H540" s="6">
        <v>0.44905334711074801</v>
      </c>
      <c r="I540" s="6">
        <v>1.414415597915649</v>
      </c>
      <c r="J540" s="6">
        <v>1.6501256227493291</v>
      </c>
      <c r="K540" s="6">
        <v>-1.047338604927063</v>
      </c>
      <c r="L540" s="6">
        <v>1.5513530969619751</v>
      </c>
      <c r="M540" s="6">
        <v>-0.35262978076934803</v>
      </c>
      <c r="N540" s="6">
        <v>0.26042353110821803</v>
      </c>
      <c r="O540" s="6">
        <v>0.26958085942347904</v>
      </c>
      <c r="P540" s="6">
        <v>0.95432425100469909</v>
      </c>
      <c r="Q540" s="6"/>
      <c r="R540" s="6">
        <v>4.9209081926010878</v>
      </c>
      <c r="S540" s="6">
        <v>4.8162166557650794</v>
      </c>
      <c r="T540" s="6">
        <v>23.868326187133789</v>
      </c>
      <c r="U540" s="6">
        <f>_xll.BDP($A540,"TRAILING_12M_R&amp;D_%_SALES",$A$1,$A$2)</f>
        <v>0</v>
      </c>
      <c r="V540" s="6">
        <v>20</v>
      </c>
      <c r="W540" s="6">
        <v>201070</v>
      </c>
      <c r="X540" s="6">
        <v>20107010</v>
      </c>
      <c r="Y540" s="7" t="s">
        <v>43</v>
      </c>
      <c r="Z540" s="7" t="s">
        <v>44</v>
      </c>
      <c r="AA540" s="7" t="s">
        <v>44</v>
      </c>
      <c r="AB540" s="6">
        <v>52.892063140869141</v>
      </c>
      <c r="AC540" s="6">
        <v>0.590464805534478</v>
      </c>
      <c r="AD540" s="6">
        <v>23.134774748794751</v>
      </c>
      <c r="AE540" s="6">
        <v>46100</v>
      </c>
      <c r="AF540" s="6">
        <v>39952</v>
      </c>
    </row>
    <row r="541" spans="1:32" s="4" customFormat="1" ht="12.75" x14ac:dyDescent="0.2">
      <c r="A541" s="7" t="s">
        <v>1786</v>
      </c>
      <c r="B541" s="7" t="s">
        <v>1787</v>
      </c>
      <c r="C541" s="7" t="s">
        <v>1788</v>
      </c>
      <c r="D541" s="6">
        <v>1.073394775390625</v>
      </c>
      <c r="E541" s="6">
        <v>-1.038085460662842</v>
      </c>
      <c r="F541" s="6">
        <v>0.86309105157852206</v>
      </c>
      <c r="G541" s="6">
        <v>-0.49575147032737704</v>
      </c>
      <c r="H541" s="6">
        <v>1.1459188461303711</v>
      </c>
      <c r="I541" s="6">
        <v>0.82260537147522006</v>
      </c>
      <c r="J541" s="6">
        <v>0.94930541515350308</v>
      </c>
      <c r="K541" s="6">
        <v>-1.0754907131195071</v>
      </c>
      <c r="L541" s="6">
        <v>0.91231244802475009</v>
      </c>
      <c r="M541" s="6">
        <v>-0.98587673902511608</v>
      </c>
      <c r="N541" s="6">
        <v>1.8472442330712451</v>
      </c>
      <c r="O541" s="6">
        <v>2.6932800470513589</v>
      </c>
      <c r="P541" s="6">
        <v>0.64953762944373306</v>
      </c>
      <c r="Q541" s="6">
        <v>0.60186608628289007</v>
      </c>
      <c r="R541" s="6">
        <v>19.396081868303657</v>
      </c>
      <c r="S541" s="6">
        <v>9.4781648326810721</v>
      </c>
      <c r="T541" s="6">
        <v>3.353424072265625</v>
      </c>
      <c r="U541" s="6" t="str">
        <f>_xll.BDP($A541,"TRAILING_12M_R&amp;D_%_SALES",$A$1,$A$2)</f>
        <v>#N/A N/A</v>
      </c>
      <c r="V541" s="6">
        <v>40</v>
      </c>
      <c r="W541" s="6">
        <v>401010</v>
      </c>
      <c r="X541" s="6">
        <v>40101010</v>
      </c>
      <c r="Y541" s="7" t="s">
        <v>53</v>
      </c>
      <c r="Z541" s="7" t="s">
        <v>76</v>
      </c>
      <c r="AA541" s="7" t="s">
        <v>77</v>
      </c>
      <c r="AB541" s="6">
        <v>60.979782104492188</v>
      </c>
      <c r="AC541" s="6">
        <v>0.45561813386500605</v>
      </c>
      <c r="AD541" s="6">
        <v>33.761423886581142</v>
      </c>
      <c r="AE541" s="6">
        <v>135049</v>
      </c>
      <c r="AF541" s="6">
        <v>115275</v>
      </c>
    </row>
    <row r="542" spans="1:32" s="4" customFormat="1" ht="12.75" x14ac:dyDescent="0.2">
      <c r="A542" s="7" t="s">
        <v>1789</v>
      </c>
      <c r="B542" s="7" t="s">
        <v>1790</v>
      </c>
      <c r="C542" s="7" t="s">
        <v>1791</v>
      </c>
      <c r="D542" s="6">
        <v>0.60153836011886608</v>
      </c>
      <c r="E542" s="6">
        <v>-0.58928006887435902</v>
      </c>
      <c r="F542" s="6">
        <v>1.376826167106628</v>
      </c>
      <c r="G542" s="6">
        <v>-0.73877996206283603</v>
      </c>
      <c r="H542" s="6">
        <v>1.1056699752807619</v>
      </c>
      <c r="I542" s="6">
        <v>0.19103223085403401</v>
      </c>
      <c r="J542" s="6">
        <v>2.024250984191895</v>
      </c>
      <c r="K542" s="6">
        <v>-1.1004130840301509</v>
      </c>
      <c r="L542" s="6">
        <v>3.00003981590271</v>
      </c>
      <c r="M542" s="6">
        <v>-0.32007268071174605</v>
      </c>
      <c r="N542" s="6">
        <v>0.51818556777633107</v>
      </c>
      <c r="O542" s="6">
        <v>0.43520801172471202</v>
      </c>
      <c r="P542" s="6">
        <v>0.80504116224601108</v>
      </c>
      <c r="Q542" s="6">
        <v>0.75890091641791602</v>
      </c>
      <c r="R542" s="6">
        <v>5.77856469461023</v>
      </c>
      <c r="S542" s="6">
        <v>5.3140275566893838</v>
      </c>
      <c r="T542" s="6">
        <v>29.841634750366211</v>
      </c>
      <c r="U542" s="6">
        <f>_xll.BDP($A542,"TRAILING_12M_R&amp;D_%_SALES",$A$1,$A$2)</f>
        <v>6.6733519238430157</v>
      </c>
      <c r="V542" s="6">
        <v>25</v>
      </c>
      <c r="W542" s="6">
        <v>251020</v>
      </c>
      <c r="X542" s="6">
        <v>25102010</v>
      </c>
      <c r="Y542" s="7" t="s">
        <v>108</v>
      </c>
      <c r="Z542" s="7" t="s">
        <v>422</v>
      </c>
      <c r="AA542" s="7" t="s">
        <v>423</v>
      </c>
      <c r="AB542" s="6">
        <v>72.306610107421875</v>
      </c>
      <c r="AC542" s="6">
        <v>1.043434256566701</v>
      </c>
      <c r="AD542" s="6">
        <v>-7.8625501283910211</v>
      </c>
      <c r="AE542" s="6">
        <v>172425</v>
      </c>
      <c r="AF542" s="6">
        <v>282488</v>
      </c>
    </row>
    <row r="543" spans="1:32" s="4" customFormat="1" ht="12.75" x14ac:dyDescent="0.2">
      <c r="A543" s="7" t="s">
        <v>1792</v>
      </c>
      <c r="B543" s="7" t="s">
        <v>1793</v>
      </c>
      <c r="C543" s="7" t="s">
        <v>1794</v>
      </c>
      <c r="D543" s="6">
        <v>0.60153836011886608</v>
      </c>
      <c r="E543" s="6">
        <v>-0.58928006887435902</v>
      </c>
      <c r="F543" s="6">
        <v>1.376826167106628</v>
      </c>
      <c r="G543" s="6">
        <v>-0.73877996206283603</v>
      </c>
      <c r="H543" s="6">
        <v>1.1056699752807619</v>
      </c>
      <c r="I543" s="6">
        <v>0.19103223085403401</v>
      </c>
      <c r="J543" s="6">
        <v>2.024250984191895</v>
      </c>
      <c r="K543" s="6">
        <v>-1.1004130840301509</v>
      </c>
      <c r="L543" s="6">
        <v>3.00003981590271</v>
      </c>
      <c r="M543" s="6">
        <v>-0.32007268071174605</v>
      </c>
      <c r="N543" s="6">
        <v>0.51818556777633107</v>
      </c>
      <c r="O543" s="6"/>
      <c r="P543" s="6">
        <v>0.80504116224601108</v>
      </c>
      <c r="Q543" s="6"/>
      <c r="R543" s="6">
        <v>5.77856469461023</v>
      </c>
      <c r="S543" s="6"/>
      <c r="T543" s="6">
        <v>29.841634750366211</v>
      </c>
      <c r="U543" s="6">
        <f>_xll.BDP($A543,"TRAILING_12M_R&amp;D_%_SALES",$A$1,$A$2)</f>
        <v>6.6733519238430157</v>
      </c>
      <c r="V543" s="6">
        <v>25</v>
      </c>
      <c r="W543" s="6">
        <v>251020</v>
      </c>
      <c r="X543" s="6">
        <v>25102010</v>
      </c>
      <c r="Y543" s="7" t="s">
        <v>108</v>
      </c>
      <c r="Z543" s="7" t="s">
        <v>422</v>
      </c>
      <c r="AA543" s="7" t="s">
        <v>423</v>
      </c>
      <c r="AB543" s="6">
        <v>72.306610107421875</v>
      </c>
      <c r="AC543" s="6">
        <v>1.031593750264306</v>
      </c>
      <c r="AD543" s="6">
        <v>-7.5524443396651648</v>
      </c>
      <c r="AE543" s="6">
        <v>172425</v>
      </c>
      <c r="AF543" s="6">
        <v>282488</v>
      </c>
    </row>
    <row r="544" spans="1:32" s="4" customFormat="1" ht="12.75" x14ac:dyDescent="0.2">
      <c r="A544" s="7" t="s">
        <v>1795</v>
      </c>
      <c r="B544" s="7" t="s">
        <v>1796</v>
      </c>
      <c r="C544" s="7" t="s">
        <v>1797</v>
      </c>
      <c r="D544" s="6">
        <v>7.2376102209091006E-2</v>
      </c>
      <c r="E544" s="6">
        <v>-5.1907327026129005E-2</v>
      </c>
      <c r="F544" s="6">
        <v>0.20498751103878002</v>
      </c>
      <c r="G544" s="6">
        <v>-0.549097180366516</v>
      </c>
      <c r="H544" s="6">
        <v>1.9176322221755981</v>
      </c>
      <c r="I544" s="6">
        <v>0.38096445798873901</v>
      </c>
      <c r="J544" s="6">
        <v>-0.48495614528656006</v>
      </c>
      <c r="K544" s="6">
        <v>-0.59490013122558605</v>
      </c>
      <c r="L544" s="6">
        <v>0.29523730278015103</v>
      </c>
      <c r="M544" s="6">
        <v>-0.71407032012939509</v>
      </c>
      <c r="N544" s="6">
        <v>8.4010791628004569</v>
      </c>
      <c r="O544" s="6">
        <v>8.2010591224222917</v>
      </c>
      <c r="P544" s="6"/>
      <c r="Q544" s="6"/>
      <c r="R544" s="6">
        <v>25.91393994811374</v>
      </c>
      <c r="S544" s="6">
        <v>25.171481252834571</v>
      </c>
      <c r="T544" s="6"/>
      <c r="U544" s="6" t="str">
        <f>_xll.BDP($A544,"TRAILING_12M_R&amp;D_%_SALES",$A$1,$A$2)</f>
        <v>#N/A N/A</v>
      </c>
      <c r="V544" s="6">
        <v>25</v>
      </c>
      <c r="W544" s="6">
        <v>253010</v>
      </c>
      <c r="X544" s="6">
        <v>25301040</v>
      </c>
      <c r="Y544" s="7" t="s">
        <v>108</v>
      </c>
      <c r="Z544" s="7" t="s">
        <v>109</v>
      </c>
      <c r="AA544" s="7" t="s">
        <v>1798</v>
      </c>
      <c r="AB544" s="6">
        <v>46.926868438720703</v>
      </c>
      <c r="AC544" s="6">
        <v>0.65666913043267705</v>
      </c>
      <c r="AD544" s="6">
        <v>0.83419830028592712</v>
      </c>
      <c r="AE544" s="6">
        <v>200000</v>
      </c>
      <c r="AF544" s="6">
        <v>375000</v>
      </c>
    </row>
    <row r="545" spans="1:32" s="4" customFormat="1" ht="12.75" x14ac:dyDescent="0.2">
      <c r="A545" s="7" t="s">
        <v>1799</v>
      </c>
      <c r="B545" s="7" t="s">
        <v>1800</v>
      </c>
      <c r="C545" s="7" t="s">
        <v>1801</v>
      </c>
      <c r="D545" s="6">
        <v>-0.99067747592926003</v>
      </c>
      <c r="E545" s="6">
        <v>1.0854015350341799</v>
      </c>
      <c r="F545" s="6">
        <v>0.46333506703376803</v>
      </c>
      <c r="G545" s="6">
        <v>0.335581034421921</v>
      </c>
      <c r="H545" s="6">
        <v>0.37437006831169101</v>
      </c>
      <c r="I545" s="6">
        <v>1.4297945424914001E-2</v>
      </c>
      <c r="J545" s="6">
        <v>7.4186772108078003E-2</v>
      </c>
      <c r="K545" s="6">
        <v>-0.69161528348922707</v>
      </c>
      <c r="L545" s="6">
        <v>0.12046739459037802</v>
      </c>
      <c r="M545" s="6">
        <v>-0.25387945771217302</v>
      </c>
      <c r="N545" s="6">
        <v>5.0935269149941886</v>
      </c>
      <c r="O545" s="6">
        <v>4.6755583308016835</v>
      </c>
      <c r="P545" s="6">
        <v>6.3308993504040734</v>
      </c>
      <c r="Q545" s="6">
        <v>5.2593655002350577</v>
      </c>
      <c r="R545" s="6">
        <v>20.946294995635149</v>
      </c>
      <c r="S545" s="6">
        <v>11.974769580254042</v>
      </c>
      <c r="T545" s="6">
        <v>31.240047454833984</v>
      </c>
      <c r="U545" s="6">
        <f>_xll.BDP($A545,"TRAILING_12M_R&amp;D_%_SALES",$A$1,$A$2)</f>
        <v>20.368307090752374</v>
      </c>
      <c r="V545" s="6">
        <v>45</v>
      </c>
      <c r="W545" s="6">
        <v>453010</v>
      </c>
      <c r="X545" s="6">
        <v>45301020</v>
      </c>
      <c r="Y545" s="7" t="s">
        <v>66</v>
      </c>
      <c r="Z545" s="7" t="s">
        <v>163</v>
      </c>
      <c r="AA545" s="7" t="s">
        <v>164</v>
      </c>
      <c r="AB545" s="6">
        <v>66.049690246582031</v>
      </c>
      <c r="AC545" s="6">
        <v>1.405472899860186</v>
      </c>
      <c r="AD545" s="6">
        <v>-17.996982888637881</v>
      </c>
      <c r="AE545" s="6">
        <v>21000</v>
      </c>
      <c r="AF545" s="6">
        <v>12656</v>
      </c>
    </row>
    <row r="546" spans="1:32" s="4" customFormat="1" ht="12.75" x14ac:dyDescent="0.2">
      <c r="A546" s="7" t="s">
        <v>1802</v>
      </c>
      <c r="B546" s="7" t="s">
        <v>1803</v>
      </c>
      <c r="C546" s="7" t="s">
        <v>1804</v>
      </c>
      <c r="D546" s="6">
        <v>0.24926418066024802</v>
      </c>
      <c r="E546" s="6">
        <v>0.46404024958610501</v>
      </c>
      <c r="F546" s="6">
        <v>-0.33612549304962203</v>
      </c>
      <c r="G546" s="6">
        <v>9.6123136579990012E-2</v>
      </c>
      <c r="H546" s="6">
        <v>0.34057995676994302</v>
      </c>
      <c r="I546" s="6">
        <v>1.5264748334884639</v>
      </c>
      <c r="J546" s="6">
        <v>-9.557814337313E-3</v>
      </c>
      <c r="K546" s="6">
        <v>0.36121797561645502</v>
      </c>
      <c r="L546" s="6">
        <v>-0.53971576690673806</v>
      </c>
      <c r="M546" s="6">
        <v>0.30389496684074402</v>
      </c>
      <c r="N546" s="6">
        <v>0.20193500209912002</v>
      </c>
      <c r="O546" s="6">
        <v>0.18781712786264401</v>
      </c>
      <c r="P546" s="6"/>
      <c r="Q546" s="6"/>
      <c r="R546" s="6">
        <v>16.148738826460079</v>
      </c>
      <c r="S546" s="6">
        <v>14.564263706516787</v>
      </c>
      <c r="T546" s="6"/>
      <c r="U546" s="6" t="str">
        <f>_xll.BDP($A546,"TRAILING_12M_R&amp;D_%_SALES",$A$1,$A$2)</f>
        <v>#N/A N/A</v>
      </c>
      <c r="V546" s="6">
        <v>35</v>
      </c>
      <c r="W546" s="6">
        <v>351020</v>
      </c>
      <c r="X546" s="6">
        <v>35102010</v>
      </c>
      <c r="Y546" s="7" t="s">
        <v>86</v>
      </c>
      <c r="Z546" s="7" t="s">
        <v>601</v>
      </c>
      <c r="AA546" s="7" t="s">
        <v>602</v>
      </c>
      <c r="AB546" s="6">
        <v>46.946987152099609</v>
      </c>
      <c r="AC546" s="6">
        <v>0.59366709840576004</v>
      </c>
      <c r="AD546" s="6">
        <v>51.621281691684473</v>
      </c>
      <c r="AE546" s="6">
        <v>58000</v>
      </c>
      <c r="AF546" s="6">
        <v>78000</v>
      </c>
    </row>
    <row r="547" spans="1:32" s="4" customFormat="1" ht="12.75" x14ac:dyDescent="0.2">
      <c r="A547" s="7" t="s">
        <v>1805</v>
      </c>
      <c r="B547" s="7" t="s">
        <v>1806</v>
      </c>
      <c r="C547" s="7" t="s">
        <v>1807</v>
      </c>
      <c r="D547" s="6">
        <v>-0.99831020832061812</v>
      </c>
      <c r="E547" s="6">
        <v>0.67035949230194103</v>
      </c>
      <c r="F547" s="6">
        <v>4.4916248880330001E-3</v>
      </c>
      <c r="G547" s="6">
        <v>-0.47143244743347201</v>
      </c>
      <c r="H547" s="6">
        <v>0.65858173370361306</v>
      </c>
      <c r="I547" s="6">
        <v>-0.48909455537796004</v>
      </c>
      <c r="J547" s="6">
        <v>-0.49525013566017206</v>
      </c>
      <c r="K547" s="6">
        <v>-9.713269770145401E-2</v>
      </c>
      <c r="L547" s="6">
        <v>-0.31977605819702104</v>
      </c>
      <c r="M547" s="6">
        <v>-0.40520823001861606</v>
      </c>
      <c r="N547" s="6">
        <v>8.9974220904309874</v>
      </c>
      <c r="O547" s="6">
        <v>8.8031871690849233</v>
      </c>
      <c r="P547" s="6">
        <v>22.630910733952813</v>
      </c>
      <c r="Q547" s="6">
        <v>19.59821810269548</v>
      </c>
      <c r="R547" s="6">
        <v>32.541719823033091</v>
      </c>
      <c r="S547" s="6">
        <v>29.877507302594815</v>
      </c>
      <c r="T547" s="6">
        <v>66.382072448730469</v>
      </c>
      <c r="U547" s="6" t="str">
        <f>_xll.BDP($A547,"TRAILING_12M_R&amp;D_%_SALES",$A$1,$A$2)</f>
        <v>#N/A N/A</v>
      </c>
      <c r="V547" s="6">
        <v>40</v>
      </c>
      <c r="W547" s="6">
        <v>402030</v>
      </c>
      <c r="X547" s="6">
        <v>40203040</v>
      </c>
      <c r="Y547" s="7" t="s">
        <v>53</v>
      </c>
      <c r="Z547" s="7" t="s">
        <v>298</v>
      </c>
      <c r="AA547" s="7" t="s">
        <v>746</v>
      </c>
      <c r="AB547" s="6">
        <v>58.907554626464844</v>
      </c>
      <c r="AC547" s="6">
        <v>1.09900131542665</v>
      </c>
      <c r="AD547" s="6">
        <v>-28.09373359581344</v>
      </c>
      <c r="AE547" s="6">
        <v>13460</v>
      </c>
      <c r="AF547" s="6">
        <v>10617</v>
      </c>
    </row>
    <row r="548" spans="1:32" s="4" customFormat="1" ht="12.75" x14ac:dyDescent="0.2">
      <c r="A548" s="7" t="s">
        <v>1808</v>
      </c>
      <c r="B548" s="7" t="s">
        <v>1809</v>
      </c>
      <c r="C548" s="7" t="s">
        <v>1810</v>
      </c>
      <c r="D548" s="6">
        <v>2.3398986086249001E-2</v>
      </c>
      <c r="E548" s="6">
        <v>-0.73336833715438809</v>
      </c>
      <c r="F548" s="6">
        <v>0.21536402404308302</v>
      </c>
      <c r="G548" s="6">
        <v>-0.82208442687988303</v>
      </c>
      <c r="H548" s="6">
        <v>1.3722410202026372</v>
      </c>
      <c r="I548" s="6">
        <v>-8.3695836365223E-2</v>
      </c>
      <c r="J548" s="6">
        <v>1.166855931282043</v>
      </c>
      <c r="K548" s="6">
        <v>-0.31049489974975603</v>
      </c>
      <c r="L548" s="6">
        <v>1.0598047971725459</v>
      </c>
      <c r="M548" s="6">
        <v>-0.35079285502433805</v>
      </c>
      <c r="N548" s="6">
        <v>2.8539556089674099</v>
      </c>
      <c r="O548" s="6">
        <v>3.6982397944758141</v>
      </c>
      <c r="P548" s="6">
        <v>1.967271623999622</v>
      </c>
      <c r="Q548" s="6">
        <v>1.9410352154734041</v>
      </c>
      <c r="R548" s="6">
        <v>12.747023717751732</v>
      </c>
      <c r="S548" s="6">
        <v>15.210795014733364</v>
      </c>
      <c r="T548" s="6">
        <v>17.378747940063477</v>
      </c>
      <c r="U548" s="6" t="str">
        <f>_xll.BDP($A548,"TRAILING_12M_R&amp;D_%_SALES",$A$1,$A$2)</f>
        <v>#N/A N/A</v>
      </c>
      <c r="V548" s="6">
        <v>40</v>
      </c>
      <c r="W548" s="6">
        <v>402030</v>
      </c>
      <c r="X548" s="6">
        <v>40203030</v>
      </c>
      <c r="Y548" s="7" t="s">
        <v>53</v>
      </c>
      <c r="Z548" s="7" t="s">
        <v>298</v>
      </c>
      <c r="AA548" s="7" t="s">
        <v>837</v>
      </c>
      <c r="AB548" s="6">
        <v>52.459510803222656</v>
      </c>
      <c r="AC548" s="6">
        <v>0.61656077004247001</v>
      </c>
      <c r="AD548" s="6">
        <v>-20.380556198732869</v>
      </c>
      <c r="AE548" s="6">
        <v>18133</v>
      </c>
      <c r="AF548" s="6">
        <v>13597</v>
      </c>
    </row>
    <row r="549" spans="1:32" s="4" customFormat="1" ht="12.75" x14ac:dyDescent="0.2">
      <c r="A549" s="7" t="s">
        <v>1811</v>
      </c>
      <c r="B549" s="7" t="s">
        <v>1812</v>
      </c>
      <c r="C549" s="7" t="s">
        <v>1813</v>
      </c>
      <c r="D549" s="6">
        <v>-1.9380636513233001E-2</v>
      </c>
      <c r="E549" s="6">
        <v>-0.27460387349128701</v>
      </c>
      <c r="F549" s="6">
        <v>-0.47390770912170405</v>
      </c>
      <c r="G549" s="6">
        <v>-0.30161646008491505</v>
      </c>
      <c r="H549" s="6">
        <v>4.5941717922688002E-2</v>
      </c>
      <c r="I549" s="6">
        <v>0.48574480414390603</v>
      </c>
      <c r="J549" s="6">
        <v>-0.23153123259544403</v>
      </c>
      <c r="K549" s="6">
        <v>-0.71788883209228505</v>
      </c>
      <c r="L549" s="6">
        <v>0.30055719614028903</v>
      </c>
      <c r="M549" s="6">
        <v>-0.91653406620025613</v>
      </c>
      <c r="N549" s="6">
        <v>3.029978703141774</v>
      </c>
      <c r="O549" s="6">
        <v>2.79300397148877</v>
      </c>
      <c r="P549" s="6">
        <v>3.4209194597061621</v>
      </c>
      <c r="Q549" s="6">
        <v>3.185429360208301</v>
      </c>
      <c r="R549" s="6">
        <v>22.63068773885443</v>
      </c>
      <c r="S549" s="6">
        <v>21.543625733639026</v>
      </c>
      <c r="T549" s="6">
        <v>11.546034812927246</v>
      </c>
      <c r="U549" s="6" t="str">
        <f>_xll.BDP($A549,"TRAILING_12M_R&amp;D_%_SALES",$A$1,$A$2)</f>
        <v>#N/A N/A</v>
      </c>
      <c r="V549" s="6">
        <v>30</v>
      </c>
      <c r="W549" s="6">
        <v>302020</v>
      </c>
      <c r="X549" s="6">
        <v>30202030</v>
      </c>
      <c r="Y549" s="7" t="s">
        <v>91</v>
      </c>
      <c r="Z549" s="7" t="s">
        <v>168</v>
      </c>
      <c r="AA549" s="7" t="s">
        <v>906</v>
      </c>
      <c r="AB549" s="6">
        <v>60.879188537597656</v>
      </c>
      <c r="AC549" s="6">
        <v>0.6878633353261</v>
      </c>
      <c r="AD549" s="6">
        <v>3.7989250047200551</v>
      </c>
      <c r="AE549" s="6">
        <v>79000</v>
      </c>
      <c r="AF549" s="6">
        <v>90000</v>
      </c>
    </row>
    <row r="550" spans="1:32" s="4" customFormat="1" ht="12.75" x14ac:dyDescent="0.2">
      <c r="A550" s="7" t="s">
        <v>1814</v>
      </c>
      <c r="B550" s="7" t="s">
        <v>1815</v>
      </c>
      <c r="C550" s="7" t="s">
        <v>1816</v>
      </c>
      <c r="D550" s="6">
        <v>0.10349901765584901</v>
      </c>
      <c r="E550" s="6">
        <v>-0.55081379413604703</v>
      </c>
      <c r="F550" s="6">
        <v>-0.40040606260299705</v>
      </c>
      <c r="G550" s="6">
        <v>-0.41655266284942605</v>
      </c>
      <c r="H550" s="6">
        <v>-0.31159177422523504</v>
      </c>
      <c r="I550" s="6">
        <v>-0.6698694825172421</v>
      </c>
      <c r="J550" s="6">
        <v>0.10029442608356501</v>
      </c>
      <c r="K550" s="6">
        <v>-0.81852757930755604</v>
      </c>
      <c r="L550" s="6">
        <v>0.9120291471481321</v>
      </c>
      <c r="M550" s="6">
        <v>-0.91802543401718106</v>
      </c>
      <c r="N550" s="6">
        <v>3.3681594674812319</v>
      </c>
      <c r="O550" s="6">
        <v>3.321626873602558</v>
      </c>
      <c r="P550" s="6">
        <v>1.9926589658411782</v>
      </c>
      <c r="Q550" s="6">
        <v>1.886401589838917</v>
      </c>
      <c r="R550" s="6">
        <v>18.532172195864398</v>
      </c>
      <c r="S550" s="6">
        <v>14.449113586311062</v>
      </c>
      <c r="T550" s="6">
        <v>8.3199348449707031</v>
      </c>
      <c r="U550" s="6">
        <f>_xll.BDP($A550,"TRAILING_12M_R&amp;D_%_SALES",$A$1,$A$2)</f>
        <v>8.2020542787433364</v>
      </c>
      <c r="V550" s="6">
        <v>35</v>
      </c>
      <c r="W550" s="6">
        <v>351010</v>
      </c>
      <c r="X550" s="6">
        <v>35101010</v>
      </c>
      <c r="Y550" s="7" t="s">
        <v>86</v>
      </c>
      <c r="Z550" s="7" t="s">
        <v>114</v>
      </c>
      <c r="AA550" s="7" t="s">
        <v>115</v>
      </c>
      <c r="AB550" s="6">
        <v>63.3236083984375</v>
      </c>
      <c r="AC550" s="6">
        <v>0.76346514442249902</v>
      </c>
      <c r="AD550" s="6">
        <v>-23.303163554133754</v>
      </c>
      <c r="AE550" s="6">
        <v>95000</v>
      </c>
      <c r="AF550" s="6">
        <v>91000</v>
      </c>
    </row>
    <row r="551" spans="1:32" s="4" customFormat="1" ht="12.75" x14ac:dyDescent="0.2">
      <c r="A551" s="7" t="s">
        <v>1817</v>
      </c>
      <c r="B551" s="7" t="s">
        <v>1818</v>
      </c>
      <c r="C551" s="7" t="s">
        <v>1819</v>
      </c>
      <c r="D551" s="6">
        <v>-0.98411577939987205</v>
      </c>
      <c r="E551" s="6">
        <v>-0.82681143283844005</v>
      </c>
      <c r="F551" s="6">
        <v>0.81963402032852206</v>
      </c>
      <c r="G551" s="6">
        <v>1.014727711677551</v>
      </c>
      <c r="H551" s="6">
        <v>0.10225310921669001</v>
      </c>
      <c r="I551" s="6">
        <v>-3.4677889198060003E-3</v>
      </c>
      <c r="J551" s="6">
        <v>-0.59452182054519709</v>
      </c>
      <c r="K551" s="6">
        <v>2.612602710723877</v>
      </c>
      <c r="L551" s="6">
        <v>-0.81727248430252109</v>
      </c>
      <c r="M551" s="6">
        <v>1.803550243377686</v>
      </c>
      <c r="N551" s="6">
        <v>4.4008527194204232</v>
      </c>
      <c r="O551" s="6">
        <v>3.294281502379016</v>
      </c>
      <c r="P551" s="6">
        <v>26.095369485942829</v>
      </c>
      <c r="Q551" s="6">
        <v>16.537448047390207</v>
      </c>
      <c r="R551" s="6">
        <v>152.67175528389154</v>
      </c>
      <c r="S551" s="6">
        <v>59.837561158947054</v>
      </c>
      <c r="T551" s="6">
        <v>30.889362335205078</v>
      </c>
      <c r="U551" s="6">
        <f>_xll.BDP($A551,"TRAILING_12M_R&amp;D_%_SALES",$A$1,$A$2)</f>
        <v>9.3083698320257984</v>
      </c>
      <c r="V551" s="6">
        <v>25</v>
      </c>
      <c r="W551" s="6">
        <v>255030</v>
      </c>
      <c r="X551" s="6">
        <v>25503030</v>
      </c>
      <c r="Y551" s="7" t="s">
        <v>108</v>
      </c>
      <c r="Z551" s="7" t="s">
        <v>313</v>
      </c>
      <c r="AA551" s="7" t="s">
        <v>313</v>
      </c>
      <c r="AB551" s="6">
        <v>53.073131561279297</v>
      </c>
      <c r="AC551" s="6">
        <v>1.9074799557669491</v>
      </c>
      <c r="AD551" s="6">
        <v>-37.614082641296179</v>
      </c>
      <c r="AE551" s="6">
        <v>29957</v>
      </c>
      <c r="AF551" s="6">
        <v>4146</v>
      </c>
    </row>
    <row r="552" spans="1:32" s="4" customFormat="1" ht="12.75" x14ac:dyDescent="0.2">
      <c r="A552" s="7" t="s">
        <v>1820</v>
      </c>
      <c r="B552" s="7" t="s">
        <v>1821</v>
      </c>
      <c r="C552" s="7" t="s">
        <v>1822</v>
      </c>
      <c r="D552" s="6">
        <v>0.63178747892379805</v>
      </c>
      <c r="E552" s="6">
        <v>-0.9021083116531371</v>
      </c>
      <c r="F552" s="6">
        <v>-0.31088334321975702</v>
      </c>
      <c r="G552" s="6">
        <v>-0.25185918807983404</v>
      </c>
      <c r="H552" s="6">
        <v>-0.275562703609467</v>
      </c>
      <c r="I552" s="6">
        <v>0.75402325391769409</v>
      </c>
      <c r="J552" s="6">
        <v>0.95482641458511408</v>
      </c>
      <c r="K552" s="6">
        <v>-1.3320586681365971</v>
      </c>
      <c r="L552" s="6">
        <v>0.53377759456634499</v>
      </c>
      <c r="M552" s="6">
        <v>-1.0550223588943479</v>
      </c>
      <c r="N552" s="6">
        <v>0.80330058738779109</v>
      </c>
      <c r="O552" s="6">
        <v>0.81135749632583809</v>
      </c>
      <c r="P552" s="6">
        <v>2.6914098761976502</v>
      </c>
      <c r="Q552" s="6">
        <v>2.3411149503149642</v>
      </c>
      <c r="R552" s="6">
        <v>10.198317260707972</v>
      </c>
      <c r="S552" s="6">
        <v>8.7381762889217107</v>
      </c>
      <c r="T552" s="6">
        <v>7.3705921173095703</v>
      </c>
      <c r="U552" s="6" t="str">
        <f>_xll.BDP($A552,"TRAILING_12M_R&amp;D_%_SALES",$A$1,$A$2)</f>
        <v>#N/A N/A</v>
      </c>
      <c r="V552" s="6">
        <v>40</v>
      </c>
      <c r="W552" s="6">
        <v>403010</v>
      </c>
      <c r="X552" s="6">
        <v>40301020</v>
      </c>
      <c r="Y552" s="7" t="s">
        <v>53</v>
      </c>
      <c r="Z552" s="7" t="s">
        <v>54</v>
      </c>
      <c r="AA552" s="7" t="s">
        <v>55</v>
      </c>
      <c r="AB552" s="6">
        <v>58.515239715576172</v>
      </c>
      <c r="AC552" s="6">
        <v>0.86346983344525807</v>
      </c>
      <c r="AD552" s="6">
        <v>19.069018670589742</v>
      </c>
      <c r="AE552" s="6">
        <v>43000</v>
      </c>
      <c r="AF552" s="6">
        <v>58000</v>
      </c>
    </row>
    <row r="553" spans="1:32" s="4" customFormat="1" ht="12.75" x14ac:dyDescent="0.2">
      <c r="A553" s="7" t="s">
        <v>1823</v>
      </c>
      <c r="B553" s="7" t="s">
        <v>1824</v>
      </c>
      <c r="C553" s="7" t="s">
        <v>1825</v>
      </c>
      <c r="D553" s="6">
        <v>0.91444897651672408</v>
      </c>
      <c r="E553" s="6">
        <v>3.7619033828380005E-3</v>
      </c>
      <c r="F553" s="6">
        <v>2.0716121196746831</v>
      </c>
      <c r="G553" s="6">
        <v>1.2645877599716191</v>
      </c>
      <c r="H553" s="6">
        <v>-0.79167509078979503</v>
      </c>
      <c r="I553" s="6">
        <v>-1.8769841194152832</v>
      </c>
      <c r="J553" s="6">
        <v>0.70163559913635309</v>
      </c>
      <c r="K553" s="6">
        <v>0.50768131017684903</v>
      </c>
      <c r="L553" s="6">
        <v>-0.81727248430252109</v>
      </c>
      <c r="M553" s="6">
        <v>0.57293385267257702</v>
      </c>
      <c r="N553" s="6">
        <v>2.7720826521790189</v>
      </c>
      <c r="O553" s="6">
        <v>2.5871821736576779</v>
      </c>
      <c r="P553" s="6">
        <v>2.584380242567812</v>
      </c>
      <c r="Q553" s="6">
        <v>1.9779007972504261</v>
      </c>
      <c r="R553" s="6">
        <v>11.341751108255476</v>
      </c>
      <c r="S553" s="6">
        <v>11.433455173897073</v>
      </c>
      <c r="T553" s="6">
        <v>22.397787094116211</v>
      </c>
      <c r="U553" s="6">
        <f>_xll.BDP($A553,"TRAILING_12M_R&amp;D_%_SALES",$A$1,$A$2)</f>
        <v>26.669908814589665</v>
      </c>
      <c r="V553" s="6">
        <v>50</v>
      </c>
      <c r="W553" s="6">
        <v>502030</v>
      </c>
      <c r="X553" s="6">
        <v>50203010</v>
      </c>
      <c r="Y553" s="7" t="s">
        <v>367</v>
      </c>
      <c r="Z553" s="7" t="s">
        <v>418</v>
      </c>
      <c r="AA553" s="7" t="s">
        <v>418</v>
      </c>
      <c r="AB553" s="6">
        <v>54.270195007324219</v>
      </c>
      <c r="AC553" s="6">
        <v>1.49488030321827</v>
      </c>
      <c r="AD553" s="6">
        <v>-65.054012818872195</v>
      </c>
      <c r="AE553" s="6">
        <v>71970</v>
      </c>
      <c r="AF553" s="6">
        <v>17048</v>
      </c>
    </row>
    <row r="554" spans="1:32" s="4" customFormat="1" ht="12.75" x14ac:dyDescent="0.2">
      <c r="A554" s="7" t="s">
        <v>1826</v>
      </c>
      <c r="B554" s="7" t="s">
        <v>1827</v>
      </c>
      <c r="C554" s="7" t="s">
        <v>1828</v>
      </c>
      <c r="D554" s="6">
        <v>0.13487070798873901</v>
      </c>
      <c r="E554" s="6">
        <v>-0.78721296787262007</v>
      </c>
      <c r="F554" s="6">
        <v>-0.50386118888855003</v>
      </c>
      <c r="G554" s="6">
        <v>-0.17920444905757901</v>
      </c>
      <c r="H554" s="6">
        <v>-0.62149709463119507</v>
      </c>
      <c r="I554" s="6">
        <v>0.35206341743469205</v>
      </c>
      <c r="J554" s="6">
        <v>2.2405822277069092</v>
      </c>
      <c r="K554" s="6">
        <v>0.51959407329559304</v>
      </c>
      <c r="L554" s="6">
        <v>1.854086756706238</v>
      </c>
      <c r="M554" s="6">
        <v>-1.0112848281860349</v>
      </c>
      <c r="N554" s="6">
        <v>2.1678368687370551</v>
      </c>
      <c r="O554" s="6">
        <v>0.87545105995402006</v>
      </c>
      <c r="P554" s="6">
        <v>0.92948518424009907</v>
      </c>
      <c r="Q554" s="6">
        <v>0.89763182287716303</v>
      </c>
      <c r="R554" s="6">
        <v>2.7318748321190891</v>
      </c>
      <c r="S554" s="6">
        <v>7.3269741951827898</v>
      </c>
      <c r="T554" s="6">
        <v>-0.28546199202537503</v>
      </c>
      <c r="U554" s="6" t="str">
        <f>_xll.BDP($A554,"TRAILING_12M_R&amp;D_%_SALES",$A$1,$A$2)</f>
        <v>#N/A N/A</v>
      </c>
      <c r="V554" s="6">
        <v>40</v>
      </c>
      <c r="W554" s="6">
        <v>403010</v>
      </c>
      <c r="X554" s="6">
        <v>40301020</v>
      </c>
      <c r="Y554" s="7" t="s">
        <v>53</v>
      </c>
      <c r="Z554" s="7" t="s">
        <v>54</v>
      </c>
      <c r="AA554" s="7" t="s">
        <v>55</v>
      </c>
      <c r="AB554" s="6">
        <v>59.692184448242188</v>
      </c>
      <c r="AC554" s="6">
        <v>0.88330058694364111</v>
      </c>
      <c r="AD554" s="6">
        <v>-1.286943791074824</v>
      </c>
      <c r="AE554" s="6">
        <v>38000</v>
      </c>
      <c r="AF554" s="6">
        <v>35000</v>
      </c>
    </row>
    <row r="555" spans="1:32" s="4" customFormat="1" ht="12.75" x14ac:dyDescent="0.2">
      <c r="A555" s="7" t="s">
        <v>1829</v>
      </c>
      <c r="B555" s="7" t="s">
        <v>1830</v>
      </c>
      <c r="C555" s="7" t="s">
        <v>1831</v>
      </c>
      <c r="D555" s="6">
        <v>0.54808658361434903</v>
      </c>
      <c r="E555" s="6">
        <v>-1.006868720054626</v>
      </c>
      <c r="F555" s="6">
        <v>0.38073393702507002</v>
      </c>
      <c r="G555" s="6">
        <v>-0.64691591262817405</v>
      </c>
      <c r="H555" s="6">
        <v>0.9612153172492981</v>
      </c>
      <c r="I555" s="6">
        <v>0.71978139877319303</v>
      </c>
      <c r="J555" s="6">
        <v>2.1159365177154541</v>
      </c>
      <c r="K555" s="6">
        <v>-1.141373872756958</v>
      </c>
      <c r="L555" s="6">
        <v>1.378309845924377</v>
      </c>
      <c r="M555" s="6">
        <v>-0.97749072313308705</v>
      </c>
      <c r="N555" s="6">
        <v>1.3922968637119311</v>
      </c>
      <c r="O555" s="6">
        <v>1.9669514190767721</v>
      </c>
      <c r="P555" s="6">
        <v>0.527126083185393</v>
      </c>
      <c r="Q555" s="6"/>
      <c r="R555" s="6">
        <v>9.8253565970789012</v>
      </c>
      <c r="S555" s="6">
        <v>2.605304685584414</v>
      </c>
      <c r="T555" s="6">
        <v>5.1908779144287109</v>
      </c>
      <c r="U555" s="6" t="str">
        <f>_xll.BDP($A555,"TRAILING_12M_R&amp;D_%_SALES",$A$1,$A$2)</f>
        <v>#N/A N/A</v>
      </c>
      <c r="V555" s="6">
        <v>40</v>
      </c>
      <c r="W555" s="6">
        <v>401010</v>
      </c>
      <c r="X555" s="6">
        <v>40101010</v>
      </c>
      <c r="Y555" s="7" t="s">
        <v>53</v>
      </c>
      <c r="Z555" s="7" t="s">
        <v>76</v>
      </c>
      <c r="AA555" s="7" t="s">
        <v>77</v>
      </c>
      <c r="AB555" s="6">
        <v>60.617645263671875</v>
      </c>
      <c r="AC555" s="6">
        <v>0.66959016655919601</v>
      </c>
      <c r="AD555" s="6">
        <v>16.642013369770471</v>
      </c>
      <c r="AE555" s="6">
        <v>52420</v>
      </c>
      <c r="AF555" s="6">
        <v>59179</v>
      </c>
    </row>
    <row r="556" spans="1:32" s="4" customFormat="1" ht="12.75" x14ac:dyDescent="0.2">
      <c r="A556" s="7" t="s">
        <v>1832</v>
      </c>
      <c r="B556" s="7" t="s">
        <v>1833</v>
      </c>
      <c r="C556" s="7" t="s">
        <v>1834</v>
      </c>
      <c r="D556" s="6">
        <v>-0.79432052373886108</v>
      </c>
      <c r="E556" s="6">
        <v>-0.85480231046676602</v>
      </c>
      <c r="F556" s="6">
        <v>0.60331475734710704</v>
      </c>
      <c r="G556" s="6">
        <v>-0.49377927184104897</v>
      </c>
      <c r="H556" s="6">
        <v>-0.26608672738075301</v>
      </c>
      <c r="I556" s="6">
        <v>-0.25729346275329601</v>
      </c>
      <c r="J556" s="6">
        <v>0.91979229450225808</v>
      </c>
      <c r="K556" s="6">
        <v>-1.0716314315795901</v>
      </c>
      <c r="L556" s="6">
        <v>0.73558658361434903</v>
      </c>
      <c r="M556" s="6">
        <v>-0.30473947525024403</v>
      </c>
      <c r="N556" s="6">
        <v>0.44174681948437505</v>
      </c>
      <c r="O556" s="6">
        <v>0.40391511800816204</v>
      </c>
      <c r="P556" s="6">
        <v>1.5393465874074042</v>
      </c>
      <c r="Q556" s="6">
        <v>1.4100203877976341</v>
      </c>
      <c r="R556" s="6">
        <v>11.909479786334581</v>
      </c>
      <c r="S556" s="6">
        <v>9.2937941985869532</v>
      </c>
      <c r="T556" s="6">
        <v>8.6486968994140625</v>
      </c>
      <c r="U556" s="6" t="str">
        <f>_xll.BDP($A556,"TRAILING_12M_R&amp;D_%_SALES",$A$1,$A$2)</f>
        <v>#N/A N/A</v>
      </c>
      <c r="V556" s="6">
        <v>25</v>
      </c>
      <c r="W556" s="6">
        <v>251010</v>
      </c>
      <c r="X556" s="6">
        <v>25101010</v>
      </c>
      <c r="Y556" s="7" t="s">
        <v>108</v>
      </c>
      <c r="Z556" s="7" t="s">
        <v>564</v>
      </c>
      <c r="AA556" s="7" t="s">
        <v>871</v>
      </c>
      <c r="AB556" s="6">
        <v>52.76129150390625</v>
      </c>
      <c r="AC556" s="6">
        <v>1.2433172740652321</v>
      </c>
      <c r="AD556" s="6">
        <v>-27.999761029949187</v>
      </c>
      <c r="AE556" s="6">
        <v>158000</v>
      </c>
      <c r="AF556" s="6">
        <v>155000</v>
      </c>
    </row>
    <row r="557" spans="1:32" s="4" customFormat="1" ht="12.75" x14ac:dyDescent="0.2">
      <c r="A557" s="7" t="s">
        <v>1835</v>
      </c>
      <c r="B557" s="7" t="s">
        <v>1836</v>
      </c>
      <c r="C557" s="7" t="s">
        <v>1837</v>
      </c>
      <c r="D557" s="6">
        <v>-0.6774128079414371</v>
      </c>
      <c r="E557" s="6">
        <v>-0.73935818672180209</v>
      </c>
      <c r="F557" s="6">
        <v>0.41447868943214405</v>
      </c>
      <c r="G557" s="6">
        <v>-0.80382102727890004</v>
      </c>
      <c r="H557" s="6">
        <v>-0.295299142599106</v>
      </c>
      <c r="I557" s="6">
        <v>-0.33039456605911305</v>
      </c>
      <c r="J557" s="6">
        <v>1.0718313455581669</v>
      </c>
      <c r="K557" s="6">
        <v>-0.73398917913436901</v>
      </c>
      <c r="L557" s="6">
        <v>1.231268644332886</v>
      </c>
      <c r="M557" s="6">
        <v>-0.64759063720703103</v>
      </c>
      <c r="N557" s="6">
        <v>0.71620441976141602</v>
      </c>
      <c r="O557" s="6">
        <v>0.63924939612695508</v>
      </c>
      <c r="P557" s="6">
        <v>1.1413603406883741</v>
      </c>
      <c r="Q557" s="6">
        <v>1.108148160693323</v>
      </c>
      <c r="R557" s="6">
        <v>11.23036858237465</v>
      </c>
      <c r="S557" s="6">
        <v>8.6147163732139145</v>
      </c>
      <c r="T557" s="6">
        <v>10.997433662414551</v>
      </c>
      <c r="U557" s="6">
        <f>_xll.BDP($A557,"TRAILING_12M_R&amp;D_%_SALES",$A$1,$A$2)</f>
        <v>2.8904497480969367</v>
      </c>
      <c r="V557" s="6">
        <v>25</v>
      </c>
      <c r="W557" s="6">
        <v>251010</v>
      </c>
      <c r="X557" s="6">
        <v>25101020</v>
      </c>
      <c r="Y557" s="7" t="s">
        <v>108</v>
      </c>
      <c r="Z557" s="7" t="s">
        <v>564</v>
      </c>
      <c r="AA557" s="7" t="s">
        <v>565</v>
      </c>
      <c r="AB557" s="6">
        <v>64.068000793457031</v>
      </c>
      <c r="AC557" s="6">
        <v>0.75029456756663004</v>
      </c>
      <c r="AD557" s="6">
        <v>-28.495195362962544</v>
      </c>
      <c r="AE557" s="6">
        <v>124760</v>
      </c>
      <c r="AF557" s="6">
        <v>105700</v>
      </c>
    </row>
    <row r="558" spans="1:32" s="4" customFormat="1" ht="12.75" x14ac:dyDescent="0.2">
      <c r="A558" s="7" t="s">
        <v>1838</v>
      </c>
      <c r="B558" s="7" t="s">
        <v>1839</v>
      </c>
      <c r="C558" s="7" t="s">
        <v>1840</v>
      </c>
      <c r="D558" s="6">
        <v>-0.6774128079414371</v>
      </c>
      <c r="E558" s="6">
        <v>-0.73935818672180209</v>
      </c>
      <c r="F558" s="6">
        <v>0.41447868943214405</v>
      </c>
      <c r="G558" s="6">
        <v>-0.80382102727890004</v>
      </c>
      <c r="H558" s="6">
        <v>-0.295299142599106</v>
      </c>
      <c r="I558" s="6">
        <v>-0.33039456605911305</v>
      </c>
      <c r="J558" s="6">
        <v>1.0718313455581669</v>
      </c>
      <c r="K558" s="6">
        <v>-0.73398917913436901</v>
      </c>
      <c r="L558" s="6">
        <v>1.231268644332886</v>
      </c>
      <c r="M558" s="6">
        <v>-0.64759063720703103</v>
      </c>
      <c r="N558" s="6">
        <v>0.71620441976141602</v>
      </c>
      <c r="O558" s="6"/>
      <c r="P558" s="6">
        <v>1.1413603406883741</v>
      </c>
      <c r="Q558" s="6"/>
      <c r="R558" s="6">
        <v>11.23036858237465</v>
      </c>
      <c r="S558" s="6"/>
      <c r="T558" s="6">
        <v>10.997433662414551</v>
      </c>
      <c r="U558" s="6">
        <f>_xll.BDP($A558,"TRAILING_12M_R&amp;D_%_SALES",$A$1,$A$2)</f>
        <v>2.8904497480969367</v>
      </c>
      <c r="V558" s="6">
        <v>25</v>
      </c>
      <c r="W558" s="6">
        <v>251010</v>
      </c>
      <c r="X558" s="6">
        <v>25101020</v>
      </c>
      <c r="Y558" s="7" t="s">
        <v>108</v>
      </c>
      <c r="Z558" s="7" t="s">
        <v>564</v>
      </c>
      <c r="AA558" s="7" t="s">
        <v>565</v>
      </c>
      <c r="AB558" s="6">
        <v>64.068000793457031</v>
      </c>
      <c r="AC558" s="6">
        <v>0.96846826204204606</v>
      </c>
      <c r="AD558" s="6">
        <v>-29.345721572277728</v>
      </c>
      <c r="AE558" s="6">
        <v>124760</v>
      </c>
      <c r="AF558" s="6">
        <v>105700</v>
      </c>
    </row>
    <row r="559" spans="1:32" s="4" customFormat="1" ht="12.75" x14ac:dyDescent="0.2">
      <c r="A559" s="7" t="s">
        <v>1841</v>
      </c>
      <c r="B559" s="7" t="s">
        <v>1842</v>
      </c>
      <c r="C559" s="7" t="s">
        <v>1843</v>
      </c>
      <c r="D559" s="6">
        <v>-0.94110012054443404</v>
      </c>
      <c r="E559" s="6">
        <v>-0.68823766708374001</v>
      </c>
      <c r="F559" s="6">
        <v>-0.61171531677246105</v>
      </c>
      <c r="G559" s="6">
        <v>1.2436175346374509</v>
      </c>
      <c r="H559" s="6">
        <v>2.3349440097808838</v>
      </c>
      <c r="I559" s="6">
        <v>-2.0461354404688003E-2</v>
      </c>
      <c r="J559" s="6">
        <v>0.20976431667804701</v>
      </c>
      <c r="K559" s="6">
        <v>0.42330518364906305</v>
      </c>
      <c r="L559" s="6">
        <v>-0.80231428146362305</v>
      </c>
      <c r="M559" s="6">
        <v>-0.49018743634223905</v>
      </c>
      <c r="N559" s="6">
        <v>1.135797613839042</v>
      </c>
      <c r="O559" s="6">
        <v>0.93418670364142309</v>
      </c>
      <c r="P559" s="6">
        <v>2.692273475164618</v>
      </c>
      <c r="Q559" s="6">
        <v>3.4509901103551139</v>
      </c>
      <c r="R559" s="6"/>
      <c r="S559" s="6">
        <v>50.451144291760357</v>
      </c>
      <c r="T559" s="6">
        <v>22.620704650878906</v>
      </c>
      <c r="U559" s="6" t="str">
        <f>_xll.BDP($A559,"TRAILING_12M_R&amp;D_%_SALES",$A$1,$A$2)</f>
        <v>#N/A N/A</v>
      </c>
      <c r="V559" s="6">
        <v>25</v>
      </c>
      <c r="W559" s="6">
        <v>253010</v>
      </c>
      <c r="X559" s="6">
        <v>25301010</v>
      </c>
      <c r="Y559" s="7" t="s">
        <v>108</v>
      </c>
      <c r="Z559" s="7" t="s">
        <v>109</v>
      </c>
      <c r="AA559" s="7" t="s">
        <v>1844</v>
      </c>
      <c r="AB559" s="6">
        <v>60.295745849609375</v>
      </c>
      <c r="AC559" s="6">
        <v>1.319333561968997</v>
      </c>
      <c r="AD559" s="6">
        <v>-25.068700119152677</v>
      </c>
      <c r="AE559" s="6">
        <v>42000</v>
      </c>
      <c r="AF559" s="6">
        <v>52000</v>
      </c>
    </row>
    <row r="560" spans="1:32" s="4" customFormat="1" ht="12.75" x14ac:dyDescent="0.2">
      <c r="A560" s="7" t="s">
        <v>1845</v>
      </c>
      <c r="B560" s="7" t="s">
        <v>1846</v>
      </c>
      <c r="C560" s="7" t="s">
        <v>1847</v>
      </c>
      <c r="D560" s="6">
        <v>-0.61514413356781006</v>
      </c>
      <c r="E560" s="6">
        <v>-0.86700922250747703</v>
      </c>
      <c r="F560" s="6">
        <v>0.44711124897003202</v>
      </c>
      <c r="G560" s="6">
        <v>-0.87920218706131004</v>
      </c>
      <c r="H560" s="6">
        <v>-1.1920279264450071</v>
      </c>
      <c r="I560" s="6">
        <v>0.157920032739639</v>
      </c>
      <c r="J560" s="6">
        <v>0.78031414747238204</v>
      </c>
      <c r="K560" s="6">
        <v>-1.073506355285645</v>
      </c>
      <c r="L560" s="6">
        <v>0.64385563135147106</v>
      </c>
      <c r="M560" s="6">
        <v>-0.6815744042396551</v>
      </c>
      <c r="N560" s="6">
        <v>0.59450653716232205</v>
      </c>
      <c r="O560" s="6">
        <v>0.56425995097260706</v>
      </c>
      <c r="P560" s="6">
        <v>0.89890198074863703</v>
      </c>
      <c r="Q560" s="6">
        <v>0.84406754586345811</v>
      </c>
      <c r="R560" s="6">
        <v>16.041768792884845</v>
      </c>
      <c r="S560" s="6">
        <v>11.888782109599468</v>
      </c>
      <c r="T560" s="6">
        <v>5.9003357887268066</v>
      </c>
      <c r="U560" s="6">
        <f>_xll.BDP($A560,"TRAILING_12M_R&amp;D_%_SALES",$A$1,$A$2)</f>
        <v>4.1545993057892829</v>
      </c>
      <c r="V560" s="6">
        <v>20</v>
      </c>
      <c r="W560" s="6">
        <v>201040</v>
      </c>
      <c r="X560" s="6">
        <v>20104020</v>
      </c>
      <c r="Y560" s="7" t="s">
        <v>43</v>
      </c>
      <c r="Z560" s="7" t="s">
        <v>81</v>
      </c>
      <c r="AA560" s="7" t="s">
        <v>1848</v>
      </c>
      <c r="AB560" s="6">
        <v>67.789962768554688</v>
      </c>
      <c r="AC560" s="6">
        <v>0.55898116567190204</v>
      </c>
      <c r="AD560" s="6">
        <v>-21.623124675593996</v>
      </c>
      <c r="AE560" s="6">
        <v>145696</v>
      </c>
      <c r="AF560" s="6">
        <v>138700</v>
      </c>
    </row>
    <row r="561" spans="1:32" s="4" customFormat="1" ht="12.75" x14ac:dyDescent="0.2">
      <c r="A561" s="7" t="s">
        <v>1849</v>
      </c>
      <c r="B561" s="7" t="s">
        <v>1850</v>
      </c>
      <c r="C561" s="7" t="s">
        <v>1851</v>
      </c>
      <c r="D561" s="6">
        <v>-0.61514413356781006</v>
      </c>
      <c r="E561" s="6">
        <v>-0.86700922250747703</v>
      </c>
      <c r="F561" s="6">
        <v>0.44711124897003202</v>
      </c>
      <c r="G561" s="6">
        <v>-0.87920218706131004</v>
      </c>
      <c r="H561" s="6">
        <v>-1.1920279264450071</v>
      </c>
      <c r="I561" s="6">
        <v>0.157920032739639</v>
      </c>
      <c r="J561" s="6">
        <v>0.78031414747238204</v>
      </c>
      <c r="K561" s="6">
        <v>-1.073506355285645</v>
      </c>
      <c r="L561" s="6">
        <v>0.64385563135147106</v>
      </c>
      <c r="M561" s="6">
        <v>-0.6815744042396551</v>
      </c>
      <c r="N561" s="6">
        <v>0.59450653716232205</v>
      </c>
      <c r="O561" s="6"/>
      <c r="P561" s="6">
        <v>0.89890198074863703</v>
      </c>
      <c r="Q561" s="6"/>
      <c r="R561" s="6">
        <v>16.041768792884845</v>
      </c>
      <c r="S561" s="6"/>
      <c r="T561" s="6">
        <v>5.9003357887268066</v>
      </c>
      <c r="U561" s="6">
        <f>_xll.BDP($A561,"TRAILING_12M_R&amp;D_%_SALES",$A$1,$A$2)</f>
        <v>4.1545993057892829</v>
      </c>
      <c r="V561" s="6">
        <v>20</v>
      </c>
      <c r="W561" s="6">
        <v>201040</v>
      </c>
      <c r="X561" s="6">
        <v>20104020</v>
      </c>
      <c r="Y561" s="7" t="s">
        <v>43</v>
      </c>
      <c r="Z561" s="7" t="s">
        <v>81</v>
      </c>
      <c r="AA561" s="7" t="s">
        <v>1848</v>
      </c>
      <c r="AB561" s="6">
        <v>67.789962768554688</v>
      </c>
      <c r="AC561" s="6">
        <v>0.73575543324928705</v>
      </c>
      <c r="AD561" s="6">
        <v>-19.862651162037061</v>
      </c>
      <c r="AE561" s="6">
        <v>145696</v>
      </c>
      <c r="AF561" s="6">
        <v>138700</v>
      </c>
    </row>
    <row r="562" spans="1:32" s="4" customFormat="1" ht="12.75" x14ac:dyDescent="0.2">
      <c r="A562" s="7" t="s">
        <v>1852</v>
      </c>
      <c r="B562" s="7" t="s">
        <v>1853</v>
      </c>
      <c r="C562" s="7" t="s">
        <v>1854</v>
      </c>
      <c r="D562" s="6">
        <v>-0.86969125270843506</v>
      </c>
      <c r="E562" s="6">
        <v>-0.72610515356063809</v>
      </c>
      <c r="F562" s="6">
        <v>0.25696378946304305</v>
      </c>
      <c r="G562" s="6">
        <v>-0.77413082122802701</v>
      </c>
      <c r="H562" s="6">
        <v>1.0336717367172239</v>
      </c>
      <c r="I562" s="6">
        <v>0.69288879632949807</v>
      </c>
      <c r="J562" s="6">
        <v>0.6700330376625061</v>
      </c>
      <c r="K562" s="6">
        <v>-0.9379941225051881</v>
      </c>
      <c r="L562" s="6">
        <v>0.267694711685181</v>
      </c>
      <c r="M562" s="6">
        <v>-0.96901971101760909</v>
      </c>
      <c r="N562" s="6">
        <v>1.661473728543323</v>
      </c>
      <c r="O562" s="6">
        <v>1.557542994202022</v>
      </c>
      <c r="P562" s="6">
        <v>1.0521832605679899</v>
      </c>
      <c r="Q562" s="6">
        <v>0.99587622880157511</v>
      </c>
      <c r="R562" s="6">
        <v>12.866596155870742</v>
      </c>
      <c r="S562" s="6">
        <v>12.506917898594745</v>
      </c>
      <c r="T562" s="6">
        <v>8.6687793731689453</v>
      </c>
      <c r="U562" s="6">
        <f>_xll.BDP($A562,"TRAILING_12M_R&amp;D_%_SALES",$A$1,$A$2)</f>
        <v>0</v>
      </c>
      <c r="V562" s="6">
        <v>60</v>
      </c>
      <c r="W562" s="6">
        <v>602010</v>
      </c>
      <c r="X562" s="6">
        <v>60201010</v>
      </c>
      <c r="Y562" s="7" t="s">
        <v>307</v>
      </c>
      <c r="Z562" s="7" t="s">
        <v>615</v>
      </c>
      <c r="AA562" s="7" t="s">
        <v>1044</v>
      </c>
      <c r="AB562" s="6">
        <v>60.849010467529297</v>
      </c>
      <c r="AC562" s="6">
        <v>0.35384123981636301</v>
      </c>
      <c r="AD562" s="6">
        <v>-7.0090176184467454</v>
      </c>
      <c r="AE562" s="6">
        <v>10202</v>
      </c>
      <c r="AF562" s="6">
        <v>8642</v>
      </c>
    </row>
    <row r="563" spans="1:32" s="4" customFormat="1" ht="12.75" x14ac:dyDescent="0.2">
      <c r="A563" s="7" t="s">
        <v>1855</v>
      </c>
      <c r="B563" s="7" t="s">
        <v>1856</v>
      </c>
      <c r="C563" s="7" t="s">
        <v>1857</v>
      </c>
      <c r="D563" s="6">
        <v>-0.86969125270843506</v>
      </c>
      <c r="E563" s="6">
        <v>-0.72610515356063809</v>
      </c>
      <c r="F563" s="6">
        <v>0.25696378946304305</v>
      </c>
      <c r="G563" s="6">
        <v>-0.77413082122802701</v>
      </c>
      <c r="H563" s="6">
        <v>1.0336717367172239</v>
      </c>
      <c r="I563" s="6">
        <v>0.69288879632949807</v>
      </c>
      <c r="J563" s="6">
        <v>0.6700330376625061</v>
      </c>
      <c r="K563" s="6">
        <v>-0.9379941225051881</v>
      </c>
      <c r="L563" s="6">
        <v>0.267694711685181</v>
      </c>
      <c r="M563" s="6">
        <v>-0.96901971101760909</v>
      </c>
      <c r="N563" s="6">
        <v>1.661473728543323</v>
      </c>
      <c r="O563" s="6"/>
      <c r="P563" s="6">
        <v>1.0521832605679899</v>
      </c>
      <c r="Q563" s="6"/>
      <c r="R563" s="6">
        <v>12.866596155870742</v>
      </c>
      <c r="S563" s="6"/>
      <c r="T563" s="6">
        <v>8.6687793731689453</v>
      </c>
      <c r="U563" s="6">
        <f>_xll.BDP($A563,"TRAILING_12M_R&amp;D_%_SALES",$A$1,$A$2)</f>
        <v>0</v>
      </c>
      <c r="V563" s="6">
        <v>60</v>
      </c>
      <c r="W563" s="6">
        <v>602010</v>
      </c>
      <c r="X563" s="6">
        <v>60201010</v>
      </c>
      <c r="Y563" s="7" t="s">
        <v>307</v>
      </c>
      <c r="Z563" s="7" t="s">
        <v>615</v>
      </c>
      <c r="AA563" s="7" t="s">
        <v>1044</v>
      </c>
      <c r="AB563" s="6">
        <v>60.849010467529297</v>
      </c>
      <c r="AC563" s="6">
        <v>0.60974423230749608</v>
      </c>
      <c r="AD563" s="6">
        <v>-4.8115432337853647</v>
      </c>
      <c r="AE563" s="6">
        <v>10202</v>
      </c>
      <c r="AF563" s="6">
        <v>8642</v>
      </c>
    </row>
    <row r="564" spans="1:32" s="4" customFormat="1" ht="12.75" x14ac:dyDescent="0.2">
      <c r="A564" s="7" t="s">
        <v>1858</v>
      </c>
      <c r="B564" s="7" t="s">
        <v>1859</v>
      </c>
      <c r="C564" s="7" t="s">
        <v>1860</v>
      </c>
      <c r="D564" s="6">
        <v>0.17056775093078602</v>
      </c>
      <c r="E564" s="6">
        <v>-0.43015068769455006</v>
      </c>
      <c r="F564" s="6">
        <v>0.58388501405715909</v>
      </c>
      <c r="G564" s="6">
        <v>-0.717662453651428</v>
      </c>
      <c r="H564" s="6">
        <v>0.32385894656181302</v>
      </c>
      <c r="I564" s="6">
        <v>1.5303200483322139</v>
      </c>
      <c r="J564" s="6">
        <v>1.2624539136886601</v>
      </c>
      <c r="K564" s="6">
        <v>-0.50536245107650801</v>
      </c>
      <c r="L564" s="6">
        <v>0.78941005468368508</v>
      </c>
      <c r="M564" s="6">
        <v>-0.34563139081001304</v>
      </c>
      <c r="N564" s="6">
        <v>0.44759798461493705</v>
      </c>
      <c r="O564" s="6">
        <v>0.49769212200902102</v>
      </c>
      <c r="P564" s="6">
        <v>1.0003816588970991</v>
      </c>
      <c r="Q564" s="6">
        <v>0.88787193775674011</v>
      </c>
      <c r="R564" s="6">
        <v>5.881455017340973</v>
      </c>
      <c r="S564" s="6">
        <v>6.8047327904188979</v>
      </c>
      <c r="T564" s="6">
        <v>19.458646774291992</v>
      </c>
      <c r="U564" s="6">
        <f>_xll.BDP($A564,"TRAILING_12M_R&amp;D_%_SALES",$A$1,$A$2)</f>
        <v>0</v>
      </c>
      <c r="V564" s="6">
        <v>20</v>
      </c>
      <c r="W564" s="6">
        <v>201070</v>
      </c>
      <c r="X564" s="6">
        <v>20107010</v>
      </c>
      <c r="Y564" s="7" t="s">
        <v>43</v>
      </c>
      <c r="Z564" s="7" t="s">
        <v>44</v>
      </c>
      <c r="AA564" s="7" t="s">
        <v>44</v>
      </c>
      <c r="AB564" s="6">
        <v>50.82989501953125</v>
      </c>
      <c r="AC564" s="6">
        <v>0.43354676852228402</v>
      </c>
      <c r="AD564" s="6">
        <v>26.855445292436151</v>
      </c>
      <c r="AE564" s="6">
        <v>44336</v>
      </c>
      <c r="AF564" s="6">
        <v>42316</v>
      </c>
    </row>
    <row r="565" spans="1:32" s="4" customFormat="1" ht="12.75" x14ac:dyDescent="0.2">
      <c r="A565" s="7" t="s">
        <v>1861</v>
      </c>
      <c r="B565" s="7" t="s">
        <v>1862</v>
      </c>
      <c r="C565" s="7" t="s">
        <v>1863</v>
      </c>
      <c r="D565" s="6">
        <v>0.17056775093078602</v>
      </c>
      <c r="E565" s="6">
        <v>-0.43015068769455006</v>
      </c>
      <c r="F565" s="6">
        <v>0.58388501405715909</v>
      </c>
      <c r="G565" s="6">
        <v>-0.717662453651428</v>
      </c>
      <c r="H565" s="6">
        <v>0.32385894656181302</v>
      </c>
      <c r="I565" s="6">
        <v>1.5303200483322139</v>
      </c>
      <c r="J565" s="6">
        <v>1.2624539136886601</v>
      </c>
      <c r="K565" s="6">
        <v>-0.50536245107650801</v>
      </c>
      <c r="L565" s="6">
        <v>0.78941005468368508</v>
      </c>
      <c r="M565" s="6">
        <v>-0.34563139081001304</v>
      </c>
      <c r="N565" s="6">
        <v>0.44759798461493705</v>
      </c>
      <c r="O565" s="6">
        <v>0.44545530884524304</v>
      </c>
      <c r="P565" s="6">
        <v>1.0003816588970991</v>
      </c>
      <c r="Q565" s="6"/>
      <c r="R565" s="6">
        <v>5.881455017340973</v>
      </c>
      <c r="S565" s="6">
        <v>6.2439784468410826</v>
      </c>
      <c r="T565" s="6">
        <v>19.458646774291992</v>
      </c>
      <c r="U565" s="6">
        <f>_xll.BDP($A565,"TRAILING_12M_R&amp;D_%_SALES",$A$1,$A$2)</f>
        <v>0</v>
      </c>
      <c r="V565" s="6">
        <v>20</v>
      </c>
      <c r="W565" s="6">
        <v>201070</v>
      </c>
      <c r="X565" s="6">
        <v>20107010</v>
      </c>
      <c r="Y565" s="7" t="s">
        <v>43</v>
      </c>
      <c r="Z565" s="7" t="s">
        <v>44</v>
      </c>
      <c r="AA565" s="7" t="s">
        <v>44</v>
      </c>
      <c r="AB565" s="6">
        <v>50.82989501953125</v>
      </c>
      <c r="AC565" s="6">
        <v>0.63146324243493501</v>
      </c>
      <c r="AD565" s="6">
        <v>27.494090788448421</v>
      </c>
      <c r="AE565" s="6">
        <v>44336</v>
      </c>
      <c r="AF565" s="6">
        <v>42316</v>
      </c>
    </row>
    <row r="566" spans="1:32" s="4" customFormat="1" ht="12.75" x14ac:dyDescent="0.2">
      <c r="A566" s="7" t="s">
        <v>1864</v>
      </c>
      <c r="B566" s="7" t="s">
        <v>1865</v>
      </c>
      <c r="C566" s="7" t="s">
        <v>1866</v>
      </c>
      <c r="D566" s="6">
        <v>-0.18861950933933302</v>
      </c>
      <c r="E566" s="6">
        <v>-0.33681190013885504</v>
      </c>
      <c r="F566" s="6">
        <v>-0.12282576411962501</v>
      </c>
      <c r="G566" s="6">
        <v>-0.81123822927475009</v>
      </c>
      <c r="H566" s="6">
        <v>-0.52189189195632901</v>
      </c>
      <c r="I566" s="6">
        <v>-0.10486415028572101</v>
      </c>
      <c r="J566" s="6">
        <v>-3.2492730766535E-2</v>
      </c>
      <c r="K566" s="6">
        <v>-0.48522529006004306</v>
      </c>
      <c r="L566" s="6">
        <v>-0.318148523569107</v>
      </c>
      <c r="M566" s="6">
        <v>-0.59884202480316207</v>
      </c>
      <c r="N566" s="6">
        <v>3.6103427874326979</v>
      </c>
      <c r="O566" s="6">
        <v>3.3481470474515529</v>
      </c>
      <c r="P566" s="6">
        <v>2.783132036568766</v>
      </c>
      <c r="Q566" s="6">
        <v>2.9150655261095491</v>
      </c>
      <c r="R566" s="6">
        <v>22.684466087339207</v>
      </c>
      <c r="S566" s="6">
        <v>17.452977059186271</v>
      </c>
      <c r="T566" s="6">
        <v>14.209999084472656</v>
      </c>
      <c r="U566" s="6">
        <f>_xll.BDP($A566,"TRAILING_12M_R&amp;D_%_SALES",$A$1,$A$2)</f>
        <v>11.537947812813051</v>
      </c>
      <c r="V566" s="6">
        <v>35</v>
      </c>
      <c r="W566" s="6">
        <v>352020</v>
      </c>
      <c r="X566" s="6">
        <v>35202010</v>
      </c>
      <c r="Y566" s="7" t="s">
        <v>86</v>
      </c>
      <c r="Z566" s="7" t="s">
        <v>271</v>
      </c>
      <c r="AA566" s="7" t="s">
        <v>271</v>
      </c>
      <c r="AB566" s="6">
        <v>64.943168640136719</v>
      </c>
      <c r="AC566" s="6">
        <v>0.7634812992438671</v>
      </c>
      <c r="AD566" s="6">
        <v>-23.614291478011385</v>
      </c>
      <c r="AE566" s="6">
        <v>60334</v>
      </c>
      <c r="AF566" s="6">
        <v>50348</v>
      </c>
    </row>
    <row r="567" spans="1:32" s="4" customFormat="1" ht="12.75" x14ac:dyDescent="0.2">
      <c r="A567" s="7" t="s">
        <v>1867</v>
      </c>
      <c r="B567" s="7" t="s">
        <v>1868</v>
      </c>
      <c r="C567" s="7" t="s">
        <v>1869</v>
      </c>
      <c r="D567" s="6">
        <v>-0.18861950933933302</v>
      </c>
      <c r="E567" s="6">
        <v>-0.33681190013885504</v>
      </c>
      <c r="F567" s="6">
        <v>-0.12282576411962501</v>
      </c>
      <c r="G567" s="6">
        <v>-0.81123822927475009</v>
      </c>
      <c r="H567" s="6">
        <v>-0.52189189195632901</v>
      </c>
      <c r="I567" s="6">
        <v>-0.10486415028572101</v>
      </c>
      <c r="J567" s="6">
        <v>-3.2492730766535E-2</v>
      </c>
      <c r="K567" s="6">
        <v>-0.48522529006004306</v>
      </c>
      <c r="L567" s="6">
        <v>-0.318148523569107</v>
      </c>
      <c r="M567" s="6">
        <v>-0.59884202480316207</v>
      </c>
      <c r="N567" s="6">
        <v>3.6103427874326979</v>
      </c>
      <c r="O567" s="6">
        <v>0.99485858497606006</v>
      </c>
      <c r="P567" s="6">
        <v>2.783132036568766</v>
      </c>
      <c r="Q567" s="6"/>
      <c r="R567" s="6">
        <v>22.684466087339207</v>
      </c>
      <c r="S567" s="6">
        <v>5.6995002439697195</v>
      </c>
      <c r="T567" s="6">
        <v>14.209999084472656</v>
      </c>
      <c r="U567" s="6">
        <f>_xll.BDP($A567,"TRAILING_12M_R&amp;D_%_SALES",$A$1,$A$2)</f>
        <v>11.537947812813051</v>
      </c>
      <c r="V567" s="6">
        <v>35</v>
      </c>
      <c r="W567" s="6">
        <v>352020</v>
      </c>
      <c r="X567" s="6">
        <v>35202010</v>
      </c>
      <c r="Y567" s="7" t="s">
        <v>86</v>
      </c>
      <c r="Z567" s="7" t="s">
        <v>271</v>
      </c>
      <c r="AA567" s="7" t="s">
        <v>271</v>
      </c>
      <c r="AB567" s="6">
        <v>64.943168640136719</v>
      </c>
      <c r="AC567" s="6">
        <v>0.89324760837933403</v>
      </c>
      <c r="AD567" s="6">
        <v>-24.633577132104044</v>
      </c>
      <c r="AE567" s="6">
        <v>60334</v>
      </c>
      <c r="AF567" s="6">
        <v>50348</v>
      </c>
    </row>
    <row r="568" spans="1:32" s="4" customFormat="1" ht="12.75" x14ac:dyDescent="0.2">
      <c r="A568" s="7" t="s">
        <v>1870</v>
      </c>
      <c r="B568" s="7" t="s">
        <v>1871</v>
      </c>
      <c r="C568" s="7" t="s">
        <v>1872</v>
      </c>
      <c r="D568" s="6">
        <v>-0.84954500198364302</v>
      </c>
      <c r="E568" s="6">
        <v>-1.1158567667007451</v>
      </c>
      <c r="F568" s="6">
        <v>-0.51538318395614602</v>
      </c>
      <c r="G568" s="6">
        <v>-0.617467701435089</v>
      </c>
      <c r="H568" s="6">
        <v>-0.53868401050567605</v>
      </c>
      <c r="I568" s="6">
        <v>0.29723873734474204</v>
      </c>
      <c r="J568" s="6">
        <v>0.33774149417877203</v>
      </c>
      <c r="K568" s="6">
        <v>0.51231956481933605</v>
      </c>
      <c r="L568" s="6">
        <v>-0.81727248430252109</v>
      </c>
      <c r="M568" s="6">
        <v>-0.6446646451950071</v>
      </c>
      <c r="N568" s="6">
        <v>1.601046083980104</v>
      </c>
      <c r="O568" s="6">
        <v>1.2228336851850401</v>
      </c>
      <c r="P568" s="6">
        <v>1.5177034593567842</v>
      </c>
      <c r="Q568" s="6">
        <v>1.3513303798750309</v>
      </c>
      <c r="R568" s="6"/>
      <c r="S568" s="6">
        <v>15.939275182266213</v>
      </c>
      <c r="T568" s="6">
        <v>-0.98671901226043712</v>
      </c>
      <c r="U568" s="6" t="str">
        <f>_xll.BDP($A568,"TRAILING_12M_R&amp;D_%_SALES",$A$1,$A$2)</f>
        <v>#N/A N/A</v>
      </c>
      <c r="V568" s="6">
        <v>40</v>
      </c>
      <c r="W568" s="6">
        <v>403010</v>
      </c>
      <c r="X568" s="6">
        <v>40301040</v>
      </c>
      <c r="Y568" s="7" t="s">
        <v>53</v>
      </c>
      <c r="Z568" s="7" t="s">
        <v>54</v>
      </c>
      <c r="AA568" s="7" t="s">
        <v>125</v>
      </c>
      <c r="AB568" s="6">
        <v>31.898199081420898</v>
      </c>
      <c r="AC568" s="6">
        <v>0.7678613120230291</v>
      </c>
      <c r="AD568" s="6">
        <v>7.0729671878608569</v>
      </c>
      <c r="AE568" s="6">
        <v>20300</v>
      </c>
      <c r="AF568" s="6">
        <v>10900</v>
      </c>
    </row>
    <row r="569" spans="1:32" s="4" customFormat="1" ht="12.75" x14ac:dyDescent="0.2">
      <c r="A569" s="7" t="s">
        <v>1873</v>
      </c>
      <c r="B569" s="7" t="s">
        <v>1874</v>
      </c>
      <c r="C569" s="7" t="s">
        <v>1875</v>
      </c>
      <c r="D569" s="6">
        <v>-0.48327198624610906</v>
      </c>
      <c r="E569" s="6">
        <v>-0.8540680408477781</v>
      </c>
      <c r="F569" s="6">
        <v>1.3646819591522221</v>
      </c>
      <c r="G569" s="6">
        <v>-0.19125232100486803</v>
      </c>
      <c r="H569" s="6">
        <v>0.43307965993881203</v>
      </c>
      <c r="I569" s="6">
        <v>-6.5898180007935001E-2</v>
      </c>
      <c r="J569" s="6">
        <v>2.5469691753387451</v>
      </c>
      <c r="K569" s="6">
        <v>0.46532693505287204</v>
      </c>
      <c r="L569" s="6">
        <v>1.7732774019241331</v>
      </c>
      <c r="M569" s="6">
        <v>-0.36419919133186301</v>
      </c>
      <c r="N569" s="6">
        <v>5.7836435302627005E-2</v>
      </c>
      <c r="O569" s="6"/>
      <c r="P569" s="6">
        <v>0.35701557410243301</v>
      </c>
      <c r="Q569" s="6"/>
      <c r="R569" s="6">
        <v>3.9685902032349611</v>
      </c>
      <c r="S569" s="6"/>
      <c r="T569" s="6">
        <v>9.6208791732788086</v>
      </c>
      <c r="U569" s="6">
        <f>_xll.BDP($A569,"TRAILING_12M_R&amp;D_%_SALES",$A$1,$A$2)</f>
        <v>3.1248987547526084</v>
      </c>
      <c r="V569" s="6">
        <v>20</v>
      </c>
      <c r="W569" s="6">
        <v>201030</v>
      </c>
      <c r="X569" s="6">
        <v>20103010</v>
      </c>
      <c r="Y569" s="7" t="s">
        <v>43</v>
      </c>
      <c r="Z569" s="7" t="s">
        <v>143</v>
      </c>
      <c r="AA569" s="7" t="s">
        <v>143</v>
      </c>
      <c r="AB569" s="6">
        <v>54.229957580566406</v>
      </c>
      <c r="AC569" s="6">
        <v>0.42158235888251905</v>
      </c>
      <c r="AD569" s="6">
        <v>-5.6723015972390272</v>
      </c>
      <c r="AE569" s="6">
        <v>97972</v>
      </c>
      <c r="AF569" s="6">
        <v>100290</v>
      </c>
    </row>
    <row r="570" spans="1:32" s="4" customFormat="1" ht="12.75" x14ac:dyDescent="0.2">
      <c r="A570" s="7" t="s">
        <v>1876</v>
      </c>
      <c r="B570" s="7" t="s">
        <v>1877</v>
      </c>
      <c r="C570" s="7" t="s">
        <v>1878</v>
      </c>
      <c r="D570" s="6">
        <v>-0.34167864918708801</v>
      </c>
      <c r="E570" s="6">
        <v>0.742561936378479</v>
      </c>
      <c r="F570" s="6">
        <v>-0.12509529292583502</v>
      </c>
      <c r="G570" s="6">
        <v>-0.58994323015213002</v>
      </c>
      <c r="H570" s="6">
        <v>0.29063484072685203</v>
      </c>
      <c r="I570" s="6">
        <v>0.204260304570198</v>
      </c>
      <c r="J570" s="6">
        <v>-0.27488088607788103</v>
      </c>
      <c r="K570" s="6">
        <v>-0.164835825562477</v>
      </c>
      <c r="L570" s="6">
        <v>-0.12175422906875601</v>
      </c>
      <c r="M570" s="6">
        <v>-0.56365936994552601</v>
      </c>
      <c r="N570" s="6">
        <v>3.9837155585383202</v>
      </c>
      <c r="O570" s="6">
        <v>3.705682152655382</v>
      </c>
      <c r="P570" s="6">
        <v>8.5904095226524699</v>
      </c>
      <c r="Q570" s="6">
        <v>6.8122230487319788</v>
      </c>
      <c r="R570" s="6">
        <v>24.666429221125792</v>
      </c>
      <c r="S570" s="6">
        <v>22.023957867194124</v>
      </c>
      <c r="T570" s="6">
        <v>35.100265502929688</v>
      </c>
      <c r="U570" s="6" t="str">
        <f>_xll.BDP($A570,"TRAILING_12M_R&amp;D_%_SALES",$A$1,$A$2)</f>
        <v>#N/A N/A</v>
      </c>
      <c r="V570" s="6">
        <v>40</v>
      </c>
      <c r="W570" s="6">
        <v>403010</v>
      </c>
      <c r="X570" s="6">
        <v>40301010</v>
      </c>
      <c r="Y570" s="7" t="s">
        <v>53</v>
      </c>
      <c r="Z570" s="7" t="s">
        <v>54</v>
      </c>
      <c r="AA570" s="7" t="s">
        <v>241</v>
      </c>
      <c r="AB570" s="6">
        <v>46.252891540527344</v>
      </c>
      <c r="AC570" s="6">
        <v>0.90169538789639003</v>
      </c>
      <c r="AD570" s="6">
        <v>-3.2645772389958472</v>
      </c>
      <c r="AE570" s="6">
        <v>83000</v>
      </c>
      <c r="AF570" s="6">
        <v>60000</v>
      </c>
    </row>
    <row r="571" spans="1:32" s="4" customFormat="1" ht="12.75" x14ac:dyDescent="0.2">
      <c r="A571" s="7" t="s">
        <v>1879</v>
      </c>
      <c r="B571" s="7" t="s">
        <v>1880</v>
      </c>
      <c r="C571" s="7" t="s">
        <v>1881</v>
      </c>
      <c r="D571" s="6">
        <v>-0.20462459325790402</v>
      </c>
      <c r="E571" s="6">
        <v>0.26528325676918002</v>
      </c>
      <c r="F571" s="6">
        <v>5.0286702811718001E-2</v>
      </c>
      <c r="G571" s="6">
        <v>-0.12902665138244601</v>
      </c>
      <c r="H571" s="6">
        <v>0.16729834675788902</v>
      </c>
      <c r="I571" s="6">
        <v>-0.57168483734130904</v>
      </c>
      <c r="J571" s="6">
        <v>0.37812536954879805</v>
      </c>
      <c r="K571" s="6">
        <v>-0.69284027814865101</v>
      </c>
      <c r="L571" s="6">
        <v>1.626859188079834</v>
      </c>
      <c r="M571" s="6">
        <v>-0.68945753574371305</v>
      </c>
      <c r="N571" s="6">
        <v>1.9723650125726371</v>
      </c>
      <c r="O571" s="6">
        <v>1.956210409638045</v>
      </c>
      <c r="P571" s="6">
        <v>4.7077364576966421</v>
      </c>
      <c r="Q571" s="6">
        <v>3.880756570563352</v>
      </c>
      <c r="R571" s="6">
        <v>11.670002190354536</v>
      </c>
      <c r="S571" s="6">
        <v>11.513689203246896</v>
      </c>
      <c r="T571" s="6">
        <v>46.07568359375</v>
      </c>
      <c r="U571" s="6">
        <f>_xll.BDP($A571,"TRAILING_12M_R&amp;D_%_SALES",$A$1,$A$2)</f>
        <v>4.7737369174007984</v>
      </c>
      <c r="V571" s="6">
        <v>20</v>
      </c>
      <c r="W571" s="6">
        <v>201050</v>
      </c>
      <c r="X571" s="6">
        <v>20105010</v>
      </c>
      <c r="Y571" s="7" t="s">
        <v>43</v>
      </c>
      <c r="Z571" s="7" t="s">
        <v>1427</v>
      </c>
      <c r="AA571" s="7" t="s">
        <v>1427</v>
      </c>
      <c r="AB571" s="6">
        <v>70.958656311035156</v>
      </c>
      <c r="AC571" s="6">
        <v>0.79567828862374401</v>
      </c>
      <c r="AD571" s="6">
        <v>-29.60249942269062</v>
      </c>
      <c r="AE571" s="6">
        <v>95000</v>
      </c>
      <c r="AF571" s="6">
        <v>91584</v>
      </c>
    </row>
    <row r="572" spans="1:32" s="4" customFormat="1" ht="12.75" x14ac:dyDescent="0.2">
      <c r="A572" s="7" t="s">
        <v>1882</v>
      </c>
      <c r="B572" s="7" t="s">
        <v>1883</v>
      </c>
      <c r="C572" s="7" t="s">
        <v>1884</v>
      </c>
      <c r="D572" s="6">
        <v>-0.7813251018524171</v>
      </c>
      <c r="E572" s="6">
        <v>-0.145969614386559</v>
      </c>
      <c r="F572" s="6">
        <v>6.604940444231E-2</v>
      </c>
      <c r="G572" s="6">
        <v>-0.33686986565589905</v>
      </c>
      <c r="H572" s="6">
        <v>-1.2129194736480711</v>
      </c>
      <c r="I572" s="6">
        <v>-0.91748487949371305</v>
      </c>
      <c r="J572" s="6">
        <v>2.2140376567840581</v>
      </c>
      <c r="K572" s="6">
        <v>-0.80778586864471402</v>
      </c>
      <c r="L572" s="6">
        <v>-0.18456777930259702</v>
      </c>
      <c r="M572" s="6">
        <v>-0.13044893741607702</v>
      </c>
      <c r="N572" s="6">
        <v>0.32900911295125501</v>
      </c>
      <c r="O572" s="6"/>
      <c r="P572" s="6">
        <v>1.038623461953907</v>
      </c>
      <c r="Q572" s="6"/>
      <c r="R572" s="6">
        <v>5.617358683303828</v>
      </c>
      <c r="S572" s="6"/>
      <c r="T572" s="6">
        <v>21.643110275268555</v>
      </c>
      <c r="U572" s="6">
        <f>_xll.BDP($A572,"TRAILING_12M_R&amp;D_%_SALES",$A$1,$A$2)</f>
        <v>4.6254822699606821</v>
      </c>
      <c r="V572" s="6">
        <v>25</v>
      </c>
      <c r="W572" s="6">
        <v>251020</v>
      </c>
      <c r="X572" s="6">
        <v>25102010</v>
      </c>
      <c r="Y572" s="7" t="s">
        <v>108</v>
      </c>
      <c r="Z572" s="7" t="s">
        <v>422</v>
      </c>
      <c r="AA572" s="7" t="s">
        <v>423</v>
      </c>
      <c r="AB572" s="6">
        <v>56.392715454101563</v>
      </c>
      <c r="AC572" s="6"/>
      <c r="AD572" s="6"/>
      <c r="AE572" s="6">
        <v>28796</v>
      </c>
      <c r="AF572" s="6">
        <v>29604</v>
      </c>
    </row>
    <row r="573" spans="1:32" s="4" customFormat="1" ht="12.75" x14ac:dyDescent="0.2">
      <c r="A573" s="7" t="s">
        <v>1885</v>
      </c>
      <c r="B573" s="7" t="s">
        <v>1886</v>
      </c>
      <c r="C573" s="7" t="s">
        <v>1887</v>
      </c>
      <c r="D573" s="6">
        <v>-0.32500565052032504</v>
      </c>
      <c r="E573" s="6">
        <v>0.77371698617935203</v>
      </c>
      <c r="F573" s="6">
        <v>0.92408376932144209</v>
      </c>
      <c r="G573" s="6">
        <v>-0.34287980198860202</v>
      </c>
      <c r="H573" s="6">
        <v>1.663100957870483</v>
      </c>
      <c r="I573" s="6">
        <v>0.54186356067657504</v>
      </c>
      <c r="J573" s="6">
        <v>0.19789014756679502</v>
      </c>
      <c r="K573" s="6">
        <v>-1.4361716508865361</v>
      </c>
      <c r="L573" s="6">
        <v>3.00003981590271</v>
      </c>
      <c r="M573" s="6">
        <v>-0.28326448798179604</v>
      </c>
      <c r="N573" s="6">
        <v>4.0075552601359279</v>
      </c>
      <c r="O573" s="6">
        <v>3.893822683813811</v>
      </c>
      <c r="P573" s="6"/>
      <c r="Q573" s="6"/>
      <c r="R573" s="6">
        <v>9.6383988288429592</v>
      </c>
      <c r="S573" s="6">
        <v>9.1759833434717812</v>
      </c>
      <c r="T573" s="6"/>
      <c r="U573" s="6" t="str">
        <f>_xll.BDP($A573,"TRAILING_12M_R&amp;D_%_SALES",$A$1,$A$2)</f>
        <v>#N/A N/A</v>
      </c>
      <c r="V573" s="6">
        <v>30</v>
      </c>
      <c r="W573" s="6">
        <v>302030</v>
      </c>
      <c r="X573" s="6">
        <v>30203010</v>
      </c>
      <c r="Y573" s="7" t="s">
        <v>91</v>
      </c>
      <c r="Z573" s="7" t="s">
        <v>1504</v>
      </c>
      <c r="AA573" s="7" t="s">
        <v>1504</v>
      </c>
      <c r="AB573" s="6">
        <v>68.966903686523438</v>
      </c>
      <c r="AC573" s="6">
        <v>0.55003854270687902</v>
      </c>
      <c r="AD573" s="6">
        <v>4.6851273775421642</v>
      </c>
      <c r="AE573" s="6">
        <v>6000</v>
      </c>
      <c r="AF573" s="6">
        <v>8300</v>
      </c>
    </row>
    <row r="574" spans="1:32" s="4" customFormat="1" ht="12.75" x14ac:dyDescent="0.2">
      <c r="A574" s="7" t="s">
        <v>1888</v>
      </c>
      <c r="B574" s="7" t="s">
        <v>1889</v>
      </c>
      <c r="C574" s="7" t="s">
        <v>1890</v>
      </c>
      <c r="D574" s="6">
        <v>-0.96813589334487904</v>
      </c>
      <c r="E574" s="6">
        <v>-0.49846157431602506</v>
      </c>
      <c r="F574" s="6">
        <v>-0.80697500705719005</v>
      </c>
      <c r="G574" s="6">
        <v>3.5827413201332002E-2</v>
      </c>
      <c r="H574" s="6">
        <v>-0.27166804671287503</v>
      </c>
      <c r="I574" s="6">
        <v>0.68035167455673207</v>
      </c>
      <c r="J574" s="6">
        <v>-5.5902045220137003E-2</v>
      </c>
      <c r="K574" s="6">
        <v>1.3918683528900151</v>
      </c>
      <c r="L574" s="6">
        <v>-0.81727248430252109</v>
      </c>
      <c r="M574" s="6">
        <v>1.9945952892303471</v>
      </c>
      <c r="N574" s="6">
        <v>0.61302727770943</v>
      </c>
      <c r="O574" s="6">
        <v>0.58645787271344907</v>
      </c>
      <c r="P574" s="6">
        <v>6.298178301530629</v>
      </c>
      <c r="Q574" s="6">
        <v>4.1044308768503983</v>
      </c>
      <c r="R574" s="6">
        <v>21.135134641880477</v>
      </c>
      <c r="S574" s="6">
        <v>16.783345210252662</v>
      </c>
      <c r="T574" s="6">
        <v>30.185285568237305</v>
      </c>
      <c r="U574" s="6">
        <f>_xll.BDP($A574,"TRAILING_12M_R&amp;D_%_SALES",$A$1,$A$2)</f>
        <v>0</v>
      </c>
      <c r="V574" s="6">
        <v>35</v>
      </c>
      <c r="W574" s="6">
        <v>351020</v>
      </c>
      <c r="X574" s="6">
        <v>35102030</v>
      </c>
      <c r="Y574" s="7" t="s">
        <v>86</v>
      </c>
      <c r="Z574" s="7" t="s">
        <v>601</v>
      </c>
      <c r="AA574" s="7" t="s">
        <v>762</v>
      </c>
      <c r="AB574" s="6">
        <v>35.097072601318359</v>
      </c>
      <c r="AC574" s="6">
        <v>0.68728890755733307</v>
      </c>
      <c r="AD574" s="6">
        <v>2.9749310099826509</v>
      </c>
      <c r="AE574" s="6">
        <v>14000</v>
      </c>
      <c r="AF574" s="6">
        <v>21000</v>
      </c>
    </row>
    <row r="575" spans="1:32" s="4" customFormat="1" ht="12.75" x14ac:dyDescent="0.2">
      <c r="A575" s="7" t="s">
        <v>1891</v>
      </c>
      <c r="B575" s="7" t="s">
        <v>1892</v>
      </c>
      <c r="C575" s="7" t="s">
        <v>1893</v>
      </c>
      <c r="D575" s="6">
        <v>-0.99849277734756503</v>
      </c>
      <c r="E575" s="6">
        <v>6.9261111319065011E-2</v>
      </c>
      <c r="F575" s="6">
        <v>0.92483353614807107</v>
      </c>
      <c r="G575" s="6">
        <v>1.7698683738708501</v>
      </c>
      <c r="H575" s="6">
        <v>-0.43533471226692205</v>
      </c>
      <c r="I575" s="6">
        <v>1.038607001304626</v>
      </c>
      <c r="J575" s="6">
        <v>2.5264277458190918</v>
      </c>
      <c r="K575" s="6">
        <v>-0.33169841766357405</v>
      </c>
      <c r="L575" s="6">
        <v>7.6087646186352012E-2</v>
      </c>
      <c r="M575" s="6">
        <v>0.49453830718994102</v>
      </c>
      <c r="N575" s="6">
        <v>0.85222516204514109</v>
      </c>
      <c r="O575" s="6">
        <v>0.88709238696564408</v>
      </c>
      <c r="P575" s="6">
        <v>1.2896551113160561</v>
      </c>
      <c r="Q575" s="6">
        <v>1.058181578452928</v>
      </c>
      <c r="R575" s="6">
        <v>3.959194228596377</v>
      </c>
      <c r="S575" s="6">
        <v>4.3595024135989835</v>
      </c>
      <c r="T575" s="6">
        <v>33.856643676757813</v>
      </c>
      <c r="U575" s="6" t="str">
        <f>_xll.BDP($A575,"TRAILING_12M_R&amp;D_%_SALES",$A$1,$A$2)</f>
        <v>#N/A N/A</v>
      </c>
      <c r="V575" s="6">
        <v>15</v>
      </c>
      <c r="W575" s="6">
        <v>151010</v>
      </c>
      <c r="X575" s="6">
        <v>15101030</v>
      </c>
      <c r="Y575" s="7" t="s">
        <v>38</v>
      </c>
      <c r="Z575" s="7" t="s">
        <v>48</v>
      </c>
      <c r="AA575" s="7" t="s">
        <v>878</v>
      </c>
      <c r="AB575" s="6">
        <v>78.080673217773438</v>
      </c>
      <c r="AC575" s="6">
        <v>0.92573399313321802</v>
      </c>
      <c r="AD575" s="6">
        <v>13.047981701184685</v>
      </c>
      <c r="AE575" s="6">
        <v>12525</v>
      </c>
      <c r="AF575" s="6">
        <v>8700</v>
      </c>
    </row>
    <row r="576" spans="1:32" s="4" customFormat="1" ht="12.75" x14ac:dyDescent="0.2">
      <c r="A576" s="7" t="s">
        <v>1894</v>
      </c>
      <c r="B576" s="7" t="s">
        <v>1895</v>
      </c>
      <c r="C576" s="7" t="s">
        <v>1896</v>
      </c>
      <c r="D576" s="6">
        <v>0.25166365504264804</v>
      </c>
      <c r="E576" s="6">
        <v>9.4087094068527014E-2</v>
      </c>
      <c r="F576" s="6">
        <v>-0.16888186335563701</v>
      </c>
      <c r="G576" s="6">
        <v>0.61128455400466908</v>
      </c>
      <c r="H576" s="6">
        <v>0.41787880659103405</v>
      </c>
      <c r="I576" s="6">
        <v>1.821155428886414</v>
      </c>
      <c r="J576" s="6">
        <v>1.9950168132781982</v>
      </c>
      <c r="K576" s="6">
        <v>-0.28189173340797402</v>
      </c>
      <c r="L576" s="6">
        <v>0.45349559187889105</v>
      </c>
      <c r="M576" s="6">
        <v>1.131806492805481</v>
      </c>
      <c r="N576" s="6">
        <v>0.36342765878479405</v>
      </c>
      <c r="O576" s="6">
        <v>0.38730854156212802</v>
      </c>
      <c r="P576" s="6">
        <v>2.0752322304447519</v>
      </c>
      <c r="Q576" s="6">
        <v>2.0271057692532599</v>
      </c>
      <c r="R576" s="6">
        <v>5.5257039785059723</v>
      </c>
      <c r="S576" s="6">
        <v>7.8126598533834857</v>
      </c>
      <c r="T576" s="6">
        <v>43.855342864990234</v>
      </c>
      <c r="U576" s="6" t="str">
        <f>_xll.BDP($A576,"TRAILING_12M_R&amp;D_%_SALES",$A$1,$A$2)</f>
        <v>#N/A N/A</v>
      </c>
      <c r="V576" s="6">
        <v>10</v>
      </c>
      <c r="W576" s="6">
        <v>101020</v>
      </c>
      <c r="X576" s="6">
        <v>10102030</v>
      </c>
      <c r="Y576" s="7" t="s">
        <v>505</v>
      </c>
      <c r="Z576" s="7" t="s">
        <v>556</v>
      </c>
      <c r="AA576" s="7" t="s">
        <v>1482</v>
      </c>
      <c r="AB576" s="6">
        <v>75.485366821289063</v>
      </c>
      <c r="AC576" s="6">
        <v>0.8056953149946201</v>
      </c>
      <c r="AD576" s="6">
        <v>88.235037179130373</v>
      </c>
      <c r="AE576" s="6">
        <v>17700</v>
      </c>
      <c r="AF576" s="6">
        <v>44460</v>
      </c>
    </row>
    <row r="577" spans="1:32" s="4" customFormat="1" ht="12.75" x14ac:dyDescent="0.2">
      <c r="A577" s="7" t="s">
        <v>1897</v>
      </c>
      <c r="B577" s="7" t="s">
        <v>1898</v>
      </c>
      <c r="C577" s="7" t="s">
        <v>1899</v>
      </c>
      <c r="D577" s="6">
        <v>-0.73144870996475209</v>
      </c>
      <c r="E577" s="6">
        <v>3.6018427461386004E-2</v>
      </c>
      <c r="F577" s="6">
        <v>0.58013975620269809</v>
      </c>
      <c r="G577" s="6">
        <v>-0.92381769418716408</v>
      </c>
      <c r="H577" s="6">
        <v>1.1380103826522829</v>
      </c>
      <c r="I577" s="6">
        <v>0.69071030616760309</v>
      </c>
      <c r="J577" s="6">
        <v>0.69665300846099909</v>
      </c>
      <c r="K577" s="6">
        <v>-0.92407298088073708</v>
      </c>
      <c r="L577" s="6">
        <v>3.00003981590271</v>
      </c>
      <c r="M577" s="6">
        <v>-0.38930788636207603</v>
      </c>
      <c r="N577" s="6">
        <v>2.8489838356127319</v>
      </c>
      <c r="O577" s="6">
        <v>3.4927589228527629</v>
      </c>
      <c r="P577" s="6">
        <v>2.79099757682931</v>
      </c>
      <c r="Q577" s="6">
        <v>2.573794781369656</v>
      </c>
      <c r="R577" s="6">
        <v>9.6938126044176709</v>
      </c>
      <c r="S577" s="6">
        <v>9.6114204188181578</v>
      </c>
      <c r="T577" s="6">
        <v>32.352321624755859</v>
      </c>
      <c r="U577" s="6">
        <f>_xll.BDP($A577,"TRAILING_12M_R&amp;D_%_SALES",$A$1,$A$2)</f>
        <v>0</v>
      </c>
      <c r="V577" s="6">
        <v>10</v>
      </c>
      <c r="W577" s="6">
        <v>101020</v>
      </c>
      <c r="X577" s="6">
        <v>10102040</v>
      </c>
      <c r="Y577" s="7" t="s">
        <v>505</v>
      </c>
      <c r="Z577" s="7" t="s">
        <v>556</v>
      </c>
      <c r="AA577" s="7" t="s">
        <v>1122</v>
      </c>
      <c r="AB577" s="6">
        <v>43.96942138671875</v>
      </c>
      <c r="AC577" s="6">
        <v>0.73988365372321008</v>
      </c>
      <c r="AD577" s="6">
        <v>23.079990329521127</v>
      </c>
      <c r="AE577" s="6">
        <v>5836</v>
      </c>
      <c r="AF577" s="6"/>
    </row>
    <row r="578" spans="1:32" s="4" customFormat="1" ht="12.75" x14ac:dyDescent="0.2">
      <c r="A578" s="7" t="s">
        <v>1900</v>
      </c>
      <c r="B578" s="7" t="s">
        <v>1901</v>
      </c>
      <c r="C578" s="7" t="s">
        <v>1902</v>
      </c>
      <c r="D578" s="6">
        <v>-4.3964803218842004E-2</v>
      </c>
      <c r="E578" s="6">
        <v>-1.5812656879425049</v>
      </c>
      <c r="F578" s="6">
        <v>-0.15195371210575101</v>
      </c>
      <c r="G578" s="6">
        <v>-0.24221412837505302</v>
      </c>
      <c r="H578" s="6">
        <v>-0.62117582559585605</v>
      </c>
      <c r="I578" s="6">
        <v>-0.14508000016212502</v>
      </c>
      <c r="J578" s="6">
        <v>-0.78146475553512607</v>
      </c>
      <c r="K578" s="6">
        <v>3.0000851154327388</v>
      </c>
      <c r="L578" s="6">
        <v>-0.81727248430252109</v>
      </c>
      <c r="M578" s="6">
        <v>1.9163593053817751</v>
      </c>
      <c r="N578" s="6">
        <v>4.5399689348741559</v>
      </c>
      <c r="O578" s="6">
        <v>3.4740935349224089</v>
      </c>
      <c r="P578" s="6">
        <v>7.4875820193564477</v>
      </c>
      <c r="Q578" s="6">
        <v>7.0719008511794392</v>
      </c>
      <c r="R578" s="6"/>
      <c r="S578" s="6">
        <v>75.506543322676748</v>
      </c>
      <c r="T578" s="6">
        <v>-8.5154151916503906</v>
      </c>
      <c r="U578" s="6">
        <f>_xll.BDP($A578,"TRAILING_12M_R&amp;D_%_SALES",$A$1,$A$2)</f>
        <v>6.5237255050167544</v>
      </c>
      <c r="V578" s="6">
        <v>25</v>
      </c>
      <c r="W578" s="6">
        <v>253010</v>
      </c>
      <c r="X578" s="6">
        <v>25301040</v>
      </c>
      <c r="Y578" s="7" t="s">
        <v>108</v>
      </c>
      <c r="Z578" s="7" t="s">
        <v>109</v>
      </c>
      <c r="AA578" s="7" t="s">
        <v>1798</v>
      </c>
      <c r="AB578" s="6">
        <v>46.343425750732422</v>
      </c>
      <c r="AC578" s="6">
        <v>0.93573783712149405</v>
      </c>
      <c r="AD578" s="6">
        <v>-25.52900934132154</v>
      </c>
      <c r="AE578" s="6">
        <v>100033</v>
      </c>
      <c r="AF578" s="6"/>
    </row>
    <row r="579" spans="1:32" s="4" customFormat="1" ht="12.75" x14ac:dyDescent="0.2">
      <c r="A579" s="7" t="s">
        <v>1903</v>
      </c>
      <c r="B579" s="7" t="s">
        <v>1904</v>
      </c>
      <c r="C579" s="7" t="s">
        <v>1905</v>
      </c>
      <c r="D579" s="6">
        <v>-4.3964803218842004E-2</v>
      </c>
      <c r="E579" s="6">
        <v>-1.5812656879425049</v>
      </c>
      <c r="F579" s="6">
        <v>-0.15195371210575101</v>
      </c>
      <c r="G579" s="6">
        <v>-0.24221412837505302</v>
      </c>
      <c r="H579" s="6">
        <v>-0.62117582559585605</v>
      </c>
      <c r="I579" s="6">
        <v>-0.14508000016212502</v>
      </c>
      <c r="J579" s="6">
        <v>-0.78146475553512607</v>
      </c>
      <c r="K579" s="6">
        <v>3.0000851154327388</v>
      </c>
      <c r="L579" s="6">
        <v>-0.81727248430252109</v>
      </c>
      <c r="M579" s="6">
        <v>1.9163593053817751</v>
      </c>
      <c r="N579" s="6">
        <v>4.5399689348741559</v>
      </c>
      <c r="O579" s="6"/>
      <c r="P579" s="6">
        <v>7.4875820193564477</v>
      </c>
      <c r="Q579" s="6"/>
      <c r="R579" s="6"/>
      <c r="S579" s="6"/>
      <c r="T579" s="6">
        <v>-8.5154151916503906</v>
      </c>
      <c r="U579" s="6">
        <f>_xll.BDP($A579,"TRAILING_12M_R&amp;D_%_SALES",$A$1,$A$2)</f>
        <v>6.5237255050167544</v>
      </c>
      <c r="V579" s="6">
        <v>25</v>
      </c>
      <c r="W579" s="6">
        <v>253010</v>
      </c>
      <c r="X579" s="6">
        <v>25301040</v>
      </c>
      <c r="Y579" s="7" t="s">
        <v>108</v>
      </c>
      <c r="Z579" s="7" t="s">
        <v>109</v>
      </c>
      <c r="AA579" s="7" t="s">
        <v>1798</v>
      </c>
      <c r="AB579" s="6">
        <v>46.343425750732422</v>
      </c>
      <c r="AC579" s="6">
        <v>1.148578183554515</v>
      </c>
      <c r="AD579" s="6">
        <v>-24.749105307834185</v>
      </c>
      <c r="AE579" s="6">
        <v>100033</v>
      </c>
      <c r="AF579" s="6"/>
    </row>
    <row r="580" spans="1:32" s="4" customFormat="1" ht="12.75" x14ac:dyDescent="0.2">
      <c r="A580" s="7" t="s">
        <v>1906</v>
      </c>
      <c r="B580" s="7" t="s">
        <v>1907</v>
      </c>
      <c r="C580" s="7" t="s">
        <v>1908</v>
      </c>
      <c r="D580" s="6">
        <v>2.3398986086249001E-2</v>
      </c>
      <c r="E580" s="6">
        <v>-0.73336833715438809</v>
      </c>
      <c r="F580" s="6">
        <v>0.21536402404308302</v>
      </c>
      <c r="G580" s="6">
        <v>-0.82208442687988303</v>
      </c>
      <c r="H580" s="6">
        <v>1.3722410202026372</v>
      </c>
      <c r="I580" s="6">
        <v>-8.3695836365223E-2</v>
      </c>
      <c r="J580" s="6">
        <v>1.166855931282043</v>
      </c>
      <c r="K580" s="6">
        <v>-0.31049489974975603</v>
      </c>
      <c r="L580" s="6">
        <v>1.0598047971725459</v>
      </c>
      <c r="M580" s="6">
        <v>-0.35079285502433805</v>
      </c>
      <c r="N580" s="6">
        <v>2.8539556089674099</v>
      </c>
      <c r="O580" s="6"/>
      <c r="P580" s="6">
        <v>1.967271623999622</v>
      </c>
      <c r="Q580" s="6"/>
      <c r="R580" s="6">
        <v>12.747023717751732</v>
      </c>
      <c r="S580" s="6">
        <v>14.766841711628315</v>
      </c>
      <c r="T580" s="6">
        <v>17.378747940063477</v>
      </c>
      <c r="U580" s="6" t="str">
        <f>_xll.BDP($A580,"TRAILING_12M_R&amp;D_%_SALES",$A$1,$A$2)</f>
        <v>#N/A N/A</v>
      </c>
      <c r="V580" s="6">
        <v>40</v>
      </c>
      <c r="W580" s="6">
        <v>402030</v>
      </c>
      <c r="X580" s="6">
        <v>40203030</v>
      </c>
      <c r="Y580" s="7" t="s">
        <v>53</v>
      </c>
      <c r="Z580" s="7" t="s">
        <v>298</v>
      </c>
      <c r="AA580" s="7" t="s">
        <v>837</v>
      </c>
      <c r="AB580" s="6">
        <v>52.459510803222656</v>
      </c>
      <c r="AC580" s="6">
        <v>1.028834991631512</v>
      </c>
      <c r="AD580" s="6">
        <v>-22.17415702175828</v>
      </c>
      <c r="AE580" s="6">
        <v>18133</v>
      </c>
      <c r="AF580" s="6">
        <v>13597</v>
      </c>
    </row>
    <row r="581" spans="1:32" s="4" customFormat="1" ht="12.75" x14ac:dyDescent="0.2">
      <c r="A581" s="7" t="s">
        <v>1909</v>
      </c>
      <c r="B581" s="7" t="s">
        <v>1910</v>
      </c>
      <c r="C581" s="7" t="s">
        <v>1911</v>
      </c>
      <c r="D581" s="6">
        <v>-0.82472562789917003</v>
      </c>
      <c r="E581" s="6">
        <v>-0.331241875886917</v>
      </c>
      <c r="F581" s="6">
        <v>-8.6063049733639013E-2</v>
      </c>
      <c r="G581" s="6">
        <v>-0.649891376495361</v>
      </c>
      <c r="H581" s="6">
        <v>-1.198664784431458</v>
      </c>
      <c r="I581" s="6">
        <v>-0.11557975411415101</v>
      </c>
      <c r="J581" s="6">
        <v>0.43675452470779402</v>
      </c>
      <c r="K581" s="6">
        <v>-0.47010719776153603</v>
      </c>
      <c r="L581" s="6">
        <v>0.28039199113845803</v>
      </c>
      <c r="M581" s="6">
        <v>-0.37985798716545105</v>
      </c>
      <c r="N581" s="6">
        <v>2.3001337446240151</v>
      </c>
      <c r="O581" s="6">
        <v>2.304459502791961</v>
      </c>
      <c r="P581" s="6">
        <v>1.7261754449350599</v>
      </c>
      <c r="Q581" s="6">
        <v>1.6062853588836981</v>
      </c>
      <c r="R581" s="6">
        <v>13.682243207450117</v>
      </c>
      <c r="S581" s="6">
        <v>13.15145736886088</v>
      </c>
      <c r="T581" s="6">
        <v>13.785423278808594</v>
      </c>
      <c r="U581" s="6">
        <f>_xll.BDP($A581,"TRAILING_12M_R&amp;D_%_SALES",$A$1,$A$2)</f>
        <v>8.2775859035032742</v>
      </c>
      <c r="V581" s="6">
        <v>45</v>
      </c>
      <c r="W581" s="6">
        <v>452030</v>
      </c>
      <c r="X581" s="6">
        <v>45203015</v>
      </c>
      <c r="Y581" s="7" t="s">
        <v>66</v>
      </c>
      <c r="Z581" s="7" t="s">
        <v>339</v>
      </c>
      <c r="AA581" s="7" t="s">
        <v>340</v>
      </c>
      <c r="AB581" s="6">
        <v>73.916107177734375</v>
      </c>
      <c r="AC581" s="6">
        <v>0.72230414178475011</v>
      </c>
      <c r="AD581" s="6">
        <v>-35.933374463345721</v>
      </c>
      <c r="AE581" s="6">
        <v>77581</v>
      </c>
      <c r="AF581" s="6">
        <v>59985</v>
      </c>
    </row>
    <row r="582" spans="1:32" s="4" customFormat="1" ht="12.75" x14ac:dyDescent="0.2">
      <c r="A582" s="7" t="s">
        <v>1912</v>
      </c>
      <c r="B582" s="7" t="s">
        <v>1913</v>
      </c>
      <c r="C582" s="7" t="s">
        <v>1914</v>
      </c>
      <c r="D582" s="6">
        <v>-0.82472562789917003</v>
      </c>
      <c r="E582" s="6">
        <v>-0.331241875886917</v>
      </c>
      <c r="F582" s="6">
        <v>-8.6063049733639013E-2</v>
      </c>
      <c r="G582" s="6">
        <v>-0.649891376495361</v>
      </c>
      <c r="H582" s="6">
        <v>-1.198664784431458</v>
      </c>
      <c r="I582" s="6">
        <v>-0.11557975411415101</v>
      </c>
      <c r="J582" s="6">
        <v>0.43675452470779402</v>
      </c>
      <c r="K582" s="6">
        <v>-0.47010719776153603</v>
      </c>
      <c r="L582" s="6">
        <v>0.28039199113845803</v>
      </c>
      <c r="M582" s="6">
        <v>-0.37985798716545105</v>
      </c>
      <c r="N582" s="6">
        <v>2.3001337446240151</v>
      </c>
      <c r="O582" s="6"/>
      <c r="P582" s="6">
        <v>1.7261754449350599</v>
      </c>
      <c r="Q582" s="6"/>
      <c r="R582" s="6">
        <v>13.682243207450117</v>
      </c>
      <c r="S582" s="6"/>
      <c r="T582" s="6">
        <v>13.785423278808594</v>
      </c>
      <c r="U582" s="6">
        <f>_xll.BDP($A582,"TRAILING_12M_R&amp;D_%_SALES",$A$1,$A$2)</f>
        <v>8.2775859035032742</v>
      </c>
      <c r="V582" s="6">
        <v>45</v>
      </c>
      <c r="W582" s="6">
        <v>452030</v>
      </c>
      <c r="X582" s="6">
        <v>45203015</v>
      </c>
      <c r="Y582" s="7" t="s">
        <v>66</v>
      </c>
      <c r="Z582" s="7" t="s">
        <v>339</v>
      </c>
      <c r="AA582" s="7" t="s">
        <v>340</v>
      </c>
      <c r="AB582" s="6">
        <v>73.916107177734375</v>
      </c>
      <c r="AC582" s="6">
        <v>0.89972451146872312</v>
      </c>
      <c r="AD582" s="6">
        <v>-36.94291771460432</v>
      </c>
      <c r="AE582" s="6">
        <v>77581</v>
      </c>
      <c r="AF582" s="6">
        <v>59985</v>
      </c>
    </row>
    <row r="583" spans="1:32" s="4" customFormat="1" ht="12.75" x14ac:dyDescent="0.2">
      <c r="A583" s="7" t="s">
        <v>1915</v>
      </c>
      <c r="B583" s="7" t="s">
        <v>1916</v>
      </c>
      <c r="C583" s="7" t="s">
        <v>1917</v>
      </c>
      <c r="D583" s="6">
        <v>0.60406911373138406</v>
      </c>
      <c r="E583" s="6">
        <v>0.27534735202789301</v>
      </c>
      <c r="F583" s="6">
        <v>-8.7174423038960003E-2</v>
      </c>
      <c r="G583" s="6">
        <v>-0.46466267108917203</v>
      </c>
      <c r="H583" s="6">
        <v>-0.24105639755725902</v>
      </c>
      <c r="I583" s="6">
        <v>1.3950396776199341</v>
      </c>
      <c r="J583" s="6">
        <v>-5.5261533707380003E-2</v>
      </c>
      <c r="K583" s="6">
        <v>-0.46308603882789606</v>
      </c>
      <c r="L583" s="6">
        <v>0.45791301131248502</v>
      </c>
      <c r="M583" s="6">
        <v>-0.16294057667255402</v>
      </c>
      <c r="N583" s="6">
        <v>4.7593683537718956</v>
      </c>
      <c r="O583" s="6">
        <v>4.8407479581730861</v>
      </c>
      <c r="P583" s="6">
        <v>6.3224039801860208</v>
      </c>
      <c r="Q583" s="6">
        <v>5.280281325768752</v>
      </c>
      <c r="R583" s="6">
        <v>15.37268247218339</v>
      </c>
      <c r="S583" s="6">
        <v>14.890592440538676</v>
      </c>
      <c r="T583" s="6">
        <v>38.030204772949219</v>
      </c>
      <c r="U583" s="6">
        <f>_xll.BDP($A583,"TRAILING_12M_R&amp;D_%_SALES",$A$1,$A$2)</f>
        <v>27.956302206707395</v>
      </c>
      <c r="V583" s="6">
        <v>35</v>
      </c>
      <c r="W583" s="6">
        <v>352020</v>
      </c>
      <c r="X583" s="6">
        <v>35202010</v>
      </c>
      <c r="Y583" s="7" t="s">
        <v>86</v>
      </c>
      <c r="Z583" s="7" t="s">
        <v>271</v>
      </c>
      <c r="AA583" s="7" t="s">
        <v>271</v>
      </c>
      <c r="AB583" s="6">
        <v>77.869430541992188</v>
      </c>
      <c r="AC583" s="6">
        <v>0.52630798116184307</v>
      </c>
      <c r="AD583" s="6">
        <v>48.416061926680868</v>
      </c>
      <c r="AE583" s="6">
        <v>67000</v>
      </c>
      <c r="AF583" s="6">
        <v>68000</v>
      </c>
    </row>
    <row r="584" spans="1:32" s="4" customFormat="1" ht="12.75" x14ac:dyDescent="0.2">
      <c r="A584" s="7" t="s">
        <v>1918</v>
      </c>
      <c r="B584" s="7" t="s">
        <v>1919</v>
      </c>
      <c r="C584" s="7" t="s">
        <v>1920</v>
      </c>
      <c r="D584" s="6">
        <v>-0.45211958885192904</v>
      </c>
      <c r="E584" s="6">
        <v>2.263834953308105</v>
      </c>
      <c r="F584" s="6">
        <v>0.68199127912521407</v>
      </c>
      <c r="G584" s="6">
        <v>2.4554224014282231</v>
      </c>
      <c r="H584" s="6">
        <v>-1.243583202362061</v>
      </c>
      <c r="I584" s="6">
        <v>-3.7356812506914E-2</v>
      </c>
      <c r="J584" s="6">
        <v>0.56464534997940108</v>
      </c>
      <c r="K584" s="6">
        <v>2.5862481594085689</v>
      </c>
      <c r="L584" s="6">
        <v>-0.81727248430252109</v>
      </c>
      <c r="M584" s="6">
        <v>3.0000665187835689</v>
      </c>
      <c r="N584" s="6">
        <v>3.3565954364825479</v>
      </c>
      <c r="O584" s="6">
        <v>8.3439466505607776</v>
      </c>
      <c r="P584" s="6">
        <v>3.8635470868299651</v>
      </c>
      <c r="Q584" s="6">
        <v>2.8310605708057852</v>
      </c>
      <c r="R584" s="6">
        <v>6.4950081439246219</v>
      </c>
      <c r="S584" s="6">
        <v>37.81933117098049</v>
      </c>
      <c r="T584" s="6">
        <v>83.689002990722656</v>
      </c>
      <c r="U584" s="6">
        <f>_xll.BDP($A584,"TRAILING_12M_R&amp;D_%_SALES",$A$1,$A$2)</f>
        <v>140.389369592089</v>
      </c>
      <c r="V584" s="6">
        <v>35</v>
      </c>
      <c r="W584" s="6">
        <v>352010</v>
      </c>
      <c r="X584" s="6">
        <v>35201010</v>
      </c>
      <c r="Y584" s="7" t="s">
        <v>86</v>
      </c>
      <c r="Z584" s="7" t="s">
        <v>87</v>
      </c>
      <c r="AA584" s="7" t="s">
        <v>87</v>
      </c>
      <c r="AB584" s="6">
        <v>56.593902587890625</v>
      </c>
      <c r="AC584" s="6">
        <v>1.377854054930276</v>
      </c>
      <c r="AD584" s="6">
        <v>-28.608906693234903</v>
      </c>
      <c r="AE584" s="6">
        <v>2700</v>
      </c>
      <c r="AF584" s="6">
        <v>25</v>
      </c>
    </row>
    <row r="585" spans="1:32" s="4" customFormat="1" ht="12.75" x14ac:dyDescent="0.2">
      <c r="A585" s="7" t="s">
        <v>1921</v>
      </c>
      <c r="B585" s="7" t="s">
        <v>1922</v>
      </c>
      <c r="C585" s="7" t="s">
        <v>1923</v>
      </c>
      <c r="D585" s="6">
        <v>1.04865562915802</v>
      </c>
      <c r="E585" s="6">
        <v>-0.46295469999313404</v>
      </c>
      <c r="F585" s="6">
        <v>0.52290105819702104</v>
      </c>
      <c r="G585" s="6">
        <v>-0.34901490807533303</v>
      </c>
      <c r="H585" s="6">
        <v>1.049838542938232</v>
      </c>
      <c r="I585" s="6">
        <v>6.9497451186180004E-2</v>
      </c>
      <c r="J585" s="6">
        <v>0.31313955783844</v>
      </c>
      <c r="K585" s="6">
        <v>-0.60045647621154807</v>
      </c>
      <c r="L585" s="6">
        <v>0.96320700645446811</v>
      </c>
      <c r="M585" s="6">
        <v>-0.95430511236190807</v>
      </c>
      <c r="N585" s="6">
        <v>2.384222962120885</v>
      </c>
      <c r="O585" s="6">
        <v>2.5702581826766351</v>
      </c>
      <c r="P585" s="6">
        <v>1.561095459479708</v>
      </c>
      <c r="Q585" s="6">
        <v>1.4937457835040771</v>
      </c>
      <c r="R585" s="6">
        <v>11.958853261750518</v>
      </c>
      <c r="S585" s="6">
        <v>11.715720938444768</v>
      </c>
      <c r="T585" s="6">
        <v>12.624072074890137</v>
      </c>
      <c r="U585" s="6" t="str">
        <f>_xll.BDP($A585,"TRAILING_12M_R&amp;D_%_SALES",$A$1,$A$2)</f>
        <v>#N/A N/A</v>
      </c>
      <c r="V585" s="6">
        <v>40</v>
      </c>
      <c r="W585" s="6">
        <v>402030</v>
      </c>
      <c r="X585" s="6">
        <v>40203020</v>
      </c>
      <c r="Y585" s="7" t="s">
        <v>53</v>
      </c>
      <c r="Z585" s="7" t="s">
        <v>298</v>
      </c>
      <c r="AA585" s="7" t="s">
        <v>688</v>
      </c>
      <c r="AB585" s="6">
        <v>50.015087127685547</v>
      </c>
      <c r="AC585" s="6">
        <v>1.02359336687911</v>
      </c>
      <c r="AD585" s="6">
        <v>-10.9808660331548</v>
      </c>
      <c r="AE585" s="6">
        <v>74814</v>
      </c>
      <c r="AF585" s="6">
        <v>55311</v>
      </c>
    </row>
    <row r="586" spans="1:32" s="4" customFormat="1" ht="12.75" x14ac:dyDescent="0.2">
      <c r="A586" s="7" t="s">
        <v>1924</v>
      </c>
      <c r="B586" s="7" t="s">
        <v>1925</v>
      </c>
      <c r="C586" s="7" t="s">
        <v>1926</v>
      </c>
      <c r="D586" s="6">
        <v>-0.22390829026699102</v>
      </c>
      <c r="E586" s="6">
        <v>-1.005032420158386</v>
      </c>
      <c r="F586" s="6">
        <v>1.299216628074646</v>
      </c>
      <c r="G586" s="6">
        <v>-0.83904957771301303</v>
      </c>
      <c r="H586" s="6">
        <v>-0.62001335620880105</v>
      </c>
      <c r="I586" s="6">
        <v>0.77345573902130105</v>
      </c>
      <c r="J586" s="6">
        <v>0.84148108959198009</v>
      </c>
      <c r="K586" s="6">
        <v>-1.812048196792603</v>
      </c>
      <c r="L586" s="6">
        <v>1.422831535339355</v>
      </c>
      <c r="M586" s="6">
        <v>-0.88051378726959206</v>
      </c>
      <c r="N586" s="6">
        <v>0.44549735185146905</v>
      </c>
      <c r="O586" s="6">
        <v>0.38716646149649803</v>
      </c>
      <c r="P586" s="6">
        <v>0.79687629538714111</v>
      </c>
      <c r="Q586" s="6">
        <v>0.65421829690316202</v>
      </c>
      <c r="R586" s="6">
        <v>22.63847587279869</v>
      </c>
      <c r="S586" s="6">
        <v>8.1132484561183169</v>
      </c>
      <c r="T586" s="6">
        <v>3.9681599140167241</v>
      </c>
      <c r="U586" s="6" t="str">
        <f>_xll.BDP($A586,"TRAILING_12M_R&amp;D_%_SALES",$A$1,$A$2)</f>
        <v>#N/A N/A</v>
      </c>
      <c r="V586" s="6">
        <v>40</v>
      </c>
      <c r="W586" s="6">
        <v>403010</v>
      </c>
      <c r="X586" s="6">
        <v>40301040</v>
      </c>
      <c r="Y586" s="7" t="s">
        <v>53</v>
      </c>
      <c r="Z586" s="7" t="s">
        <v>54</v>
      </c>
      <c r="AA586" s="7" t="s">
        <v>125</v>
      </c>
      <c r="AB586" s="6">
        <v>59.953727722167969</v>
      </c>
      <c r="AC586" s="6">
        <v>0.26322898023761504</v>
      </c>
      <c r="AD586" s="6">
        <v>2.2483850299838348</v>
      </c>
      <c r="AE586" s="6">
        <v>39962</v>
      </c>
      <c r="AF586" s="6">
        <v>40641</v>
      </c>
    </row>
    <row r="587" spans="1:32" s="4" customFormat="1" ht="12.75" x14ac:dyDescent="0.2">
      <c r="A587" s="7" t="s">
        <v>1927</v>
      </c>
      <c r="B587" s="7" t="s">
        <v>1928</v>
      </c>
      <c r="C587" s="7" t="s">
        <v>1929</v>
      </c>
      <c r="D587" s="6">
        <v>-0.22390829026699102</v>
      </c>
      <c r="E587" s="6">
        <v>-1.005032420158386</v>
      </c>
      <c r="F587" s="6">
        <v>1.299216628074646</v>
      </c>
      <c r="G587" s="6">
        <v>-0.83904957771301303</v>
      </c>
      <c r="H587" s="6">
        <v>-0.62001335620880105</v>
      </c>
      <c r="I587" s="6">
        <v>0.77345573902130105</v>
      </c>
      <c r="J587" s="6">
        <v>0.84148108959198009</v>
      </c>
      <c r="K587" s="6">
        <v>-1.812048196792603</v>
      </c>
      <c r="L587" s="6">
        <v>1.422831535339355</v>
      </c>
      <c r="M587" s="6">
        <v>-0.88051378726959206</v>
      </c>
      <c r="N587" s="6">
        <v>0.44549735185146905</v>
      </c>
      <c r="O587" s="6"/>
      <c r="P587" s="6">
        <v>0.79687629538714111</v>
      </c>
      <c r="Q587" s="6"/>
      <c r="R587" s="6">
        <v>22.63847587279869</v>
      </c>
      <c r="S587" s="6"/>
      <c r="T587" s="6">
        <v>3.9681599140167241</v>
      </c>
      <c r="U587" s="6" t="str">
        <f>_xll.BDP($A587,"TRAILING_12M_R&amp;D_%_SALES",$A$1,$A$2)</f>
        <v>#N/A N/A</v>
      </c>
      <c r="V587" s="6">
        <v>40</v>
      </c>
      <c r="W587" s="6">
        <v>403010</v>
      </c>
      <c r="X587" s="6">
        <v>40301040</v>
      </c>
      <c r="Y587" s="7" t="s">
        <v>53</v>
      </c>
      <c r="Z587" s="7" t="s">
        <v>54</v>
      </c>
      <c r="AA587" s="7" t="s">
        <v>125</v>
      </c>
      <c r="AB587" s="6">
        <v>59.953727722167969</v>
      </c>
      <c r="AC587" s="6">
        <v>0.61858175597031706</v>
      </c>
      <c r="AD587" s="6">
        <v>8.3769656310297194</v>
      </c>
      <c r="AE587" s="6">
        <v>39962</v>
      </c>
      <c r="AF587" s="6">
        <v>40641</v>
      </c>
    </row>
    <row r="588" spans="1:32" s="4" customFormat="1" ht="12.75" x14ac:dyDescent="0.2">
      <c r="A588" s="7" t="s">
        <v>1930</v>
      </c>
      <c r="B588" s="7" t="s">
        <v>1931</v>
      </c>
      <c r="C588" s="7" t="s">
        <v>1932</v>
      </c>
      <c r="D588" s="6">
        <v>1.78007972240448</v>
      </c>
      <c r="E588" s="6">
        <v>0.52308255434036299</v>
      </c>
      <c r="F588" s="6">
        <v>-0.22400952875614202</v>
      </c>
      <c r="G588" s="6">
        <v>-0.54407352209091209</v>
      </c>
      <c r="H588" s="6">
        <v>-0.60116899013519309</v>
      </c>
      <c r="I588" s="6">
        <v>-0.43230870366096502</v>
      </c>
      <c r="J588" s="6">
        <v>-0.32213121652603105</v>
      </c>
      <c r="K588" s="6">
        <v>0.50892484188079801</v>
      </c>
      <c r="L588" s="6">
        <v>-0.254676133394241</v>
      </c>
      <c r="M588" s="6">
        <v>0.26173055171966603</v>
      </c>
      <c r="N588" s="6">
        <v>8.8361391389485711</v>
      </c>
      <c r="O588" s="6">
        <v>7.8717525273919113</v>
      </c>
      <c r="P588" s="6">
        <v>10.303503197997035</v>
      </c>
      <c r="Q588" s="6">
        <v>7.0091804536029034</v>
      </c>
      <c r="R588" s="6">
        <v>25.841305636417907</v>
      </c>
      <c r="S588" s="6">
        <v>23.126767740178209</v>
      </c>
      <c r="T588" s="6">
        <v>42.875308990478516</v>
      </c>
      <c r="U588" s="6">
        <f>_xll.BDP($A588,"TRAILING_12M_R&amp;D_%_SALES",$A$1,$A$2)</f>
        <v>11.905944186828215</v>
      </c>
      <c r="V588" s="6">
        <v>45</v>
      </c>
      <c r="W588" s="6">
        <v>451030</v>
      </c>
      <c r="X588" s="6">
        <v>45103020</v>
      </c>
      <c r="Y588" s="7" t="s">
        <v>66</v>
      </c>
      <c r="Z588" s="7" t="s">
        <v>150</v>
      </c>
      <c r="AA588" s="7" t="s">
        <v>1933</v>
      </c>
      <c r="AB588" s="6">
        <v>64.520675659179688</v>
      </c>
      <c r="AC588" s="6">
        <v>1.1901018008530611</v>
      </c>
      <c r="AD588" s="6">
        <v>-28.652985686785271</v>
      </c>
      <c r="AE588" s="6">
        <v>221000</v>
      </c>
      <c r="AF588" s="6">
        <v>124000</v>
      </c>
    </row>
    <row r="589" spans="1:32" s="4" customFormat="1" ht="12.75" x14ac:dyDescent="0.2">
      <c r="A589" s="7" t="s">
        <v>1934</v>
      </c>
      <c r="B589" s="7" t="s">
        <v>1935</v>
      </c>
      <c r="C589" s="7" t="s">
        <v>1936</v>
      </c>
      <c r="D589" s="6">
        <v>-0.165128454566002</v>
      </c>
      <c r="E589" s="6">
        <v>-6.0841318219900006E-2</v>
      </c>
      <c r="F589" s="6">
        <v>0.78508013486862205</v>
      </c>
      <c r="G589" s="6">
        <v>-0.27548581361770602</v>
      </c>
      <c r="H589" s="6">
        <v>-0.72258269786834706</v>
      </c>
      <c r="I589" s="6">
        <v>0.29225078225135803</v>
      </c>
      <c r="J589" s="6">
        <v>3.000007152557373</v>
      </c>
      <c r="K589" s="6">
        <v>-1.2399971485137939</v>
      </c>
      <c r="L589" s="6">
        <v>-0.10275632143020601</v>
      </c>
      <c r="M589" s="6">
        <v>5.2727971225977006E-2</v>
      </c>
      <c r="N589" s="6">
        <v>0.29882115924999103</v>
      </c>
      <c r="O589" s="6">
        <v>0.36855262884778806</v>
      </c>
      <c r="P589" s="6">
        <v>0.45535512894372304</v>
      </c>
      <c r="Q589" s="6">
        <v>0.40601699215775905</v>
      </c>
      <c r="R589" s="6">
        <v>1.9397407683805461</v>
      </c>
      <c r="S589" s="6">
        <v>7.7544540972333058</v>
      </c>
      <c r="T589" s="6">
        <v>26.522359848022461</v>
      </c>
      <c r="U589" s="6" t="str">
        <f>_xll.BDP($A589,"TRAILING_12M_R&amp;D_%_SALES",$A$1,$A$2)</f>
        <v>#N/A N/A</v>
      </c>
      <c r="V589" s="6">
        <v>15</v>
      </c>
      <c r="W589" s="6">
        <v>151040</v>
      </c>
      <c r="X589" s="6">
        <v>15104050</v>
      </c>
      <c r="Y589" s="7" t="s">
        <v>38</v>
      </c>
      <c r="Z589" s="7" t="s">
        <v>71</v>
      </c>
      <c r="AA589" s="7" t="s">
        <v>303</v>
      </c>
      <c r="AB589" s="6">
        <v>73.010765075683594</v>
      </c>
      <c r="AC589" s="6">
        <v>1.1281266364769089</v>
      </c>
      <c r="AD589" s="6">
        <v>-16.242281698698324</v>
      </c>
      <c r="AE589" s="6">
        <v>158000</v>
      </c>
      <c r="AF589" s="6">
        <v>199000</v>
      </c>
    </row>
    <row r="590" spans="1:32" s="4" customFormat="1" ht="12.75" x14ac:dyDescent="0.2">
      <c r="A590" s="7" t="s">
        <v>1937</v>
      </c>
      <c r="B590" s="7" t="s">
        <v>1938</v>
      </c>
      <c r="C590" s="7" t="s">
        <v>1939</v>
      </c>
      <c r="D590" s="6">
        <v>-0.44031324982643105</v>
      </c>
      <c r="E590" s="6">
        <v>-0.95121264457702603</v>
      </c>
      <c r="F590" s="6">
        <v>-3.9451584219933E-2</v>
      </c>
      <c r="G590" s="6">
        <v>0.17888967692852001</v>
      </c>
      <c r="H590" s="6">
        <v>-0.96636945009231612</v>
      </c>
      <c r="I590" s="6">
        <v>0.16991055011749301</v>
      </c>
      <c r="J590" s="6">
        <v>1.082709074020386</v>
      </c>
      <c r="K590" s="6">
        <v>2.7726214379072002E-2</v>
      </c>
      <c r="L590" s="6">
        <v>0.80455231666564908</v>
      </c>
      <c r="M590" s="6">
        <v>-1.0016956329345701</v>
      </c>
      <c r="N590" s="6">
        <v>3.007802158027554</v>
      </c>
      <c r="O590" s="6">
        <v>2.5745601776429012</v>
      </c>
      <c r="P590" s="6">
        <v>1.078937855920943</v>
      </c>
      <c r="Q590" s="6">
        <v>0.98050032430000811</v>
      </c>
      <c r="R590" s="6">
        <v>11.192697165905955</v>
      </c>
      <c r="S590" s="6">
        <v>7.6480512413317543</v>
      </c>
      <c r="T590" s="6">
        <v>8.130986213684082</v>
      </c>
      <c r="U590" s="6" t="str">
        <f>_xll.BDP($A590,"TRAILING_12M_R&amp;D_%_SALES",$A$1,$A$2)</f>
        <v>#N/A N/A</v>
      </c>
      <c r="V590" s="6">
        <v>40</v>
      </c>
      <c r="W590" s="6">
        <v>401010</v>
      </c>
      <c r="X590" s="6">
        <v>40101015</v>
      </c>
      <c r="Y590" s="7" t="s">
        <v>53</v>
      </c>
      <c r="Z590" s="7" t="s">
        <v>76</v>
      </c>
      <c r="AA590" s="7" t="s">
        <v>675</v>
      </c>
      <c r="AB590" s="6">
        <v>49.351173400878906</v>
      </c>
      <c r="AC590" s="6">
        <v>0.86542941620680502</v>
      </c>
      <c r="AD590" s="6">
        <v>-2.7293364919744878</v>
      </c>
      <c r="AE590" s="6">
        <v>17421</v>
      </c>
      <c r="AF590" s="6">
        <v>16973</v>
      </c>
    </row>
    <row r="591" spans="1:32" s="4" customFormat="1" ht="12.75" x14ac:dyDescent="0.2">
      <c r="A591" s="7" t="s">
        <v>1940</v>
      </c>
      <c r="B591" s="7" t="s">
        <v>1941</v>
      </c>
      <c r="C591" s="7" t="s">
        <v>1942</v>
      </c>
      <c r="D591" s="6">
        <v>-0.91387927532196012</v>
      </c>
      <c r="E591" s="6">
        <v>-0.78335475921630904</v>
      </c>
      <c r="F591" s="6">
        <v>0.13482411205768602</v>
      </c>
      <c r="G591" s="6">
        <v>-0.59135824441909801</v>
      </c>
      <c r="H591" s="6">
        <v>1.125541567802429</v>
      </c>
      <c r="I591" s="6">
        <v>-0.101984076201916</v>
      </c>
      <c r="J591" s="6">
        <v>2.102364063262939</v>
      </c>
      <c r="K591" s="6">
        <v>-0.99976313114166304</v>
      </c>
      <c r="L591" s="6">
        <v>1.2942823171615601</v>
      </c>
      <c r="M591" s="6">
        <v>-0.6880106925964361</v>
      </c>
      <c r="N591" s="6">
        <v>0.22311849835007902</v>
      </c>
      <c r="O591" s="6">
        <v>0.21561891815138501</v>
      </c>
      <c r="P591" s="6">
        <v>0.59854388668236003</v>
      </c>
      <c r="Q591" s="6">
        <v>0.59004030338818203</v>
      </c>
      <c r="R591" s="6">
        <v>5.8644672894054164</v>
      </c>
      <c r="S591" s="6">
        <v>7.2545070020959121</v>
      </c>
      <c r="T591" s="6">
        <v>11.25303840637207</v>
      </c>
      <c r="U591" s="6" t="str">
        <f>_xll.BDP($A591,"TRAILING_12M_R&amp;D_%_SALES",$A$1,$A$2)</f>
        <v>#N/A N/A</v>
      </c>
      <c r="V591" s="6">
        <v>15</v>
      </c>
      <c r="W591" s="6">
        <v>151010</v>
      </c>
      <c r="X591" s="6">
        <v>15101020</v>
      </c>
      <c r="Y591" s="7" t="s">
        <v>38</v>
      </c>
      <c r="Z591" s="7" t="s">
        <v>48</v>
      </c>
      <c r="AA591" s="7" t="s">
        <v>427</v>
      </c>
      <c r="AB591" s="6">
        <v>59.028266906738281</v>
      </c>
      <c r="AC591" s="6">
        <v>0.42152683145261605</v>
      </c>
      <c r="AD591" s="6">
        <v>-28.834707319560593</v>
      </c>
      <c r="AE591" s="6">
        <v>69784</v>
      </c>
      <c r="AF591" s="6">
        <v>69291</v>
      </c>
    </row>
    <row r="592" spans="1:32" s="4" customFormat="1" ht="12.75" x14ac:dyDescent="0.2">
      <c r="A592" s="7" t="s">
        <v>1943</v>
      </c>
      <c r="B592" s="7" t="s">
        <v>1944</v>
      </c>
      <c r="C592" s="7" t="s">
        <v>1945</v>
      </c>
      <c r="D592" s="6">
        <v>-0.91387927532196012</v>
      </c>
      <c r="E592" s="6">
        <v>-0.78335475921630904</v>
      </c>
      <c r="F592" s="6">
        <v>0.13482411205768602</v>
      </c>
      <c r="G592" s="6">
        <v>-0.59135824441909801</v>
      </c>
      <c r="H592" s="6">
        <v>1.125541567802429</v>
      </c>
      <c r="I592" s="6">
        <v>-0.101984076201916</v>
      </c>
      <c r="J592" s="6">
        <v>2.102364063262939</v>
      </c>
      <c r="K592" s="6">
        <v>-0.99976313114166304</v>
      </c>
      <c r="L592" s="6">
        <v>1.2942823171615601</v>
      </c>
      <c r="M592" s="6">
        <v>-0.6880106925964361</v>
      </c>
      <c r="N592" s="6">
        <v>0.22311849835007902</v>
      </c>
      <c r="O592" s="6"/>
      <c r="P592" s="6">
        <v>0.59854388668236003</v>
      </c>
      <c r="Q592" s="6"/>
      <c r="R592" s="6">
        <v>5.8644672894054164</v>
      </c>
      <c r="S592" s="6"/>
      <c r="T592" s="6">
        <v>11.25303840637207</v>
      </c>
      <c r="U592" s="6" t="str">
        <f>_xll.BDP($A592,"TRAILING_12M_R&amp;D_%_SALES",$A$1,$A$2)</f>
        <v>#N/A N/A</v>
      </c>
      <c r="V592" s="6">
        <v>15</v>
      </c>
      <c r="W592" s="6">
        <v>151010</v>
      </c>
      <c r="X592" s="6">
        <v>15101020</v>
      </c>
      <c r="Y592" s="7" t="s">
        <v>38</v>
      </c>
      <c r="Z592" s="7" t="s">
        <v>48</v>
      </c>
      <c r="AA592" s="7" t="s">
        <v>427</v>
      </c>
      <c r="AB592" s="6">
        <v>59.028266906738281</v>
      </c>
      <c r="AC592" s="6">
        <v>0.51327126336554207</v>
      </c>
      <c r="AD592" s="6">
        <v>-26.001384689873785</v>
      </c>
      <c r="AE592" s="6">
        <v>69784</v>
      </c>
      <c r="AF592" s="6">
        <v>69291</v>
      </c>
    </row>
    <row r="593" spans="1:32" s="4" customFormat="1" ht="12.75" x14ac:dyDescent="0.2">
      <c r="A593" s="7" t="s">
        <v>1946</v>
      </c>
      <c r="B593" s="7" t="s">
        <v>1947</v>
      </c>
      <c r="C593" s="7" t="s">
        <v>1948</v>
      </c>
      <c r="D593" s="6">
        <v>-0.70840042829513505</v>
      </c>
      <c r="E593" s="6">
        <v>-0.88167393207550004</v>
      </c>
      <c r="F593" s="6">
        <v>0.29423862695694003</v>
      </c>
      <c r="G593" s="6">
        <v>-0.70235353708267201</v>
      </c>
      <c r="H593" s="6">
        <v>1.356194853782654</v>
      </c>
      <c r="I593" s="6">
        <v>0.50832104682922408</v>
      </c>
      <c r="J593" s="6">
        <v>0.79449641704559304</v>
      </c>
      <c r="K593" s="6">
        <v>-0.78484529256820701</v>
      </c>
      <c r="L593" s="6">
        <v>0.41185218095779402</v>
      </c>
      <c r="M593" s="6">
        <v>-0.84513628482818604</v>
      </c>
      <c r="N593" s="6">
        <v>1.0664308318160529</v>
      </c>
      <c r="O593" s="6">
        <v>0.97217230049527803</v>
      </c>
      <c r="P593" s="6">
        <v>0.80685409745266401</v>
      </c>
      <c r="Q593" s="6">
        <v>0.74042510059873201</v>
      </c>
      <c r="R593" s="6">
        <v>12.074736584450733</v>
      </c>
      <c r="S593" s="6">
        <v>10.717758681806975</v>
      </c>
      <c r="T593" s="6">
        <v>6.9553427696228027</v>
      </c>
      <c r="U593" s="6" t="str">
        <f>_xll.BDP($A593,"TRAILING_12M_R&amp;D_%_SALES",$A$1,$A$2)</f>
        <v>#N/A N/A</v>
      </c>
      <c r="V593" s="6">
        <v>60</v>
      </c>
      <c r="W593" s="6">
        <v>602010</v>
      </c>
      <c r="X593" s="6">
        <v>60201010</v>
      </c>
      <c r="Y593" s="7" t="s">
        <v>307</v>
      </c>
      <c r="Z593" s="7" t="s">
        <v>615</v>
      </c>
      <c r="AA593" s="7" t="s">
        <v>1044</v>
      </c>
      <c r="AB593" s="6">
        <v>60.104618072509766</v>
      </c>
      <c r="AC593" s="6">
        <v>0.38695217404494703</v>
      </c>
      <c r="AD593" s="6">
        <v>-8.9584328598238052</v>
      </c>
      <c r="AE593" s="6">
        <v>24408</v>
      </c>
      <c r="AF593" s="6">
        <v>17713</v>
      </c>
    </row>
    <row r="594" spans="1:32" s="4" customFormat="1" ht="12.75" x14ac:dyDescent="0.2">
      <c r="A594" s="7" t="s">
        <v>1949</v>
      </c>
      <c r="B594" s="7" t="s">
        <v>1950</v>
      </c>
      <c r="C594" s="7" t="s">
        <v>1951</v>
      </c>
      <c r="D594" s="6">
        <v>-0.70840042829513505</v>
      </c>
      <c r="E594" s="6">
        <v>-0.88167393207550004</v>
      </c>
      <c r="F594" s="6">
        <v>0.29423862695694003</v>
      </c>
      <c r="G594" s="6">
        <v>-0.70235353708267201</v>
      </c>
      <c r="H594" s="6">
        <v>1.356194853782654</v>
      </c>
      <c r="I594" s="6">
        <v>0.50832104682922408</v>
      </c>
      <c r="J594" s="6">
        <v>0.79449641704559304</v>
      </c>
      <c r="K594" s="6">
        <v>-0.78484529256820701</v>
      </c>
      <c r="L594" s="6">
        <v>0.41185218095779402</v>
      </c>
      <c r="M594" s="6">
        <v>-0.84513628482818604</v>
      </c>
      <c r="N594" s="6">
        <v>1.0664308318160529</v>
      </c>
      <c r="O594" s="6"/>
      <c r="P594" s="6">
        <v>0.80685409745266401</v>
      </c>
      <c r="Q594" s="6"/>
      <c r="R594" s="6">
        <v>12.074736584450733</v>
      </c>
      <c r="S594" s="6"/>
      <c r="T594" s="6">
        <v>6.9553427696228027</v>
      </c>
      <c r="U594" s="6" t="str">
        <f>_xll.BDP($A594,"TRAILING_12M_R&amp;D_%_SALES",$A$1,$A$2)</f>
        <v>#N/A N/A</v>
      </c>
      <c r="V594" s="6">
        <v>60</v>
      </c>
      <c r="W594" s="6">
        <v>602010</v>
      </c>
      <c r="X594" s="6">
        <v>60201010</v>
      </c>
      <c r="Y594" s="7" t="s">
        <v>307</v>
      </c>
      <c r="Z594" s="7" t="s">
        <v>615</v>
      </c>
      <c r="AA594" s="7" t="s">
        <v>1044</v>
      </c>
      <c r="AB594" s="6">
        <v>60.104618072509766</v>
      </c>
      <c r="AC594" s="6">
        <v>0.55001713432775501</v>
      </c>
      <c r="AD594" s="6">
        <v>-6.4273760234420552</v>
      </c>
      <c r="AE594" s="6">
        <v>24408</v>
      </c>
      <c r="AF594" s="6">
        <v>17713</v>
      </c>
    </row>
    <row r="595" spans="1:32" s="4" customFormat="1" ht="12.75" x14ac:dyDescent="0.2">
      <c r="A595" s="7" t="s">
        <v>1952</v>
      </c>
      <c r="B595" s="7" t="s">
        <v>1953</v>
      </c>
      <c r="C595" s="7" t="s">
        <v>1954</v>
      </c>
      <c r="D595" s="6">
        <v>-0.21424126625061002</v>
      </c>
      <c r="E595" s="6">
        <v>-0.32580402493476901</v>
      </c>
      <c r="F595" s="6">
        <v>-1.5208829641342161</v>
      </c>
      <c r="G595" s="6">
        <v>1.985135674476624</v>
      </c>
      <c r="H595" s="6">
        <v>-0.5759890675544741</v>
      </c>
      <c r="I595" s="6">
        <v>-0.82697039842605602</v>
      </c>
      <c r="J595" s="6">
        <v>0.97845262289047208</v>
      </c>
      <c r="K595" s="6">
        <v>1.304239153862</v>
      </c>
      <c r="L595" s="6">
        <v>-0.36299014091491705</v>
      </c>
      <c r="M595" s="6">
        <v>0.45261400938034102</v>
      </c>
      <c r="N595" s="6">
        <v>2.037264832372045</v>
      </c>
      <c r="O595" s="6">
        <v>2.848113293379221</v>
      </c>
      <c r="P595" s="6">
        <v>1.1059136525243689</v>
      </c>
      <c r="Q595" s="6">
        <v>1.1550363213479919</v>
      </c>
      <c r="R595" s="6">
        <v>8.6091000139189084</v>
      </c>
      <c r="S595" s="6"/>
      <c r="T595" s="6">
        <v>12.993886947631836</v>
      </c>
      <c r="U595" s="6">
        <f>_xll.BDP($A595,"TRAILING_12M_R&amp;D_%_SALES",$A$1,$A$2)</f>
        <v>11.937169175775074</v>
      </c>
      <c r="V595" s="6">
        <v>45</v>
      </c>
      <c r="W595" s="6">
        <v>453010</v>
      </c>
      <c r="X595" s="6">
        <v>45301020</v>
      </c>
      <c r="Y595" s="7" t="s">
        <v>66</v>
      </c>
      <c r="Z595" s="7" t="s">
        <v>163</v>
      </c>
      <c r="AA595" s="7" t="s">
        <v>164</v>
      </c>
      <c r="AB595" s="6">
        <v>68.061561584472656</v>
      </c>
      <c r="AC595" s="6">
        <v>1.3194524235356651</v>
      </c>
      <c r="AD595" s="6">
        <v>-46.293206605325999</v>
      </c>
      <c r="AE595" s="6">
        <v>48000</v>
      </c>
      <c r="AF595" s="6">
        <v>34100</v>
      </c>
    </row>
    <row r="596" spans="1:32" s="4" customFormat="1" ht="12.75" x14ac:dyDescent="0.2">
      <c r="A596" s="7" t="s">
        <v>1955</v>
      </c>
      <c r="B596" s="7" t="s">
        <v>1956</v>
      </c>
      <c r="C596" s="7" t="s">
        <v>1957</v>
      </c>
      <c r="D596" s="6">
        <v>1.073394775390625</v>
      </c>
      <c r="E596" s="6">
        <v>-1.038085460662842</v>
      </c>
      <c r="F596" s="6">
        <v>0.86309105157852206</v>
      </c>
      <c r="G596" s="6">
        <v>-0.49575147032737704</v>
      </c>
      <c r="H596" s="6">
        <v>1.1459188461303711</v>
      </c>
      <c r="I596" s="6">
        <v>0.82260537147522006</v>
      </c>
      <c r="J596" s="6">
        <v>0.94930541515350308</v>
      </c>
      <c r="K596" s="6">
        <v>-1.0754907131195071</v>
      </c>
      <c r="L596" s="6">
        <v>0.91231244802475009</v>
      </c>
      <c r="M596" s="6">
        <v>-0.98587673902511608</v>
      </c>
      <c r="N596" s="6">
        <v>1.8472442330712451</v>
      </c>
      <c r="O596" s="6">
        <v>2.5341684890898359</v>
      </c>
      <c r="P596" s="6">
        <v>0.64953762944373306</v>
      </c>
      <c r="Q596" s="6"/>
      <c r="R596" s="6">
        <v>19.396081868303657</v>
      </c>
      <c r="S596" s="6">
        <v>9.2536206182970719</v>
      </c>
      <c r="T596" s="6">
        <v>3.353424072265625</v>
      </c>
      <c r="U596" s="6" t="str">
        <f>_xll.BDP($A596,"TRAILING_12M_R&amp;D_%_SALES",$A$1,$A$2)</f>
        <v>#N/A N/A</v>
      </c>
      <c r="V596" s="6">
        <v>40</v>
      </c>
      <c r="W596" s="6">
        <v>401010</v>
      </c>
      <c r="X596" s="6">
        <v>40101010</v>
      </c>
      <c r="Y596" s="7" t="s">
        <v>53</v>
      </c>
      <c r="Z596" s="7" t="s">
        <v>76</v>
      </c>
      <c r="AA596" s="7" t="s">
        <v>77</v>
      </c>
      <c r="AB596" s="6">
        <v>60.979782104492188</v>
      </c>
      <c r="AC596" s="6">
        <v>0.71194574768838603</v>
      </c>
      <c r="AD596" s="6">
        <v>27.87006182243308</v>
      </c>
      <c r="AE596" s="6">
        <v>135049</v>
      </c>
      <c r="AF596" s="6">
        <v>115275</v>
      </c>
    </row>
    <row r="597" spans="1:32" s="4" customFormat="1" ht="12.75" x14ac:dyDescent="0.2">
      <c r="A597" s="7" t="s">
        <v>1958</v>
      </c>
      <c r="B597" s="7" t="s">
        <v>1959</v>
      </c>
      <c r="C597" s="7" t="s">
        <v>1960</v>
      </c>
      <c r="D597" s="6">
        <v>0.35127857327461204</v>
      </c>
      <c r="E597" s="6">
        <v>-0.80876141786575306</v>
      </c>
      <c r="F597" s="6">
        <v>0.85210669040679909</v>
      </c>
      <c r="G597" s="6">
        <v>-0.74301218986511208</v>
      </c>
      <c r="H597" s="6">
        <v>-0.91525912284851108</v>
      </c>
      <c r="I597" s="6">
        <v>0.87177264690399203</v>
      </c>
      <c r="J597" s="6">
        <v>-9.9033638834953003E-2</v>
      </c>
      <c r="K597" s="6">
        <v>-0.72829860448837302</v>
      </c>
      <c r="L597" s="6">
        <v>0.94554209709167503</v>
      </c>
      <c r="M597" s="6">
        <v>-0.87738543748855602</v>
      </c>
      <c r="N597" s="6">
        <v>0.61108922874068405</v>
      </c>
      <c r="O597" s="6">
        <v>0.60995908627778606</v>
      </c>
      <c r="P597" s="6">
        <v>1.977432806003202</v>
      </c>
      <c r="Q597" s="6">
        <v>1.5994177831464471</v>
      </c>
      <c r="R597" s="6">
        <v>15.333656361062328</v>
      </c>
      <c r="S597" s="6">
        <v>10.161773146732733</v>
      </c>
      <c r="T597" s="6">
        <v>13.987950325012207</v>
      </c>
      <c r="U597" s="6" t="str">
        <f>_xll.BDP($A597,"TRAILING_12M_R&amp;D_%_SALES",$A$1,$A$2)</f>
        <v>#N/A N/A</v>
      </c>
      <c r="V597" s="6">
        <v>40</v>
      </c>
      <c r="W597" s="6">
        <v>403010</v>
      </c>
      <c r="X597" s="6">
        <v>40301050</v>
      </c>
      <c r="Y597" s="7" t="s">
        <v>53</v>
      </c>
      <c r="Z597" s="7" t="s">
        <v>54</v>
      </c>
      <c r="AA597" s="7" t="s">
        <v>1090</v>
      </c>
      <c r="AB597" s="6">
        <v>64.912986755371094</v>
      </c>
      <c r="AC597" s="6">
        <v>0.65947797291092103</v>
      </c>
      <c r="AD597" s="6">
        <v>13.973124204576571</v>
      </c>
      <c r="AE597" s="6">
        <v>39281</v>
      </c>
      <c r="AF597" s="6">
        <v>43428</v>
      </c>
    </row>
    <row r="598" spans="1:32" s="4" customFormat="1" ht="12.75" x14ac:dyDescent="0.2">
      <c r="A598" s="7" t="s">
        <v>1961</v>
      </c>
      <c r="B598" s="7" t="s">
        <v>1962</v>
      </c>
      <c r="C598" s="7" t="s">
        <v>1963</v>
      </c>
      <c r="D598" s="6">
        <v>0.35127857327461204</v>
      </c>
      <c r="E598" s="6">
        <v>-0.80876141786575306</v>
      </c>
      <c r="F598" s="6">
        <v>0.85210669040679909</v>
      </c>
      <c r="G598" s="6">
        <v>-0.74301218986511208</v>
      </c>
      <c r="H598" s="6">
        <v>-0.91525912284851108</v>
      </c>
      <c r="I598" s="6">
        <v>0.87177264690399203</v>
      </c>
      <c r="J598" s="6">
        <v>-9.9033638834953003E-2</v>
      </c>
      <c r="K598" s="6">
        <v>-0.72829860448837302</v>
      </c>
      <c r="L598" s="6">
        <v>0.94554209709167503</v>
      </c>
      <c r="M598" s="6">
        <v>-0.87738543748855602</v>
      </c>
      <c r="N598" s="6">
        <v>0.61108922874068405</v>
      </c>
      <c r="O598" s="6">
        <v>0.60652667972327301</v>
      </c>
      <c r="P598" s="6">
        <v>1.977432806003202</v>
      </c>
      <c r="Q598" s="6"/>
      <c r="R598" s="6">
        <v>15.333656361062328</v>
      </c>
      <c r="S598" s="6">
        <v>2.3280537958578211</v>
      </c>
      <c r="T598" s="6">
        <v>13.987950325012207</v>
      </c>
      <c r="U598" s="6" t="str">
        <f>_xll.BDP($A598,"TRAILING_12M_R&amp;D_%_SALES",$A$1,$A$2)</f>
        <v>#N/A N/A</v>
      </c>
      <c r="V598" s="6">
        <v>40</v>
      </c>
      <c r="W598" s="6">
        <v>403010</v>
      </c>
      <c r="X598" s="6">
        <v>40301050</v>
      </c>
      <c r="Y598" s="7" t="s">
        <v>53</v>
      </c>
      <c r="Z598" s="7" t="s">
        <v>54</v>
      </c>
      <c r="AA598" s="7" t="s">
        <v>1090</v>
      </c>
      <c r="AB598" s="6">
        <v>64.912986755371094</v>
      </c>
      <c r="AC598" s="6">
        <v>0.82100524498361704</v>
      </c>
      <c r="AD598" s="6">
        <v>15.262353134628848</v>
      </c>
      <c r="AE598" s="6">
        <v>39281</v>
      </c>
      <c r="AF598" s="6">
        <v>43428</v>
      </c>
    </row>
    <row r="599" spans="1:32" s="4" customFormat="1" ht="12.75" x14ac:dyDescent="0.2">
      <c r="A599" s="7" t="s">
        <v>1964</v>
      </c>
      <c r="B599" s="7" t="s">
        <v>1965</v>
      </c>
      <c r="C599" s="7" t="s">
        <v>1966</v>
      </c>
      <c r="D599" s="6">
        <v>0.54808658361434903</v>
      </c>
      <c r="E599" s="6">
        <v>-1.006868720054626</v>
      </c>
      <c r="F599" s="6">
        <v>0.38073393702507002</v>
      </c>
      <c r="G599" s="6">
        <v>-0.64691591262817405</v>
      </c>
      <c r="H599" s="6">
        <v>0.9612153172492981</v>
      </c>
      <c r="I599" s="6">
        <v>0.71978139877319303</v>
      </c>
      <c r="J599" s="6">
        <v>2.1159365177154541</v>
      </c>
      <c r="K599" s="6">
        <v>-1.141373872756958</v>
      </c>
      <c r="L599" s="6">
        <v>1.378309845924377</v>
      </c>
      <c r="M599" s="6">
        <v>-0.97749072313308705</v>
      </c>
      <c r="N599" s="6">
        <v>1.3922968637119311</v>
      </c>
      <c r="O599" s="6">
        <v>1.8029262921444811</v>
      </c>
      <c r="P599" s="6">
        <v>0.527126083185393</v>
      </c>
      <c r="Q599" s="6">
        <v>0.45829784338950802</v>
      </c>
      <c r="R599" s="6">
        <v>9.8253565970789012</v>
      </c>
      <c r="S599" s="6">
        <v>7.5256189525513157</v>
      </c>
      <c r="T599" s="6">
        <v>5.1908779144287109</v>
      </c>
      <c r="U599" s="6" t="str">
        <f>_xll.BDP($A599,"TRAILING_12M_R&amp;D_%_SALES",$A$1,$A$2)</f>
        <v>#N/A N/A</v>
      </c>
      <c r="V599" s="6">
        <v>40</v>
      </c>
      <c r="W599" s="6">
        <v>401010</v>
      </c>
      <c r="X599" s="6">
        <v>40101010</v>
      </c>
      <c r="Y599" s="7" t="s">
        <v>53</v>
      </c>
      <c r="Z599" s="7" t="s">
        <v>76</v>
      </c>
      <c r="AA599" s="7" t="s">
        <v>77</v>
      </c>
      <c r="AB599" s="6">
        <v>60.617645263671875</v>
      </c>
      <c r="AC599" s="6">
        <v>0.38208352746130103</v>
      </c>
      <c r="AD599" s="6">
        <v>0.57297978052695009</v>
      </c>
      <c r="AE599" s="6">
        <v>52420</v>
      </c>
      <c r="AF599" s="6">
        <v>59179</v>
      </c>
    </row>
    <row r="600" spans="1:32" s="4" customFormat="1" ht="12.75" x14ac:dyDescent="0.2">
      <c r="A600" s="7" t="s">
        <v>1967</v>
      </c>
      <c r="B600" s="7" t="s">
        <v>1968</v>
      </c>
      <c r="C600" s="7" t="s">
        <v>1969</v>
      </c>
      <c r="D600" s="6">
        <v>0.39696913957595803</v>
      </c>
      <c r="E600" s="6">
        <v>-0.84746843576431308</v>
      </c>
      <c r="F600" s="6">
        <v>0.571455478668213</v>
      </c>
      <c r="G600" s="6">
        <v>-0.89432507753372203</v>
      </c>
      <c r="H600" s="6">
        <v>0.80674052238464411</v>
      </c>
      <c r="I600" s="6">
        <v>0.51580691337585405</v>
      </c>
      <c r="J600" s="6">
        <v>0.30973333120346103</v>
      </c>
      <c r="K600" s="6">
        <v>-0.80864435434341408</v>
      </c>
      <c r="L600" s="6">
        <v>1.606594920158386</v>
      </c>
      <c r="M600" s="6">
        <v>-0.90823239088058505</v>
      </c>
      <c r="N600" s="6">
        <v>3.699462862307386</v>
      </c>
      <c r="O600" s="6"/>
      <c r="P600" s="6">
        <v>1.6027522626024262</v>
      </c>
      <c r="Q600" s="6"/>
      <c r="R600" s="6">
        <v>13.708556661395516</v>
      </c>
      <c r="S600" s="6"/>
      <c r="T600" s="6">
        <v>11.314249038696289</v>
      </c>
      <c r="U600" s="6" t="str">
        <f>_xll.BDP($A600,"TRAILING_12M_R&amp;D_%_SALES",$A$1,$A$2)</f>
        <v>#N/A N/A</v>
      </c>
      <c r="V600" s="6">
        <v>40</v>
      </c>
      <c r="W600" s="6">
        <v>401010</v>
      </c>
      <c r="X600" s="6">
        <v>40101010</v>
      </c>
      <c r="Y600" s="7" t="s">
        <v>53</v>
      </c>
      <c r="Z600" s="7" t="s">
        <v>76</v>
      </c>
      <c r="AA600" s="7" t="s">
        <v>77</v>
      </c>
      <c r="AB600" s="6">
        <v>69.047378540039063</v>
      </c>
      <c r="AC600" s="6">
        <v>0.88794860067371306</v>
      </c>
      <c r="AD600" s="6">
        <v>-0.47815016593635301</v>
      </c>
      <c r="AE600" s="6">
        <v>35558</v>
      </c>
      <c r="AF600" s="6">
        <v>33422</v>
      </c>
    </row>
    <row r="601" spans="1:32" s="4" customFormat="1" ht="12.75" x14ac:dyDescent="0.2">
      <c r="A601" s="7" t="s">
        <v>1970</v>
      </c>
      <c r="B601" s="7" t="s">
        <v>1971</v>
      </c>
      <c r="C601" s="7" t="s">
        <v>1972</v>
      </c>
      <c r="D601" s="6">
        <v>-0.39586129784584001</v>
      </c>
      <c r="E601" s="6">
        <v>-0.42802903056144703</v>
      </c>
      <c r="F601" s="6">
        <v>1.6372619867324829</v>
      </c>
      <c r="G601" s="6">
        <v>-0.84449982643127408</v>
      </c>
      <c r="H601" s="6">
        <v>-1.0108598507940002E-3</v>
      </c>
      <c r="I601" s="6">
        <v>0.72078257799148604</v>
      </c>
      <c r="J601" s="6">
        <v>-0.40864410996437101</v>
      </c>
      <c r="K601" s="6">
        <v>9.2001780867579999E-3</v>
      </c>
      <c r="L601" s="6">
        <v>-0.70432782173156705</v>
      </c>
      <c r="M601" s="6">
        <v>2.2486964240670003E-2</v>
      </c>
      <c r="N601" s="6">
        <v>4.39034780926188</v>
      </c>
      <c r="O601" s="6">
        <v>7.3966970283113351</v>
      </c>
      <c r="P601" s="6">
        <v>4.2622164881257216</v>
      </c>
      <c r="Q601" s="6">
        <v>1.701633224371484</v>
      </c>
      <c r="R601" s="6">
        <v>6.3049592803934438</v>
      </c>
      <c r="S601" s="6">
        <v>14.75899865035084</v>
      </c>
      <c r="T601" s="6">
        <v>11.540641784667969</v>
      </c>
      <c r="U601" s="6">
        <f>_xll.BDP($A601,"TRAILING_12M_R&amp;D_%_SALES",$A$1,$A$2)</f>
        <v>0</v>
      </c>
      <c r="V601" s="6">
        <v>25</v>
      </c>
      <c r="W601" s="6">
        <v>255030</v>
      </c>
      <c r="X601" s="6">
        <v>25503030</v>
      </c>
      <c r="Y601" s="7" t="s">
        <v>108</v>
      </c>
      <c r="Z601" s="7" t="s">
        <v>313</v>
      </c>
      <c r="AA601" s="7" t="s">
        <v>313</v>
      </c>
      <c r="AB601" s="6">
        <v>47.610904693603516</v>
      </c>
      <c r="AC601" s="6">
        <v>0.49215367947654404</v>
      </c>
      <c r="AD601" s="6">
        <v>4.0405164160309592</v>
      </c>
      <c r="AE601" s="6">
        <v>35276</v>
      </c>
      <c r="AF601" s="6">
        <v>24482</v>
      </c>
    </row>
    <row r="602" spans="1:32" s="4" customFormat="1" ht="12.75" x14ac:dyDescent="0.2">
      <c r="A602" s="7" t="s">
        <v>1973</v>
      </c>
      <c r="B602" s="7" t="s">
        <v>1974</v>
      </c>
      <c r="C602" s="7" t="s">
        <v>1975</v>
      </c>
      <c r="D602" s="6">
        <v>0.39696913957595803</v>
      </c>
      <c r="E602" s="6">
        <v>-0.84746843576431308</v>
      </c>
      <c r="F602" s="6">
        <v>0.571455478668213</v>
      </c>
      <c r="G602" s="6">
        <v>-0.89432507753372203</v>
      </c>
      <c r="H602" s="6">
        <v>0.80674052238464411</v>
      </c>
      <c r="I602" s="6">
        <v>0.51580691337585405</v>
      </c>
      <c r="J602" s="6">
        <v>0.30973333120346103</v>
      </c>
      <c r="K602" s="6">
        <v>-0.80864435434341408</v>
      </c>
      <c r="L602" s="6">
        <v>1.606594920158386</v>
      </c>
      <c r="M602" s="6">
        <v>-0.90823239088058505</v>
      </c>
      <c r="N602" s="6">
        <v>3.699462862307386</v>
      </c>
      <c r="O602" s="6">
        <v>4.3512068475500509</v>
      </c>
      <c r="P602" s="6">
        <v>1.6027522626024262</v>
      </c>
      <c r="Q602" s="6">
        <v>1.5066583216055451</v>
      </c>
      <c r="R602" s="6">
        <v>13.708556661395516</v>
      </c>
      <c r="S602" s="6">
        <v>12.15243961703939</v>
      </c>
      <c r="T602" s="6">
        <v>11.314249038696289</v>
      </c>
      <c r="U602" s="6" t="str">
        <f>_xll.BDP($A602,"TRAILING_12M_R&amp;D_%_SALES",$A$1,$A$2)</f>
        <v>#N/A N/A</v>
      </c>
      <c r="V602" s="6">
        <v>40</v>
      </c>
      <c r="W602" s="6">
        <v>401010</v>
      </c>
      <c r="X602" s="6">
        <v>40101010</v>
      </c>
      <c r="Y602" s="7" t="s">
        <v>53</v>
      </c>
      <c r="Z602" s="7" t="s">
        <v>76</v>
      </c>
      <c r="AA602" s="7" t="s">
        <v>77</v>
      </c>
      <c r="AB602" s="6">
        <v>69.047378540039063</v>
      </c>
      <c r="AC602" s="6">
        <v>0.43583976929593005</v>
      </c>
      <c r="AD602" s="6">
        <v>4.1474006090280744</v>
      </c>
      <c r="AE602" s="6">
        <v>35558</v>
      </c>
      <c r="AF602" s="6">
        <v>33422</v>
      </c>
    </row>
    <row r="603" spans="1:32" s="4" customFormat="1" ht="12.75" x14ac:dyDescent="0.2">
      <c r="A603" s="7" t="s">
        <v>1976</v>
      </c>
      <c r="B603" s="7" t="s">
        <v>1977</v>
      </c>
      <c r="C603" s="7" t="s">
        <v>1978</v>
      </c>
      <c r="D603" s="6">
        <v>0.308874040842056</v>
      </c>
      <c r="E603" s="6">
        <v>-0.76059055328369107</v>
      </c>
      <c r="F603" s="6">
        <v>0.30876958370208701</v>
      </c>
      <c r="G603" s="6">
        <v>-0.49323949217796303</v>
      </c>
      <c r="H603" s="6">
        <v>0.64579570293426503</v>
      </c>
      <c r="I603" s="6">
        <v>0.20178136229515101</v>
      </c>
      <c r="J603" s="6">
        <v>-0.40337142348289501</v>
      </c>
      <c r="K603" s="6">
        <v>-0.37411960959434504</v>
      </c>
      <c r="L603" s="6">
        <v>0.17438302934169803</v>
      </c>
      <c r="M603" s="6">
        <v>-0.87893277406692505</v>
      </c>
      <c r="N603" s="6">
        <v>8.3079116894974003</v>
      </c>
      <c r="O603" s="6">
        <v>6.8008398168589688</v>
      </c>
      <c r="P603" s="6">
        <v>4.3002197768128738</v>
      </c>
      <c r="Q603" s="6">
        <v>3.5217548878675071</v>
      </c>
      <c r="R603" s="6">
        <v>32.475162105461258</v>
      </c>
      <c r="S603" s="6">
        <v>26.973088973250515</v>
      </c>
      <c r="T603" s="6">
        <v>10.172959327697754</v>
      </c>
      <c r="U603" s="6" t="str">
        <f>_xll.BDP($A603,"TRAILING_12M_R&amp;D_%_SALES",$A$1,$A$2)</f>
        <v>#N/A N/A</v>
      </c>
      <c r="V603" s="6">
        <v>55</v>
      </c>
      <c r="W603" s="6">
        <v>551010</v>
      </c>
      <c r="X603" s="6">
        <v>55101010</v>
      </c>
      <c r="Y603" s="7" t="s">
        <v>181</v>
      </c>
      <c r="Z603" s="7" t="s">
        <v>186</v>
      </c>
      <c r="AA603" s="7" t="s">
        <v>186</v>
      </c>
      <c r="AB603" s="6">
        <v>65.607078552246094</v>
      </c>
      <c r="AC603" s="6">
        <v>0.83291038706780307</v>
      </c>
      <c r="AD603" s="6">
        <v>-7.9949214923712431</v>
      </c>
      <c r="AE603" s="6">
        <v>15000</v>
      </c>
      <c r="AF603" s="6">
        <v>14700</v>
      </c>
    </row>
    <row r="604" spans="1:32" s="4" customFormat="1" ht="12.75" x14ac:dyDescent="0.2">
      <c r="A604" s="7" t="s">
        <v>1979</v>
      </c>
      <c r="B604" s="7" t="s">
        <v>1980</v>
      </c>
      <c r="C604" s="7" t="s">
        <v>1981</v>
      </c>
      <c r="D604" s="6">
        <v>-0.64841026067733809</v>
      </c>
      <c r="E604" s="6">
        <v>-0.97098034620285012</v>
      </c>
      <c r="F604" s="6">
        <v>-0.31819638609886203</v>
      </c>
      <c r="G604" s="6">
        <v>0.56484174728393599</v>
      </c>
      <c r="H604" s="6">
        <v>-0.57708138227462802</v>
      </c>
      <c r="I604" s="6">
        <v>-4.5311741530895004E-2</v>
      </c>
      <c r="J604" s="6">
        <v>-2.650601789355E-3</v>
      </c>
      <c r="K604" s="6">
        <v>-0.49324595928192105</v>
      </c>
      <c r="L604" s="6">
        <v>1.4356470108032231</v>
      </c>
      <c r="M604" s="6">
        <v>-0.47911202907562306</v>
      </c>
      <c r="N604" s="6">
        <v>3.0960926512181142</v>
      </c>
      <c r="O604" s="6">
        <v>3.1503707673420278</v>
      </c>
      <c r="P604" s="6">
        <v>1.7639663048309919</v>
      </c>
      <c r="Q604" s="6">
        <v>1.8163387062906851</v>
      </c>
      <c r="R604" s="6">
        <v>26.968408393485138</v>
      </c>
      <c r="S604" s="6">
        <v>26.002100449305317</v>
      </c>
      <c r="T604" s="6">
        <v>4.5616989135742188</v>
      </c>
      <c r="U604" s="6">
        <f>_xll.BDP($A604,"TRAILING_12M_R&amp;D_%_SALES",$A$1,$A$2)</f>
        <v>1.0544909538593299</v>
      </c>
      <c r="V604" s="6">
        <v>15</v>
      </c>
      <c r="W604" s="6">
        <v>151040</v>
      </c>
      <c r="X604" s="6">
        <v>15104030</v>
      </c>
      <c r="Y604" s="7" t="s">
        <v>38</v>
      </c>
      <c r="Z604" s="7" t="s">
        <v>71</v>
      </c>
      <c r="AA604" s="7" t="s">
        <v>1323</v>
      </c>
      <c r="AB604" s="6">
        <v>85.222816467285156</v>
      </c>
      <c r="AC604" s="6">
        <v>0.61989741622919103</v>
      </c>
      <c r="AD604" s="6">
        <v>-20.248783995404629</v>
      </c>
      <c r="AE604" s="6">
        <v>14400</v>
      </c>
      <c r="AF604" s="6">
        <v>12400</v>
      </c>
    </row>
    <row r="605" spans="1:32" s="4" customFormat="1" ht="12.75" x14ac:dyDescent="0.2">
      <c r="A605" s="7" t="s">
        <v>1982</v>
      </c>
      <c r="B605" s="7" t="s">
        <v>1983</v>
      </c>
      <c r="C605" s="7" t="s">
        <v>1984</v>
      </c>
      <c r="D605" s="6">
        <v>-0.66855877637863204</v>
      </c>
      <c r="E605" s="6">
        <v>-0.17613033950328802</v>
      </c>
      <c r="F605" s="6">
        <v>0.64568763971328702</v>
      </c>
      <c r="G605" s="6">
        <v>-0.613625347614288</v>
      </c>
      <c r="H605" s="6">
        <v>-1.3095477819442749</v>
      </c>
      <c r="I605" s="6">
        <v>-0.56398254632949807</v>
      </c>
      <c r="J605" s="6">
        <v>0.13343338668346402</v>
      </c>
      <c r="K605" s="6">
        <v>0.36899915337562605</v>
      </c>
      <c r="L605" s="6">
        <v>0.35366868972778304</v>
      </c>
      <c r="M605" s="6">
        <v>-5.0992205739021003E-2</v>
      </c>
      <c r="N605" s="6">
        <v>3.4349733416015789</v>
      </c>
      <c r="O605" s="6">
        <v>3.2363551646644391</v>
      </c>
      <c r="P605" s="6">
        <v>3.1233001693077411</v>
      </c>
      <c r="Q605" s="6">
        <v>4.0608972352921464</v>
      </c>
      <c r="R605" s="6">
        <v>16.120768902381979</v>
      </c>
      <c r="S605" s="6">
        <v>14.344812190875126</v>
      </c>
      <c r="T605" s="6">
        <v>23.346155166625977</v>
      </c>
      <c r="U605" s="6">
        <f>_xll.BDP($A605,"TRAILING_12M_R&amp;D_%_SALES",$A$1,$A$2)</f>
        <v>16.643499426697705</v>
      </c>
      <c r="V605" s="6">
        <v>50</v>
      </c>
      <c r="W605" s="6">
        <v>502020</v>
      </c>
      <c r="X605" s="6">
        <v>50202020</v>
      </c>
      <c r="Y605" s="7" t="s">
        <v>367</v>
      </c>
      <c r="Z605" s="7" t="s">
        <v>368</v>
      </c>
      <c r="AA605" s="7" t="s">
        <v>369</v>
      </c>
      <c r="AB605" s="6">
        <v>39.352176666259766</v>
      </c>
      <c r="AC605" s="6">
        <v>0.66660651263388004</v>
      </c>
      <c r="AD605" s="6">
        <v>-28.965064581439272</v>
      </c>
      <c r="AE605" s="6">
        <v>32064</v>
      </c>
      <c r="AF605" s="6">
        <v>15948</v>
      </c>
    </row>
    <row r="606" spans="1:32" s="4" customFormat="1" ht="12.75" x14ac:dyDescent="0.2">
      <c r="A606" s="7" t="s">
        <v>1985</v>
      </c>
      <c r="B606" s="7" t="s">
        <v>1986</v>
      </c>
      <c r="C606" s="7" t="s">
        <v>1987</v>
      </c>
      <c r="D606" s="6">
        <v>-1.4870153740048001E-2</v>
      </c>
      <c r="E606" s="6">
        <v>0.44265565276145902</v>
      </c>
      <c r="F606" s="6">
        <v>2.7087535858154301</v>
      </c>
      <c r="G606" s="6">
        <v>2.222115278244019</v>
      </c>
      <c r="H606" s="6">
        <v>-4.8849657177930002E-3</v>
      </c>
      <c r="I606" s="6">
        <v>-0.85969650745391801</v>
      </c>
      <c r="J606" s="6">
        <v>-0.38913589715957603</v>
      </c>
      <c r="K606" s="6">
        <v>0.60322934389114402</v>
      </c>
      <c r="L606" s="6">
        <v>-0.81727248430252109</v>
      </c>
      <c r="M606" s="6">
        <v>0.12079773098230401</v>
      </c>
      <c r="N606" s="6">
        <v>4.1624885859532412</v>
      </c>
      <c r="O606" s="6">
        <v>3.8710215925083622</v>
      </c>
      <c r="P606" s="6">
        <v>6.3925734001184384</v>
      </c>
      <c r="Q606" s="6">
        <v>5.3317293293225347</v>
      </c>
      <c r="R606" s="6">
        <v>30.08389676651041</v>
      </c>
      <c r="S606" s="6">
        <v>26.807184720875949</v>
      </c>
      <c r="T606" s="6">
        <v>28.145540237426758</v>
      </c>
      <c r="U606" s="6">
        <f>_xll.BDP($A606,"TRAILING_12M_R&amp;D_%_SALES",$A$1,$A$2)</f>
        <v>7.5005706268916521</v>
      </c>
      <c r="V606" s="6">
        <v>50</v>
      </c>
      <c r="W606" s="6">
        <v>502020</v>
      </c>
      <c r="X606" s="6">
        <v>50202010</v>
      </c>
      <c r="Y606" s="7" t="s">
        <v>367</v>
      </c>
      <c r="Z606" s="7" t="s">
        <v>368</v>
      </c>
      <c r="AA606" s="7" t="s">
        <v>961</v>
      </c>
      <c r="AB606" s="6">
        <v>37.692386627197266</v>
      </c>
      <c r="AC606" s="6">
        <v>1.439050263424033</v>
      </c>
      <c r="AD606" s="6">
        <v>-51.82407947443297</v>
      </c>
      <c r="AE606" s="6">
        <v>11300</v>
      </c>
      <c r="AF606" s="6">
        <v>4700</v>
      </c>
    </row>
    <row r="607" spans="1:32" s="4" customFormat="1" ht="12.75" x14ac:dyDescent="0.2">
      <c r="A607" s="7" t="s">
        <v>1988</v>
      </c>
      <c r="B607" s="7" t="s">
        <v>1989</v>
      </c>
      <c r="C607" s="7" t="s">
        <v>1990</v>
      </c>
      <c r="D607" s="6">
        <v>-0.14039649069309201</v>
      </c>
      <c r="E607" s="6">
        <v>-0.682866752147675</v>
      </c>
      <c r="F607" s="6">
        <v>0.74515724182128906</v>
      </c>
      <c r="G607" s="6">
        <v>-0.99728739261627208</v>
      </c>
      <c r="H607" s="6">
        <v>1.266396045684814</v>
      </c>
      <c r="I607" s="6">
        <v>0.27159371972084001</v>
      </c>
      <c r="J607" s="6">
        <v>0.54927527904510509</v>
      </c>
      <c r="K607" s="6">
        <v>-0.48617100715637201</v>
      </c>
      <c r="L607" s="6">
        <v>1.6820662021636961</v>
      </c>
      <c r="M607" s="6">
        <v>-0.79256141185760509</v>
      </c>
      <c r="N607" s="6">
        <v>1.73225551459399</v>
      </c>
      <c r="O607" s="6">
        <v>1.8757952056727309</v>
      </c>
      <c r="P607" s="6">
        <v>1.4078653908801371</v>
      </c>
      <c r="Q607" s="6">
        <v>1.260350885069935</v>
      </c>
      <c r="R607" s="6">
        <v>12.375718569322267</v>
      </c>
      <c r="S607" s="6">
        <v>12.618587137442749</v>
      </c>
      <c r="T607" s="6">
        <v>13.469098091125488</v>
      </c>
      <c r="U607" s="6" t="str">
        <f>_xll.BDP($A607,"TRAILING_12M_R&amp;D_%_SALES",$A$1,$A$2)</f>
        <v>#N/A N/A</v>
      </c>
      <c r="V607" s="6">
        <v>55</v>
      </c>
      <c r="W607" s="6">
        <v>551030</v>
      </c>
      <c r="X607" s="6">
        <v>55103010</v>
      </c>
      <c r="Y607" s="7" t="s">
        <v>181</v>
      </c>
      <c r="Z607" s="7" t="s">
        <v>182</v>
      </c>
      <c r="AA607" s="7" t="s">
        <v>182</v>
      </c>
      <c r="AB607" s="6">
        <v>72.739158630371094</v>
      </c>
      <c r="AC607" s="6">
        <v>0.67837427318889609</v>
      </c>
      <c r="AD607" s="6">
        <v>-13.456412479332192</v>
      </c>
      <c r="AE607" s="6">
        <v>29292</v>
      </c>
      <c r="AF607" s="6">
        <v>22132</v>
      </c>
    </row>
    <row r="608" spans="1:32" s="4" customFormat="1" ht="12.75" x14ac:dyDescent="0.2">
      <c r="A608" s="7" t="s">
        <v>1991</v>
      </c>
      <c r="B608" s="7" t="s">
        <v>1992</v>
      </c>
      <c r="C608" s="7" t="s">
        <v>1993</v>
      </c>
      <c r="D608" s="6">
        <v>-0.14039649069309201</v>
      </c>
      <c r="E608" s="6">
        <v>-0.682866752147675</v>
      </c>
      <c r="F608" s="6">
        <v>0.74515724182128906</v>
      </c>
      <c r="G608" s="6">
        <v>-0.99728739261627208</v>
      </c>
      <c r="H608" s="6">
        <v>1.266396045684814</v>
      </c>
      <c r="I608" s="6">
        <v>0.27159371972084001</v>
      </c>
      <c r="J608" s="6">
        <v>0.54927527904510509</v>
      </c>
      <c r="K608" s="6">
        <v>-0.48617100715637201</v>
      </c>
      <c r="L608" s="6">
        <v>1.6820662021636961</v>
      </c>
      <c r="M608" s="6">
        <v>-0.79256141185760509</v>
      </c>
      <c r="N608" s="6">
        <v>1.73225551459399</v>
      </c>
      <c r="O608" s="6">
        <v>1.902849847062535</v>
      </c>
      <c r="P608" s="6">
        <v>1.4078653908801371</v>
      </c>
      <c r="Q608" s="6">
        <v>1.3981095820212142</v>
      </c>
      <c r="R608" s="6">
        <v>12.375718569322267</v>
      </c>
      <c r="S608" s="6">
        <v>13.997824735578893</v>
      </c>
      <c r="T608" s="6">
        <v>13.469098091125488</v>
      </c>
      <c r="U608" s="6" t="str">
        <f>_xll.BDP($A608,"TRAILING_12M_R&amp;D_%_SALES",$A$1,$A$2)</f>
        <v>#N/A N/A</v>
      </c>
      <c r="V608" s="6">
        <v>55</v>
      </c>
      <c r="W608" s="6">
        <v>551030</v>
      </c>
      <c r="X608" s="6">
        <v>55103010</v>
      </c>
      <c r="Y608" s="7" t="s">
        <v>181</v>
      </c>
      <c r="Z608" s="7" t="s">
        <v>182</v>
      </c>
      <c r="AA608" s="7" t="s">
        <v>182</v>
      </c>
      <c r="AB608" s="6">
        <v>72.739158630371094</v>
      </c>
      <c r="AC608" s="6">
        <v>0.41266201736565505</v>
      </c>
      <c r="AD608" s="6">
        <v>-12.199814416735277</v>
      </c>
      <c r="AE608" s="6">
        <v>29292</v>
      </c>
      <c r="AF608" s="6">
        <v>22132</v>
      </c>
    </row>
    <row r="609" spans="1:32" s="4" customFormat="1" ht="12.75" x14ac:dyDescent="0.2">
      <c r="A609" s="7" t="s">
        <v>1994</v>
      </c>
      <c r="B609" s="7" t="s">
        <v>1995</v>
      </c>
      <c r="C609" s="7" t="s">
        <v>1996</v>
      </c>
      <c r="D609" s="6">
        <v>-0.181243821978569</v>
      </c>
      <c r="E609" s="6">
        <v>7.5608110055330009E-3</v>
      </c>
      <c r="F609" s="6">
        <v>2.161339282989502</v>
      </c>
      <c r="G609" s="6">
        <v>-0.85393166542053212</v>
      </c>
      <c r="H609" s="6">
        <v>-0.33023437857627902</v>
      </c>
      <c r="I609" s="6">
        <v>0.66038298606872603</v>
      </c>
      <c r="J609" s="6">
        <v>1.6715565919876101</v>
      </c>
      <c r="K609" s="6">
        <v>-0.6541418433189391</v>
      </c>
      <c r="L609" s="6">
        <v>2.0390141010284419</v>
      </c>
      <c r="M609" s="6">
        <v>-9.2988125979900013E-2</v>
      </c>
      <c r="N609" s="6">
        <v>1.2653129968201351</v>
      </c>
      <c r="O609" s="6">
        <v>1.313028444405673</v>
      </c>
      <c r="P609" s="6">
        <v>1.678772679607708</v>
      </c>
      <c r="Q609" s="6"/>
      <c r="R609" s="6">
        <v>6.7875966407351678</v>
      </c>
      <c r="S609" s="6">
        <v>6.7456591600230364</v>
      </c>
      <c r="T609" s="6">
        <v>24.199800491333008</v>
      </c>
      <c r="U609" s="6" t="str">
        <f>_xll.BDP($A609,"TRAILING_12M_R&amp;D_%_SALES",$A$1,$A$2)</f>
        <v>#N/A N/A</v>
      </c>
      <c r="V609" s="6">
        <v>15</v>
      </c>
      <c r="W609" s="6">
        <v>151040</v>
      </c>
      <c r="X609" s="6">
        <v>15104020</v>
      </c>
      <c r="Y609" s="7" t="s">
        <v>38</v>
      </c>
      <c r="Z609" s="7" t="s">
        <v>71</v>
      </c>
      <c r="AA609" s="7" t="s">
        <v>72</v>
      </c>
      <c r="AB609" s="6">
        <v>74.720855712890625</v>
      </c>
      <c r="AC609" s="6">
        <v>0.9851249611371411</v>
      </c>
      <c r="AD609" s="6">
        <v>3.1583055862555831</v>
      </c>
      <c r="AE609" s="6">
        <v>62000</v>
      </c>
      <c r="AF609" s="6">
        <v>80000</v>
      </c>
    </row>
    <row r="610" spans="1:32" s="4" customFormat="1" ht="12.75" x14ac:dyDescent="0.2">
      <c r="A610" s="7" t="s">
        <v>1997</v>
      </c>
      <c r="B610" s="7" t="s">
        <v>1998</v>
      </c>
      <c r="C610" s="7" t="s">
        <v>1999</v>
      </c>
      <c r="D610" s="6">
        <v>-0.44148072600364702</v>
      </c>
      <c r="E610" s="6">
        <v>-0.99040049314498912</v>
      </c>
      <c r="F610" s="6">
        <v>1.5400068759918211</v>
      </c>
      <c r="G610" s="6">
        <v>-0.7082411050796511</v>
      </c>
      <c r="H610" s="6">
        <v>-0.63777136802673307</v>
      </c>
      <c r="I610" s="6">
        <v>0.77387487888336204</v>
      </c>
      <c r="J610" s="6">
        <v>1.1286623477935791</v>
      </c>
      <c r="K610" s="6">
        <v>-0.81280446052551303</v>
      </c>
      <c r="L610" s="6">
        <v>1.3060369491577151</v>
      </c>
      <c r="M610" s="6">
        <v>-0.94188123941421509</v>
      </c>
      <c r="N610" s="6">
        <v>0.44813025458365002</v>
      </c>
      <c r="O610" s="6">
        <v>0.45720762107842405</v>
      </c>
      <c r="P610" s="6">
        <v>1.073469255228646</v>
      </c>
      <c r="Q610" s="6">
        <v>0.96770699863119203</v>
      </c>
      <c r="R610" s="6">
        <v>27.656773415227061</v>
      </c>
      <c r="S610" s="6">
        <v>11.537299047360985</v>
      </c>
      <c r="T610" s="6">
        <v>2.3140180110931401</v>
      </c>
      <c r="U610" s="6" t="str">
        <f>_xll.BDP($A610,"TRAILING_12M_R&amp;D_%_SALES",$A$1,$A$2)</f>
        <v>#N/A N/A</v>
      </c>
      <c r="V610" s="6">
        <v>40</v>
      </c>
      <c r="W610" s="6">
        <v>403010</v>
      </c>
      <c r="X610" s="6">
        <v>40301040</v>
      </c>
      <c r="Y610" s="7" t="s">
        <v>53</v>
      </c>
      <c r="Z610" s="7" t="s">
        <v>54</v>
      </c>
      <c r="AA610" s="7" t="s">
        <v>125</v>
      </c>
      <c r="AB610" s="6">
        <v>62.378028869628906</v>
      </c>
      <c r="AC610" s="6">
        <v>0.37320136612336402</v>
      </c>
      <c r="AD610" s="6">
        <v>4.8027642683450065</v>
      </c>
      <c r="AE610" s="6">
        <v>47776</v>
      </c>
      <c r="AF610" s="6">
        <v>47430</v>
      </c>
    </row>
    <row r="611" spans="1:32" s="4" customFormat="1" ht="12.75" x14ac:dyDescent="0.2">
      <c r="A611" s="7" t="s">
        <v>2000</v>
      </c>
      <c r="B611" s="7" t="s">
        <v>2001</v>
      </c>
      <c r="C611" s="7" t="s">
        <v>2002</v>
      </c>
      <c r="D611" s="6">
        <v>-0.77181935310363803</v>
      </c>
      <c r="E611" s="6">
        <v>1.8644710779190059</v>
      </c>
      <c r="F611" s="6">
        <v>0.53975075483322099</v>
      </c>
      <c r="G611" s="6">
        <v>-0.9648689627647401</v>
      </c>
      <c r="H611" s="6">
        <v>0.629993677139282</v>
      </c>
      <c r="I611" s="6">
        <v>-0.37871825695037803</v>
      </c>
      <c r="J611" s="6">
        <v>1.8357535600662231</v>
      </c>
      <c r="K611" s="6">
        <v>5.5261999368668005E-2</v>
      </c>
      <c r="L611" s="6">
        <v>3.000003576278687</v>
      </c>
      <c r="M611" s="6">
        <v>1.0994818210601811</v>
      </c>
      <c r="N611" s="6">
        <v>1.785600131628285</v>
      </c>
      <c r="O611" s="6"/>
      <c r="P611" s="6">
        <v>3.4200854215822409</v>
      </c>
      <c r="Q611" s="6"/>
      <c r="R611" s="6">
        <v>4.2956376952812771</v>
      </c>
      <c r="S611" s="6"/>
      <c r="T611" s="6">
        <v>113.80471038818359</v>
      </c>
      <c r="U611" s="6">
        <f>_xll.BDP($A611,"TRAILING_12M_R&amp;D_%_SALES",$A$1,$A$2)</f>
        <v>0</v>
      </c>
      <c r="V611" s="6">
        <v>15</v>
      </c>
      <c r="W611" s="6">
        <v>151040</v>
      </c>
      <c r="X611" s="6">
        <v>15104020</v>
      </c>
      <c r="Y611" s="7" t="s">
        <v>38</v>
      </c>
      <c r="Z611" s="7" t="s">
        <v>71</v>
      </c>
      <c r="AA611" s="7" t="s">
        <v>72</v>
      </c>
      <c r="AB611" s="6">
        <v>66.401771545410156</v>
      </c>
      <c r="AC611" s="6">
        <v>1.3444994523301801</v>
      </c>
      <c r="AD611" s="6"/>
      <c r="AE611" s="6"/>
      <c r="AF611" s="6"/>
    </row>
    <row r="612" spans="1:32" s="4" customFormat="1" ht="12.75" x14ac:dyDescent="0.2">
      <c r="A612" s="7" t="s">
        <v>2003</v>
      </c>
      <c r="B612" s="7" t="s">
        <v>2004</v>
      </c>
      <c r="C612" s="7" t="s">
        <v>2005</v>
      </c>
      <c r="D612" s="6">
        <v>-0.43811348080635104</v>
      </c>
      <c r="E612" s="6">
        <v>-0.44041758775711104</v>
      </c>
      <c r="F612" s="6">
        <v>0.688457071781158</v>
      </c>
      <c r="G612" s="6">
        <v>0.17305776476860002</v>
      </c>
      <c r="H612" s="6">
        <v>0.40238115191459706</v>
      </c>
      <c r="I612" s="6">
        <v>1.0369782447814939</v>
      </c>
      <c r="J612" s="6">
        <v>2.9274787902832031</v>
      </c>
      <c r="K612" s="6">
        <v>-1.098855137825012</v>
      </c>
      <c r="L612" s="6">
        <v>2.9496393203735352</v>
      </c>
      <c r="M612" s="6">
        <v>-0.28589779138565102</v>
      </c>
      <c r="N612" s="6">
        <v>0.28067852456640302</v>
      </c>
      <c r="O612" s="6">
        <v>0.281293264974873</v>
      </c>
      <c r="P612" s="6">
        <v>0.53377096186700501</v>
      </c>
      <c r="Q612" s="6">
        <v>0.504826861530009</v>
      </c>
      <c r="R612" s="6">
        <v>2.968565796182431</v>
      </c>
      <c r="S612" s="6">
        <v>4.9833078528578234</v>
      </c>
      <c r="T612" s="6">
        <v>20.058950424194336</v>
      </c>
      <c r="U612" s="6" t="str">
        <f>_xll.BDP($A612,"TRAILING_12M_R&amp;D_%_SALES",$A$1,$A$2)</f>
        <v>#N/A N/A</v>
      </c>
      <c r="V612" s="6">
        <v>15</v>
      </c>
      <c r="W612" s="6">
        <v>151040</v>
      </c>
      <c r="X612" s="6">
        <v>15104050</v>
      </c>
      <c r="Y612" s="7" t="s">
        <v>38</v>
      </c>
      <c r="Z612" s="7" t="s">
        <v>71</v>
      </c>
      <c r="AA612" s="7" t="s">
        <v>303</v>
      </c>
      <c r="AB612" s="6">
        <v>42.862892150878906</v>
      </c>
      <c r="AC612" s="6">
        <v>0.299129165892141</v>
      </c>
      <c r="AD612" s="6">
        <v>11.765923444208347</v>
      </c>
      <c r="AE612" s="6">
        <v>106528</v>
      </c>
      <c r="AF612" s="6">
        <v>92309</v>
      </c>
    </row>
    <row r="613" spans="1:32" s="4" customFormat="1" ht="12.75" x14ac:dyDescent="0.2">
      <c r="A613" s="7" t="s">
        <v>2006</v>
      </c>
      <c r="B613" s="7" t="s">
        <v>2007</v>
      </c>
      <c r="C613" s="7" t="s">
        <v>2008</v>
      </c>
      <c r="D613" s="6">
        <v>-0.8126029372215271</v>
      </c>
      <c r="E613" s="6">
        <v>-0.68788981437683105</v>
      </c>
      <c r="F613" s="6">
        <v>0.30253466963768</v>
      </c>
      <c r="G613" s="6">
        <v>-0.589291632175446</v>
      </c>
      <c r="H613" s="6">
        <v>-0.66097176074981701</v>
      </c>
      <c r="I613" s="6">
        <v>-0.96867173910141002</v>
      </c>
      <c r="J613" s="6">
        <v>-0.125689491629601</v>
      </c>
      <c r="K613" s="6">
        <v>-0.30636635422706604</v>
      </c>
      <c r="L613" s="6">
        <v>-0.32457637786865201</v>
      </c>
      <c r="M613" s="6">
        <v>-0.58718127012252808</v>
      </c>
      <c r="N613" s="6">
        <v>1.8532556597975081</v>
      </c>
      <c r="O613" s="6"/>
      <c r="P613" s="6">
        <v>2.591365458968145</v>
      </c>
      <c r="Q613" s="6"/>
      <c r="R613" s="6">
        <v>25.347185286304406</v>
      </c>
      <c r="S613" s="6"/>
      <c r="T613" s="6">
        <v>11.23737621307373</v>
      </c>
      <c r="U613" s="6">
        <f>_xll.BDP($A613,"TRAILING_12M_R&amp;D_%_SALES",$A$1,$A$2)</f>
        <v>3.1382429701144012</v>
      </c>
      <c r="V613" s="6">
        <v>20</v>
      </c>
      <c r="W613" s="6">
        <v>201040</v>
      </c>
      <c r="X613" s="6">
        <v>20104010</v>
      </c>
      <c r="Y613" s="7" t="s">
        <v>43</v>
      </c>
      <c r="Z613" s="7" t="s">
        <v>81</v>
      </c>
      <c r="AA613" s="7" t="s">
        <v>82</v>
      </c>
      <c r="AB613" s="6">
        <v>51.282566070556641</v>
      </c>
      <c r="AC613" s="6">
        <v>0.98403493923789709</v>
      </c>
      <c r="AD613" s="6">
        <v>-56.41859527461137</v>
      </c>
      <c r="AE613" s="6">
        <v>114371</v>
      </c>
      <c r="AF613" s="6">
        <v>107062</v>
      </c>
    </row>
    <row r="614" spans="1:32" s="4" customFormat="1" ht="12.75" x14ac:dyDescent="0.2">
      <c r="A614" s="7" t="s">
        <v>2009</v>
      </c>
      <c r="B614" s="7" t="s">
        <v>2010</v>
      </c>
      <c r="C614" s="7" t="s">
        <v>2011</v>
      </c>
      <c r="D614" s="6">
        <v>0.15079513192176802</v>
      </c>
      <c r="E614" s="6">
        <v>-0.12888789176940901</v>
      </c>
      <c r="F614" s="6">
        <v>0.34756267070770303</v>
      </c>
      <c r="G614" s="6">
        <v>-0.18273681402206401</v>
      </c>
      <c r="H614" s="6">
        <v>-0.22317625582218201</v>
      </c>
      <c r="I614" s="6">
        <v>-0.79012066125869806</v>
      </c>
      <c r="J614" s="6">
        <v>-0.46808248758316001</v>
      </c>
      <c r="K614" s="6">
        <v>0.34500280022621205</v>
      </c>
      <c r="L614" s="6">
        <v>-0.24349568784236902</v>
      </c>
      <c r="M614" s="6">
        <v>-0.10623706877231601</v>
      </c>
      <c r="N614" s="6">
        <v>3.7378899804593351</v>
      </c>
      <c r="O614" s="6">
        <v>3.5052415903499141</v>
      </c>
      <c r="P614" s="6">
        <v>11.875687580469782</v>
      </c>
      <c r="Q614" s="6">
        <v>11.760086055308879</v>
      </c>
      <c r="R614" s="6">
        <v>32.960563871354907</v>
      </c>
      <c r="S614" s="6">
        <v>32.338288985729861</v>
      </c>
      <c r="T614" s="6">
        <v>37.316200256347656</v>
      </c>
      <c r="U614" s="6" t="str">
        <f>_xll.BDP($A614,"TRAILING_12M_R&amp;D_%_SALES",$A$1,$A$2)</f>
        <v>#N/A N/A</v>
      </c>
      <c r="V614" s="6">
        <v>25</v>
      </c>
      <c r="W614" s="6">
        <v>252030</v>
      </c>
      <c r="X614" s="6">
        <v>25203020</v>
      </c>
      <c r="Y614" s="7" t="s">
        <v>108</v>
      </c>
      <c r="Z614" s="7" t="s">
        <v>155</v>
      </c>
      <c r="AA614" s="7" t="s">
        <v>2012</v>
      </c>
      <c r="AB614" s="6">
        <v>65.063873291015625</v>
      </c>
      <c r="AC614" s="6">
        <v>1.22361454693989</v>
      </c>
      <c r="AD614" s="6">
        <v>-29.384277538535663</v>
      </c>
      <c r="AE614" s="6">
        <v>79100</v>
      </c>
      <c r="AF614" s="6">
        <v>74400</v>
      </c>
    </row>
    <row r="615" spans="1:32" s="4" customFormat="1" ht="12.75" x14ac:dyDescent="0.2">
      <c r="A615" s="7" t="s">
        <v>2013</v>
      </c>
      <c r="B615" s="7" t="s">
        <v>2014</v>
      </c>
      <c r="C615" s="7" t="s">
        <v>2015</v>
      </c>
      <c r="D615" s="6">
        <v>-0.38530185818672202</v>
      </c>
      <c r="E615" s="6">
        <v>-0.67053163051605202</v>
      </c>
      <c r="F615" s="6">
        <v>-0.95189321041107211</v>
      </c>
      <c r="G615" s="6">
        <v>-0.62040638923645008</v>
      </c>
      <c r="H615" s="6">
        <v>2.088814496994019</v>
      </c>
      <c r="I615" s="6">
        <v>0.25534287095069902</v>
      </c>
      <c r="J615" s="6">
        <v>-0.12625615298748</v>
      </c>
      <c r="K615" s="6">
        <v>-0.91691136360168513</v>
      </c>
      <c r="L615" s="6">
        <v>1.0905718803405759</v>
      </c>
      <c r="M615" s="6">
        <v>-0.90171027183532704</v>
      </c>
      <c r="N615" s="6">
        <v>0.84298671527246005</v>
      </c>
      <c r="O615" s="6">
        <v>1.1653093931326211</v>
      </c>
      <c r="P615" s="6">
        <v>0.46360597355764604</v>
      </c>
      <c r="Q615" s="6"/>
      <c r="R615" s="6">
        <v>13.545883087629973</v>
      </c>
      <c r="S615" s="6">
        <v>10.22680261834582</v>
      </c>
      <c r="T615" s="6">
        <v>3.72263503074646</v>
      </c>
      <c r="U615" s="6" t="str">
        <f>_xll.BDP($A615,"TRAILING_12M_R&amp;D_%_SALES",$A$1,$A$2)</f>
        <v>#N/A N/A</v>
      </c>
      <c r="V615" s="6">
        <v>40</v>
      </c>
      <c r="W615" s="6">
        <v>402030</v>
      </c>
      <c r="X615" s="6">
        <v>40203020</v>
      </c>
      <c r="Y615" s="7" t="s">
        <v>53</v>
      </c>
      <c r="Z615" s="7" t="s">
        <v>298</v>
      </c>
      <c r="AA615" s="7" t="s">
        <v>688</v>
      </c>
      <c r="AB615" s="6">
        <v>56.03057861328125</v>
      </c>
      <c r="AC615" s="6">
        <v>0.75443510237013511</v>
      </c>
      <c r="AD615" s="6">
        <v>-10.269072294809323</v>
      </c>
      <c r="AE615" s="6">
        <v>26585</v>
      </c>
      <c r="AF615" s="6">
        <v>28186</v>
      </c>
    </row>
    <row r="616" spans="1:32" s="4" customFormat="1" ht="12.75" x14ac:dyDescent="0.2">
      <c r="A616" s="7" t="s">
        <v>2016</v>
      </c>
      <c r="B616" s="7" t="s">
        <v>2017</v>
      </c>
      <c r="C616" s="7" t="s">
        <v>2018</v>
      </c>
      <c r="D616" s="6">
        <v>-0.8126029372215271</v>
      </c>
      <c r="E616" s="6">
        <v>-0.68788981437683105</v>
      </c>
      <c r="F616" s="6">
        <v>0.30253466963768</v>
      </c>
      <c r="G616" s="6">
        <v>-0.589291632175446</v>
      </c>
      <c r="H616" s="6">
        <v>-0.66097176074981701</v>
      </c>
      <c r="I616" s="6">
        <v>-0.96867173910141002</v>
      </c>
      <c r="J616" s="6">
        <v>-0.125689491629601</v>
      </c>
      <c r="K616" s="6">
        <v>-0.30636635422706604</v>
      </c>
      <c r="L616" s="6">
        <v>-0.32457637786865201</v>
      </c>
      <c r="M616" s="6">
        <v>-0.58718127012252808</v>
      </c>
      <c r="N616" s="6">
        <v>1.8532556597975081</v>
      </c>
      <c r="O616" s="6">
        <v>1.6661287981742001</v>
      </c>
      <c r="P616" s="6">
        <v>2.591365458968145</v>
      </c>
      <c r="Q616" s="6">
        <v>2.6500176187828419</v>
      </c>
      <c r="R616" s="6">
        <v>25.347185286304406</v>
      </c>
      <c r="S616" s="6">
        <v>20.9331661626494</v>
      </c>
      <c r="T616" s="6">
        <v>11.23737621307373</v>
      </c>
      <c r="U616" s="6">
        <f>_xll.BDP($A616,"TRAILING_12M_R&amp;D_%_SALES",$A$1,$A$2)</f>
        <v>3.1382429701144012</v>
      </c>
      <c r="V616" s="6">
        <v>20</v>
      </c>
      <c r="W616" s="6">
        <v>201040</v>
      </c>
      <c r="X616" s="6">
        <v>20104010</v>
      </c>
      <c r="Y616" s="7" t="s">
        <v>43</v>
      </c>
      <c r="Z616" s="7" t="s">
        <v>81</v>
      </c>
      <c r="AA616" s="7" t="s">
        <v>82</v>
      </c>
      <c r="AB616" s="6">
        <v>51.282566070556641</v>
      </c>
      <c r="AC616" s="6">
        <v>0.88265406646575906</v>
      </c>
      <c r="AD616" s="6">
        <v>-55.934395540974414</v>
      </c>
      <c r="AE616" s="6">
        <v>114371</v>
      </c>
      <c r="AF616" s="6">
        <v>107062</v>
      </c>
    </row>
    <row r="617" spans="1:32" s="4" customFormat="1" ht="12.75" x14ac:dyDescent="0.2">
      <c r="A617" s="7" t="s">
        <v>2019</v>
      </c>
      <c r="B617" s="7" t="s">
        <v>2020</v>
      </c>
      <c r="C617" s="7" t="s">
        <v>2021</v>
      </c>
      <c r="D617" s="6">
        <v>-0.41141909360885603</v>
      </c>
      <c r="E617" s="6">
        <v>-0.79323136806488004</v>
      </c>
      <c r="F617" s="6">
        <v>-7.5875513255596008E-2</v>
      </c>
      <c r="G617" s="6">
        <v>-0.68296867609024003</v>
      </c>
      <c r="H617" s="6">
        <v>0.79566866159439109</v>
      </c>
      <c r="I617" s="6">
        <v>0.175205573439598</v>
      </c>
      <c r="J617" s="6">
        <v>0.74419271945953402</v>
      </c>
      <c r="K617" s="6">
        <v>-1.0375692844390869</v>
      </c>
      <c r="L617" s="6">
        <v>2.366937637329102</v>
      </c>
      <c r="M617" s="6">
        <v>-0.85142505168914806</v>
      </c>
      <c r="N617" s="6">
        <v>0.668305906792798</v>
      </c>
      <c r="O617" s="6">
        <v>0.7718273062782891</v>
      </c>
      <c r="P617" s="6">
        <v>0.57278315832001903</v>
      </c>
      <c r="Q617" s="6">
        <v>0.45944510458733301</v>
      </c>
      <c r="R617" s="6">
        <v>4.4189242974210687</v>
      </c>
      <c r="S617" s="6">
        <v>7.2192879939941026</v>
      </c>
      <c r="T617" s="6">
        <v>14.663811683654785</v>
      </c>
      <c r="U617" s="6" t="str">
        <f>_xll.BDP($A617,"TRAILING_12M_R&amp;D_%_SALES",$A$1,$A$2)</f>
        <v>#N/A N/A</v>
      </c>
      <c r="V617" s="6">
        <v>40</v>
      </c>
      <c r="W617" s="6">
        <v>403010</v>
      </c>
      <c r="X617" s="6">
        <v>40301020</v>
      </c>
      <c r="Y617" s="7" t="s">
        <v>53</v>
      </c>
      <c r="Z617" s="7" t="s">
        <v>54</v>
      </c>
      <c r="AA617" s="7" t="s">
        <v>55</v>
      </c>
      <c r="AB617" s="6">
        <v>52.650638580322266</v>
      </c>
      <c r="AC617" s="6">
        <v>0.48035619434551302</v>
      </c>
      <c r="AD617" s="6">
        <v>-18.520188501436262</v>
      </c>
      <c r="AE617" s="6">
        <v>15417</v>
      </c>
      <c r="AF617" s="6">
        <v>11463</v>
      </c>
    </row>
    <row r="618" spans="1:32" s="4" customFormat="1" ht="12.75" x14ac:dyDescent="0.2">
      <c r="A618" s="7" t="s">
        <v>2022</v>
      </c>
      <c r="B618" s="7" t="s">
        <v>2023</v>
      </c>
      <c r="C618" s="7" t="s">
        <v>2024</v>
      </c>
      <c r="D618" s="6">
        <v>-0.41141909360885603</v>
      </c>
      <c r="E618" s="6">
        <v>-0.79323136806488004</v>
      </c>
      <c r="F618" s="6">
        <v>-7.5875513255596008E-2</v>
      </c>
      <c r="G618" s="6">
        <v>-0.68296867609024003</v>
      </c>
      <c r="H618" s="6">
        <v>0.79566866159439109</v>
      </c>
      <c r="I618" s="6">
        <v>0.175205573439598</v>
      </c>
      <c r="J618" s="6">
        <v>0.74419271945953402</v>
      </c>
      <c r="K618" s="6">
        <v>-1.0375692844390869</v>
      </c>
      <c r="L618" s="6">
        <v>2.366937637329102</v>
      </c>
      <c r="M618" s="6">
        <v>-0.85142505168914806</v>
      </c>
      <c r="N618" s="6">
        <v>0.668305906792798</v>
      </c>
      <c r="O618" s="6">
        <v>0.79637737724821911</v>
      </c>
      <c r="P618" s="6">
        <v>0.57278315832001903</v>
      </c>
      <c r="Q618" s="6"/>
      <c r="R618" s="6">
        <v>4.4189242974210687</v>
      </c>
      <c r="S618" s="6">
        <v>7.6763352123266806</v>
      </c>
      <c r="T618" s="6">
        <v>14.663811683654785</v>
      </c>
      <c r="U618" s="6" t="str">
        <f>_xll.BDP($A618,"TRAILING_12M_R&amp;D_%_SALES",$A$1,$A$2)</f>
        <v>#N/A N/A</v>
      </c>
      <c r="V618" s="6">
        <v>40</v>
      </c>
      <c r="W618" s="6">
        <v>403010</v>
      </c>
      <c r="X618" s="6">
        <v>40301020</v>
      </c>
      <c r="Y618" s="7" t="s">
        <v>53</v>
      </c>
      <c r="Z618" s="7" t="s">
        <v>54</v>
      </c>
      <c r="AA618" s="7" t="s">
        <v>55</v>
      </c>
      <c r="AB618" s="6">
        <v>52.650638580322266</v>
      </c>
      <c r="AC618" s="6">
        <v>0.85899916124258202</v>
      </c>
      <c r="AD618" s="6">
        <v>-20.623428550065615</v>
      </c>
      <c r="AE618" s="6">
        <v>15417</v>
      </c>
      <c r="AF618" s="6">
        <v>11463</v>
      </c>
    </row>
    <row r="619" spans="1:32" s="4" customFormat="1" ht="12.75" x14ac:dyDescent="0.2">
      <c r="A619" s="7" t="s">
        <v>2025</v>
      </c>
      <c r="B619" s="7" t="s">
        <v>2026</v>
      </c>
      <c r="C619" s="7" t="s">
        <v>2027</v>
      </c>
      <c r="D619" s="6">
        <v>-0.14630733430385601</v>
      </c>
      <c r="E619" s="6">
        <v>0.10081742703914601</v>
      </c>
      <c r="F619" s="6">
        <v>0.36545130610466003</v>
      </c>
      <c r="G619" s="6">
        <v>-0.23599949479103102</v>
      </c>
      <c r="H619" s="6">
        <v>7.5636655092239005E-2</v>
      </c>
      <c r="I619" s="6">
        <v>1.254639625549316</v>
      </c>
      <c r="J619" s="6">
        <v>-0.24402032792568201</v>
      </c>
      <c r="K619" s="6">
        <v>-0.46921727061271706</v>
      </c>
      <c r="L619" s="6">
        <v>-0.19610442221164701</v>
      </c>
      <c r="M619" s="6">
        <v>-0.45171502232551602</v>
      </c>
      <c r="N619" s="6">
        <v>2.4144896132810949</v>
      </c>
      <c r="O619" s="6">
        <v>2.2184951843981811</v>
      </c>
      <c r="P619" s="6">
        <v>6.0299101763841376</v>
      </c>
      <c r="Q619" s="6">
        <v>5.7824866203791521</v>
      </c>
      <c r="R619" s="6">
        <v>26.885292637266033</v>
      </c>
      <c r="S619" s="6">
        <v>24.273631591474501</v>
      </c>
      <c r="T619" s="6">
        <v>43.580440521240234</v>
      </c>
      <c r="U619" s="6" t="str">
        <f>_xll.BDP($A619,"TRAILING_12M_R&amp;D_%_SALES",$A$1,$A$2)</f>
        <v>#N/A N/A</v>
      </c>
      <c r="V619" s="6">
        <v>20</v>
      </c>
      <c r="W619" s="6">
        <v>201010</v>
      </c>
      <c r="X619" s="6">
        <v>20101010</v>
      </c>
      <c r="Y619" s="7" t="s">
        <v>43</v>
      </c>
      <c r="Z619" s="7" t="s">
        <v>393</v>
      </c>
      <c r="AA619" s="7" t="s">
        <v>393</v>
      </c>
      <c r="AB619" s="6">
        <v>63.514736175537109</v>
      </c>
      <c r="AC619" s="6">
        <v>0.56635227542472399</v>
      </c>
      <c r="AD619" s="6">
        <v>43.937319384448912</v>
      </c>
      <c r="AE619" s="6">
        <v>88000</v>
      </c>
      <c r="AF619" s="6">
        <v>67000</v>
      </c>
    </row>
    <row r="620" spans="1:32" s="4" customFormat="1" ht="12.75" x14ac:dyDescent="0.2">
      <c r="A620" s="7" t="s">
        <v>2028</v>
      </c>
      <c r="B620" s="7" t="s">
        <v>2029</v>
      </c>
      <c r="C620" s="7" t="s">
        <v>2030</v>
      </c>
      <c r="D620" s="6">
        <v>-0.58822751045227106</v>
      </c>
      <c r="E620" s="6">
        <v>-0.70856338739395108</v>
      </c>
      <c r="F620" s="6">
        <v>-0.73063284158706709</v>
      </c>
      <c r="G620" s="6">
        <v>-0.81277078390121504</v>
      </c>
      <c r="H620" s="6">
        <v>-0.5947712063789371</v>
      </c>
      <c r="I620" s="6">
        <v>1.0595141910017002E-2</v>
      </c>
      <c r="J620" s="6">
        <v>0.59654468297958407</v>
      </c>
      <c r="K620" s="6">
        <v>-0.78757792711257901</v>
      </c>
      <c r="L620" s="6">
        <v>-0.59352040290832508</v>
      </c>
      <c r="M620" s="6">
        <v>-0.53469109535217307</v>
      </c>
      <c r="N620" s="6">
        <v>1.0195294441850269</v>
      </c>
      <c r="O620" s="6">
        <v>0.95418957445468311</v>
      </c>
      <c r="P620" s="6">
        <v>1.2310380167246811</v>
      </c>
      <c r="Q620" s="6">
        <v>1.1596097154150979</v>
      </c>
      <c r="R620" s="6">
        <v>14.423334036647457</v>
      </c>
      <c r="S620" s="6">
        <v>9.6684606375144622</v>
      </c>
      <c r="T620" s="6">
        <v>9.8507375717163086</v>
      </c>
      <c r="U620" s="6">
        <f>_xll.BDP($A620,"TRAILING_12M_R&amp;D_%_SALES",$A$1,$A$2)</f>
        <v>23.252584477704058</v>
      </c>
      <c r="V620" s="6">
        <v>45</v>
      </c>
      <c r="W620" s="6">
        <v>452010</v>
      </c>
      <c r="X620" s="6">
        <v>45201020</v>
      </c>
      <c r="Y620" s="7" t="s">
        <v>66</v>
      </c>
      <c r="Z620" s="7" t="s">
        <v>841</v>
      </c>
      <c r="AA620" s="7" t="s">
        <v>841</v>
      </c>
      <c r="AB620" s="6">
        <v>64.570968627929688</v>
      </c>
      <c r="AC620" s="6">
        <v>1.039987148179232</v>
      </c>
      <c r="AD620" s="6">
        <v>-24.941454429331099</v>
      </c>
      <c r="AE620" s="6">
        <v>87927</v>
      </c>
      <c r="AF620" s="6">
        <v>100875</v>
      </c>
    </row>
    <row r="621" spans="1:32" s="4" customFormat="1" ht="12.75" x14ac:dyDescent="0.2">
      <c r="A621" s="7" t="s">
        <v>2031</v>
      </c>
      <c r="B621" s="7" t="s">
        <v>2032</v>
      </c>
      <c r="C621" s="7" t="s">
        <v>2033</v>
      </c>
      <c r="D621" s="6">
        <v>-0.58822751045227106</v>
      </c>
      <c r="E621" s="6">
        <v>-0.70856338739395108</v>
      </c>
      <c r="F621" s="6">
        <v>-0.73063284158706709</v>
      </c>
      <c r="G621" s="6">
        <v>-0.81277078390121504</v>
      </c>
      <c r="H621" s="6">
        <v>-0.5947712063789371</v>
      </c>
      <c r="I621" s="6">
        <v>1.0595141910017002E-2</v>
      </c>
      <c r="J621" s="6">
        <v>0.59654468297958407</v>
      </c>
      <c r="K621" s="6">
        <v>-0.78757792711257901</v>
      </c>
      <c r="L621" s="6">
        <v>-0.59352040290832508</v>
      </c>
      <c r="M621" s="6">
        <v>-0.53469109535217307</v>
      </c>
      <c r="N621" s="6">
        <v>1.0195294441850269</v>
      </c>
      <c r="O621" s="6">
        <v>0.95624602578849305</v>
      </c>
      <c r="P621" s="6">
        <v>1.2310380167246811</v>
      </c>
      <c r="Q621" s="6">
        <v>1.162108948008852</v>
      </c>
      <c r="R621" s="6">
        <v>14.423334036647457</v>
      </c>
      <c r="S621" s="6">
        <v>9.68929845185448</v>
      </c>
      <c r="T621" s="6">
        <v>9.8507375717163086</v>
      </c>
      <c r="U621" s="6">
        <f>_xll.BDP($A621,"TRAILING_12M_R&amp;D_%_SALES",$A$1,$A$2)</f>
        <v>23.252584477704058</v>
      </c>
      <c r="V621" s="6">
        <v>45</v>
      </c>
      <c r="W621" s="6">
        <v>452010</v>
      </c>
      <c r="X621" s="6">
        <v>45201020</v>
      </c>
      <c r="Y621" s="7" t="s">
        <v>66</v>
      </c>
      <c r="Z621" s="7" t="s">
        <v>841</v>
      </c>
      <c r="AA621" s="7" t="s">
        <v>841</v>
      </c>
      <c r="AB621" s="6">
        <v>64.570968627929688</v>
      </c>
      <c r="AC621" s="6">
        <v>0.76327416424907402</v>
      </c>
      <c r="AD621" s="6">
        <v>-25.870890509519583</v>
      </c>
      <c r="AE621" s="6">
        <v>87927</v>
      </c>
      <c r="AF621" s="6">
        <v>100875</v>
      </c>
    </row>
    <row r="622" spans="1:32" s="4" customFormat="1" ht="12.75" x14ac:dyDescent="0.2">
      <c r="A622" s="7" t="s">
        <v>2034</v>
      </c>
      <c r="B622" s="7" t="s">
        <v>2035</v>
      </c>
      <c r="C622" s="7" t="s">
        <v>2036</v>
      </c>
      <c r="D622" s="6">
        <v>-0.88707047700882002</v>
      </c>
      <c r="E622" s="6">
        <v>-0.95882809162139904</v>
      </c>
      <c r="F622" s="6">
        <v>-7.879161834716801E-2</v>
      </c>
      <c r="G622" s="6">
        <v>0.22483660280704501</v>
      </c>
      <c r="H622" s="6">
        <v>-0.61781096458435103</v>
      </c>
      <c r="I622" s="6">
        <v>-0.7067458033561711</v>
      </c>
      <c r="J622" s="6">
        <v>-0.69041746854782104</v>
      </c>
      <c r="K622" s="6">
        <v>1.309773921966553</v>
      </c>
      <c r="L622" s="6">
        <v>-0.81727248430252109</v>
      </c>
      <c r="M622" s="6">
        <v>0.56935191154480003</v>
      </c>
      <c r="N622" s="6">
        <v>11.255026736213138</v>
      </c>
      <c r="O622" s="6">
        <v>8.8848918517768105</v>
      </c>
      <c r="P622" s="6">
        <v>17.371713159139986</v>
      </c>
      <c r="Q622" s="6">
        <v>11.14546022924546</v>
      </c>
      <c r="R622" s="6">
        <v>357.71932471932064</v>
      </c>
      <c r="S622" s="6">
        <v>42.739083215507875</v>
      </c>
      <c r="T622" s="6">
        <v>4.9894499778747559</v>
      </c>
      <c r="U622" s="6">
        <f>_xll.BDP($A622,"TRAILING_12M_R&amp;D_%_SALES",$A$1,$A$2)</f>
        <v>23.151857246904591</v>
      </c>
      <c r="V622" s="6">
        <v>45</v>
      </c>
      <c r="W622" s="6">
        <v>451030</v>
      </c>
      <c r="X622" s="6">
        <v>45103020</v>
      </c>
      <c r="Y622" s="7" t="s">
        <v>66</v>
      </c>
      <c r="Z622" s="7" t="s">
        <v>150</v>
      </c>
      <c r="AA622" s="7" t="s">
        <v>1933</v>
      </c>
      <c r="AB622" s="6">
        <v>54.360729217529297</v>
      </c>
      <c r="AC622" s="6">
        <v>1.450794236829072</v>
      </c>
      <c r="AD622" s="6">
        <v>-40.68047758001854</v>
      </c>
      <c r="AE622" s="6">
        <v>16881</v>
      </c>
      <c r="AF622" s="6">
        <v>4801</v>
      </c>
    </row>
    <row r="623" spans="1:32" s="4" customFormat="1" ht="12.75" x14ac:dyDescent="0.2">
      <c r="A623" s="7" t="s">
        <v>2037</v>
      </c>
      <c r="B623" s="7" t="s">
        <v>2038</v>
      </c>
      <c r="C623" s="7" t="s">
        <v>2039</v>
      </c>
      <c r="D623" s="6">
        <v>-0.99777990579605103</v>
      </c>
      <c r="E623" s="6">
        <v>1.7915927171707151</v>
      </c>
      <c r="F623" s="6">
        <v>0.69021099805831909</v>
      </c>
      <c r="G623" s="6">
        <v>3.0002627372741699</v>
      </c>
      <c r="H623" s="6">
        <v>-0.23101079463958701</v>
      </c>
      <c r="I623" s="6">
        <v>1.397887229919434</v>
      </c>
      <c r="J623" s="6">
        <v>3.000007152557373</v>
      </c>
      <c r="K623" s="6">
        <v>0.32946383953094505</v>
      </c>
      <c r="L623" s="6">
        <v>3.00003981590271</v>
      </c>
      <c r="M623" s="6">
        <v>1.841667652130127</v>
      </c>
      <c r="N623" s="6">
        <v>0.60782190605406805</v>
      </c>
      <c r="O623" s="6"/>
      <c r="P623" s="6">
        <v>0.647428908437511</v>
      </c>
      <c r="Q623" s="6"/>
      <c r="R623" s="6">
        <v>1.2099331065169949</v>
      </c>
      <c r="S623" s="6"/>
      <c r="T623" s="6">
        <v>75.059219360351563</v>
      </c>
      <c r="U623" s="6" t="str">
        <f>_xll.BDP($A623,"TRAILING_12M_R&amp;D_%_SALES",$A$1,$A$2)</f>
        <v>#N/A N/A</v>
      </c>
      <c r="V623" s="6">
        <v>20</v>
      </c>
      <c r="W623" s="6">
        <v>203030</v>
      </c>
      <c r="X623" s="6">
        <v>20303010</v>
      </c>
      <c r="Y623" s="7" t="s">
        <v>43</v>
      </c>
      <c r="Z623" s="7" t="s">
        <v>288</v>
      </c>
      <c r="AA623" s="7" t="s">
        <v>288</v>
      </c>
      <c r="AB623" s="6">
        <v>55.758979797363281</v>
      </c>
      <c r="AC623" s="6">
        <v>0.84913297721282111</v>
      </c>
      <c r="AD623" s="6">
        <v>15.165960433090021</v>
      </c>
      <c r="AE623" s="6">
        <v>35165</v>
      </c>
      <c r="AF623" s="6">
        <v>35935</v>
      </c>
    </row>
    <row r="624" spans="1:32" s="4" customFormat="1" ht="12.75" x14ac:dyDescent="0.2">
      <c r="A624" s="7" t="s">
        <v>2040</v>
      </c>
      <c r="B624" s="7" t="s">
        <v>2041</v>
      </c>
      <c r="C624" s="7" t="s">
        <v>2042</v>
      </c>
      <c r="D624" s="6">
        <v>-0.43811348080635104</v>
      </c>
      <c r="E624" s="6">
        <v>-0.44041758775711104</v>
      </c>
      <c r="F624" s="6">
        <v>0.688457071781158</v>
      </c>
      <c r="G624" s="6">
        <v>0.17305776476860002</v>
      </c>
      <c r="H624" s="6">
        <v>0.40238115191459706</v>
      </c>
      <c r="I624" s="6">
        <v>1.0369782447814939</v>
      </c>
      <c r="J624" s="6">
        <v>2.9274787902832031</v>
      </c>
      <c r="K624" s="6">
        <v>-1.098855137825012</v>
      </c>
      <c r="L624" s="6">
        <v>2.9496393203735352</v>
      </c>
      <c r="M624" s="6">
        <v>-0.28589779138565102</v>
      </c>
      <c r="N624" s="6">
        <v>0.28067852456640302</v>
      </c>
      <c r="O624" s="6"/>
      <c r="P624" s="6">
        <v>0.53377096186700501</v>
      </c>
      <c r="Q624" s="6"/>
      <c r="R624" s="6">
        <v>2.968565796182431</v>
      </c>
      <c r="S624" s="6"/>
      <c r="T624" s="6">
        <v>20.058950424194336</v>
      </c>
      <c r="U624" s="6" t="str">
        <f>_xll.BDP($A624,"TRAILING_12M_R&amp;D_%_SALES",$A$1,$A$2)</f>
        <v>#N/A N/A</v>
      </c>
      <c r="V624" s="6">
        <v>15</v>
      </c>
      <c r="W624" s="6">
        <v>151040</v>
      </c>
      <c r="X624" s="6">
        <v>15104050</v>
      </c>
      <c r="Y624" s="7" t="s">
        <v>38</v>
      </c>
      <c r="Z624" s="7" t="s">
        <v>71</v>
      </c>
      <c r="AA624" s="7" t="s">
        <v>303</v>
      </c>
      <c r="AB624" s="6">
        <v>42.862892150878906</v>
      </c>
      <c r="AC624" s="6">
        <v>0.667728363577898</v>
      </c>
      <c r="AD624" s="6">
        <v>15.897889587643688</v>
      </c>
      <c r="AE624" s="6">
        <v>106528</v>
      </c>
      <c r="AF624" s="6">
        <v>92309</v>
      </c>
    </row>
    <row r="625" spans="1:32" s="4" customFormat="1" ht="12.75" x14ac:dyDescent="0.2">
      <c r="A625" s="7" t="s">
        <v>2043</v>
      </c>
      <c r="B625" s="7" t="s">
        <v>2044</v>
      </c>
      <c r="C625" s="7" t="s">
        <v>2045</v>
      </c>
      <c r="D625" s="6">
        <v>-0.39586129784584001</v>
      </c>
      <c r="E625" s="6">
        <v>-0.42802903056144703</v>
      </c>
      <c r="F625" s="6">
        <v>1.6372619867324829</v>
      </c>
      <c r="G625" s="6">
        <v>-0.84449982643127408</v>
      </c>
      <c r="H625" s="6">
        <v>-1.0108598507940002E-3</v>
      </c>
      <c r="I625" s="6">
        <v>0.72078257799148604</v>
      </c>
      <c r="J625" s="6">
        <v>-0.40864410996437101</v>
      </c>
      <c r="K625" s="6">
        <v>9.2001780867579999E-3</v>
      </c>
      <c r="L625" s="6">
        <v>-0.70432782173156705</v>
      </c>
      <c r="M625" s="6">
        <v>2.2486964240670003E-2</v>
      </c>
      <c r="N625" s="6">
        <v>4.39034780926188</v>
      </c>
      <c r="O625" s="6">
        <v>7.1113226052473149</v>
      </c>
      <c r="P625" s="6">
        <v>4.2622164881257216</v>
      </c>
      <c r="Q625" s="6"/>
      <c r="R625" s="6">
        <v>6.3049592803934438</v>
      </c>
      <c r="S625" s="6">
        <v>16.719500323643011</v>
      </c>
      <c r="T625" s="6">
        <v>11.540641784667969</v>
      </c>
      <c r="U625" s="6">
        <f>_xll.BDP($A625,"TRAILING_12M_R&amp;D_%_SALES",$A$1,$A$2)</f>
        <v>0</v>
      </c>
      <c r="V625" s="6">
        <v>25</v>
      </c>
      <c r="W625" s="6">
        <v>255030</v>
      </c>
      <c r="X625" s="6">
        <v>25503030</v>
      </c>
      <c r="Y625" s="7" t="s">
        <v>108</v>
      </c>
      <c r="Z625" s="7" t="s">
        <v>313</v>
      </c>
      <c r="AA625" s="7" t="s">
        <v>313</v>
      </c>
      <c r="AB625" s="6">
        <v>47.610904693603516</v>
      </c>
      <c r="AC625" s="6">
        <v>1.05526687227564</v>
      </c>
      <c r="AD625" s="6">
        <v>6.7422410072235373</v>
      </c>
      <c r="AE625" s="6">
        <v>35276</v>
      </c>
      <c r="AF625" s="6">
        <v>24482</v>
      </c>
    </row>
    <row r="626" spans="1:32" s="4" customFormat="1" ht="12.75" x14ac:dyDescent="0.2">
      <c r="A626" s="7" t="s">
        <v>2046</v>
      </c>
      <c r="B626" s="7" t="s">
        <v>2047</v>
      </c>
      <c r="C626" s="7" t="s">
        <v>2048</v>
      </c>
      <c r="D626" s="6">
        <v>-0.38530185818672202</v>
      </c>
      <c r="E626" s="6">
        <v>-0.67053163051605202</v>
      </c>
      <c r="F626" s="6">
        <v>-0.95189321041107211</v>
      </c>
      <c r="G626" s="6">
        <v>-0.62040638923645008</v>
      </c>
      <c r="H626" s="6">
        <v>2.088814496994019</v>
      </c>
      <c r="I626" s="6">
        <v>0.25534287095069902</v>
      </c>
      <c r="J626" s="6">
        <v>-0.12625615298748</v>
      </c>
      <c r="K626" s="6">
        <v>-0.91691136360168513</v>
      </c>
      <c r="L626" s="6">
        <v>1.0905718803405759</v>
      </c>
      <c r="M626" s="6">
        <v>-0.90171027183532704</v>
      </c>
      <c r="N626" s="6">
        <v>0.84298671527246005</v>
      </c>
      <c r="O626" s="6">
        <v>1.162054387570794</v>
      </c>
      <c r="P626" s="6">
        <v>0.46360597355764604</v>
      </c>
      <c r="Q626" s="6">
        <v>0.46671533563721201</v>
      </c>
      <c r="R626" s="6">
        <v>13.545883087629973</v>
      </c>
      <c r="S626" s="6">
        <v>9.4544662598892568</v>
      </c>
      <c r="T626" s="6">
        <v>3.72263503074646</v>
      </c>
      <c r="U626" s="6" t="str">
        <f>_xll.BDP($A626,"TRAILING_12M_R&amp;D_%_SALES",$A$1,$A$2)</f>
        <v>#N/A N/A</v>
      </c>
      <c r="V626" s="6">
        <v>40</v>
      </c>
      <c r="W626" s="6">
        <v>402030</v>
      </c>
      <c r="X626" s="6">
        <v>40203020</v>
      </c>
      <c r="Y626" s="7" t="s">
        <v>53</v>
      </c>
      <c r="Z626" s="7" t="s">
        <v>298</v>
      </c>
      <c r="AA626" s="7" t="s">
        <v>688</v>
      </c>
      <c r="AB626" s="6">
        <v>56.03057861328125</v>
      </c>
      <c r="AC626" s="6">
        <v>0.42243419088438605</v>
      </c>
      <c r="AD626" s="6">
        <v>-13.10587077730403</v>
      </c>
      <c r="AE626" s="6">
        <v>26585</v>
      </c>
      <c r="AF626" s="6">
        <v>28186</v>
      </c>
    </row>
    <row r="627" spans="1:32" s="4" customFormat="1" ht="12.75" x14ac:dyDescent="0.2">
      <c r="A627" s="7" t="s">
        <v>2049</v>
      </c>
      <c r="B627" s="7" t="s">
        <v>2050</v>
      </c>
      <c r="C627" s="7" t="s">
        <v>2051</v>
      </c>
      <c r="D627" s="6">
        <v>-0.29470568895340005</v>
      </c>
      <c r="E627" s="6">
        <v>-1.062317848205566</v>
      </c>
      <c r="F627" s="6">
        <v>0.81289684772491511</v>
      </c>
      <c r="G627" s="6">
        <v>-0.51561248302459706</v>
      </c>
      <c r="H627" s="6">
        <v>1.275174021720886</v>
      </c>
      <c r="I627" s="6">
        <v>-0.14771468937397</v>
      </c>
      <c r="J627" s="6">
        <v>2.1960642337799072</v>
      </c>
      <c r="K627" s="6">
        <v>-1.1834501028060911</v>
      </c>
      <c r="L627" s="6">
        <v>-0.23492610454559301</v>
      </c>
      <c r="M627" s="6">
        <v>-0.44145512580871604</v>
      </c>
      <c r="N627" s="6">
        <v>0.179067666642199</v>
      </c>
      <c r="O627" s="6">
        <v>0.14913807900821002</v>
      </c>
      <c r="P627" s="6">
        <v>0.32052121218927104</v>
      </c>
      <c r="Q627" s="6">
        <v>0.31123668948538602</v>
      </c>
      <c r="R627" s="6">
        <v>14.690794045607513</v>
      </c>
      <c r="S627" s="6">
        <v>5.2786929891376557</v>
      </c>
      <c r="T627" s="6">
        <v>2.4029300212860112</v>
      </c>
      <c r="U627" s="6">
        <f>_xll.BDP($A627,"TRAILING_12M_R&amp;D_%_SALES",$A$1,$A$2)</f>
        <v>4.9614786217549618</v>
      </c>
      <c r="V627" s="6">
        <v>25</v>
      </c>
      <c r="W627" s="6">
        <v>251020</v>
      </c>
      <c r="X627" s="6">
        <v>25102010</v>
      </c>
      <c r="Y627" s="7" t="s">
        <v>108</v>
      </c>
      <c r="Z627" s="7" t="s">
        <v>422</v>
      </c>
      <c r="AA627" s="7" t="s">
        <v>423</v>
      </c>
      <c r="AB627" s="6">
        <v>64.208831787109375</v>
      </c>
      <c r="AC627" s="6">
        <v>0.45750785330640803</v>
      </c>
      <c r="AD627" s="6">
        <v>-37.042048815214422</v>
      </c>
      <c r="AE627" s="6">
        <v>134111</v>
      </c>
      <c r="AF627" s="6">
        <v>137250</v>
      </c>
    </row>
    <row r="628" spans="1:32" s="4" customFormat="1" ht="12.75" x14ac:dyDescent="0.2">
      <c r="A628" s="7" t="s">
        <v>2052</v>
      </c>
      <c r="B628" s="7" t="s">
        <v>2053</v>
      </c>
      <c r="C628" s="7" t="s">
        <v>2054</v>
      </c>
      <c r="D628" s="6">
        <v>-0.29470568895340005</v>
      </c>
      <c r="E628" s="6">
        <v>-1.062317848205566</v>
      </c>
      <c r="F628" s="6">
        <v>0.81289684772491511</v>
      </c>
      <c r="G628" s="6">
        <v>-0.51561248302459706</v>
      </c>
      <c r="H628" s="6">
        <v>1.275174021720886</v>
      </c>
      <c r="I628" s="6">
        <v>-0.14771468937397</v>
      </c>
      <c r="J628" s="6">
        <v>2.1960642337799072</v>
      </c>
      <c r="K628" s="6">
        <v>-1.1834501028060911</v>
      </c>
      <c r="L628" s="6">
        <v>-0.23492610454559301</v>
      </c>
      <c r="M628" s="6">
        <v>-0.44145512580871604</v>
      </c>
      <c r="N628" s="6">
        <v>0.179067666642199</v>
      </c>
      <c r="O628" s="6">
        <v>0.14722499189851401</v>
      </c>
      <c r="P628" s="6">
        <v>0.32052121218927104</v>
      </c>
      <c r="Q628" s="6"/>
      <c r="R628" s="6">
        <v>14.690794045607513</v>
      </c>
      <c r="S628" s="6">
        <v>5.5701326171862062</v>
      </c>
      <c r="T628" s="6">
        <v>2.4029300212860112</v>
      </c>
      <c r="U628" s="6">
        <f>_xll.BDP($A628,"TRAILING_12M_R&amp;D_%_SALES",$A$1,$A$2)</f>
        <v>4.9614786217549618</v>
      </c>
      <c r="V628" s="6">
        <v>25</v>
      </c>
      <c r="W628" s="6">
        <v>251020</v>
      </c>
      <c r="X628" s="6">
        <v>25102010</v>
      </c>
      <c r="Y628" s="7" t="s">
        <v>108</v>
      </c>
      <c r="Z628" s="7" t="s">
        <v>422</v>
      </c>
      <c r="AA628" s="7" t="s">
        <v>423</v>
      </c>
      <c r="AB628" s="6">
        <v>64.208831787109375</v>
      </c>
      <c r="AC628" s="6">
        <v>0.76748483036018711</v>
      </c>
      <c r="AD628" s="6">
        <v>-34.326212269192567</v>
      </c>
      <c r="AE628" s="6">
        <v>134111</v>
      </c>
      <c r="AF628" s="6">
        <v>137250</v>
      </c>
    </row>
    <row r="629" spans="1:32" s="4" customFormat="1" ht="12.75" x14ac:dyDescent="0.2">
      <c r="A629" s="7" t="s">
        <v>2055</v>
      </c>
      <c r="B629" s="7" t="s">
        <v>2056</v>
      </c>
      <c r="C629" s="7" t="s">
        <v>2057</v>
      </c>
      <c r="D629" s="6">
        <v>-0.510461926460266</v>
      </c>
      <c r="E629" s="6">
        <v>-0.27058932185173001</v>
      </c>
      <c r="F629" s="6">
        <v>0.16982793807983401</v>
      </c>
      <c r="G629" s="6">
        <v>-0.26152002811431901</v>
      </c>
      <c r="H629" s="6">
        <v>0.33170312643051103</v>
      </c>
      <c r="I629" s="6">
        <v>6.1614131554960008E-3</v>
      </c>
      <c r="J629" s="6">
        <v>-8.3527676761150013E-3</v>
      </c>
      <c r="K629" s="6">
        <v>-1.112038135528564</v>
      </c>
      <c r="L629" s="6">
        <v>0.16163994371891002</v>
      </c>
      <c r="M629" s="6">
        <v>-0.68791270256042503</v>
      </c>
      <c r="N629" s="6">
        <v>4.7425506796937631</v>
      </c>
      <c r="O629" s="6">
        <v>4.4947280213525804</v>
      </c>
      <c r="P629" s="6">
        <v>4.3803540777268699</v>
      </c>
      <c r="Q629" s="6">
        <v>4.068417371778815</v>
      </c>
      <c r="R629" s="6">
        <v>18.389153129425939</v>
      </c>
      <c r="S629" s="6">
        <v>17.524981284342402</v>
      </c>
      <c r="T629" s="6">
        <v>24.079372406005859</v>
      </c>
      <c r="U629" s="6">
        <f>_xll.BDP($A629,"TRAILING_12M_R&amp;D_%_SALES",$A$1,$A$2)</f>
        <v>0</v>
      </c>
      <c r="V629" s="6">
        <v>20</v>
      </c>
      <c r="W629" s="6">
        <v>203040</v>
      </c>
      <c r="X629" s="6">
        <v>20304010</v>
      </c>
      <c r="Y629" s="7" t="s">
        <v>43</v>
      </c>
      <c r="Z629" s="7" t="s">
        <v>728</v>
      </c>
      <c r="AA629" s="7" t="s">
        <v>729</v>
      </c>
      <c r="AB629" s="6">
        <v>64.842567443847656</v>
      </c>
      <c r="AC629" s="6">
        <v>0.86939637157554905</v>
      </c>
      <c r="AD629" s="6">
        <v>-14.730269095185367</v>
      </c>
      <c r="AE629" s="6">
        <v>18370</v>
      </c>
      <c r="AF629" s="6">
        <v>28044</v>
      </c>
    </row>
    <row r="630" spans="1:32" s="4" customFormat="1" ht="12.75" x14ac:dyDescent="0.2">
      <c r="A630" s="7" t="s">
        <v>2058</v>
      </c>
      <c r="B630" s="7" t="s">
        <v>2059</v>
      </c>
      <c r="C630" s="7" t="s">
        <v>2060</v>
      </c>
      <c r="D630" s="6">
        <v>-0.69153821468353305</v>
      </c>
      <c r="E630" s="6">
        <v>0.36718088388443004</v>
      </c>
      <c r="F630" s="6">
        <v>-1.1495708227157591</v>
      </c>
      <c r="G630" s="6">
        <v>-0.28230467438697804</v>
      </c>
      <c r="H630" s="6">
        <v>-1.4006597995758061</v>
      </c>
      <c r="I630" s="6">
        <v>0.49648717045784002</v>
      </c>
      <c r="J630" s="6">
        <v>9.4319283962250006E-2</v>
      </c>
      <c r="K630" s="6">
        <v>-3.2480251044035E-2</v>
      </c>
      <c r="L630" s="6">
        <v>0.667358458042145</v>
      </c>
      <c r="M630" s="6">
        <v>0.71182739734649703</v>
      </c>
      <c r="N630" s="6">
        <v>3.7471007873392952</v>
      </c>
      <c r="O630" s="6">
        <v>4.2013771862770781</v>
      </c>
      <c r="P630" s="6">
        <v>2.9574142318010752</v>
      </c>
      <c r="Q630" s="6">
        <v>2.619451189641202</v>
      </c>
      <c r="R630" s="6">
        <v>12.070880398396385</v>
      </c>
      <c r="S630" s="6">
        <v>14.838502296364085</v>
      </c>
      <c r="T630" s="6">
        <v>27.04820442199707</v>
      </c>
      <c r="U630" s="6">
        <f>_xll.BDP($A630,"TRAILING_12M_R&amp;D_%_SALES",$A$1,$A$2)</f>
        <v>12.175268206021794</v>
      </c>
      <c r="V630" s="6">
        <v>50</v>
      </c>
      <c r="W630" s="6">
        <v>502020</v>
      </c>
      <c r="X630" s="6">
        <v>50202020</v>
      </c>
      <c r="Y630" s="7" t="s">
        <v>367</v>
      </c>
      <c r="Z630" s="7" t="s">
        <v>368</v>
      </c>
      <c r="AA630" s="7" t="s">
        <v>369</v>
      </c>
      <c r="AB630" s="6">
        <v>49.763603210449219</v>
      </c>
      <c r="AC630" s="6">
        <v>0.56540531783814707</v>
      </c>
      <c r="AD630" s="6">
        <v>-7.681657557292465</v>
      </c>
      <c r="AE630" s="6">
        <v>6717</v>
      </c>
      <c r="AF630" s="6">
        <v>5166</v>
      </c>
    </row>
    <row r="631" spans="1:32" s="4" customFormat="1" ht="12.75" x14ac:dyDescent="0.2">
      <c r="A631" s="7" t="s">
        <v>2061</v>
      </c>
      <c r="B631" s="7" t="s">
        <v>2062</v>
      </c>
      <c r="C631" s="7" t="s">
        <v>2063</v>
      </c>
      <c r="D631" s="6">
        <v>-0.69153821468353305</v>
      </c>
      <c r="E631" s="6">
        <v>0.36718088388443004</v>
      </c>
      <c r="F631" s="6">
        <v>-1.1495708227157591</v>
      </c>
      <c r="G631" s="6">
        <v>-0.28230467438697804</v>
      </c>
      <c r="H631" s="6">
        <v>-1.4006597995758061</v>
      </c>
      <c r="I631" s="6">
        <v>0.49648717045784002</v>
      </c>
      <c r="J631" s="6">
        <v>9.4319283962250006E-2</v>
      </c>
      <c r="K631" s="6">
        <v>-3.2480251044035E-2</v>
      </c>
      <c r="L631" s="6">
        <v>0.667358458042145</v>
      </c>
      <c r="M631" s="6">
        <v>0.71182739734649703</v>
      </c>
      <c r="N631" s="6">
        <v>3.7471007873392952</v>
      </c>
      <c r="O631" s="6">
        <v>5.0072172592499307</v>
      </c>
      <c r="P631" s="6">
        <v>2.9574142318010752</v>
      </c>
      <c r="Q631" s="6">
        <v>0.35321001123291601</v>
      </c>
      <c r="R631" s="6">
        <v>12.070880398396385</v>
      </c>
      <c r="S631" s="6">
        <v>2.219156238351339</v>
      </c>
      <c r="T631" s="6">
        <v>27.04820442199707</v>
      </c>
      <c r="U631" s="6">
        <f>_xll.BDP($A631,"TRAILING_12M_R&amp;D_%_SALES",$A$1,$A$2)</f>
        <v>12.175268206021794</v>
      </c>
      <c r="V631" s="6">
        <v>50</v>
      </c>
      <c r="W631" s="6">
        <v>502020</v>
      </c>
      <c r="X631" s="6">
        <v>50202020</v>
      </c>
      <c r="Y631" s="7" t="s">
        <v>367</v>
      </c>
      <c r="Z631" s="7" t="s">
        <v>368</v>
      </c>
      <c r="AA631" s="7" t="s">
        <v>369</v>
      </c>
      <c r="AB631" s="6">
        <v>49.763603210449219</v>
      </c>
      <c r="AC631" s="6">
        <v>0.60562830225265707</v>
      </c>
      <c r="AD631" s="6">
        <v>-8.3614223579214215</v>
      </c>
      <c r="AE631" s="6">
        <v>6717</v>
      </c>
      <c r="AF631" s="6">
        <v>5166</v>
      </c>
    </row>
    <row r="632" spans="1:32" s="4" customFormat="1" ht="12.75" x14ac:dyDescent="0.2">
      <c r="A632" s="7" t="s">
        <v>2064</v>
      </c>
      <c r="B632" s="7" t="s">
        <v>2065</v>
      </c>
      <c r="C632" s="7" t="s">
        <v>2066</v>
      </c>
      <c r="D632" s="6">
        <v>-0.86361044645309404</v>
      </c>
      <c r="E632" s="6">
        <v>-0.62858563661575306</v>
      </c>
      <c r="F632" s="6">
        <v>-0.164348229765892</v>
      </c>
      <c r="G632" s="6">
        <v>-0.87082731723785411</v>
      </c>
      <c r="H632" s="6">
        <v>-0.40495309233665505</v>
      </c>
      <c r="I632" s="6">
        <v>-0.11778176575899101</v>
      </c>
      <c r="J632" s="6">
        <v>0.44802659749984702</v>
      </c>
      <c r="K632" s="6">
        <v>-3.9597027003765002E-2</v>
      </c>
      <c r="L632" s="6">
        <v>-0.29486298561096203</v>
      </c>
      <c r="M632" s="6">
        <v>-0.76431626081466708</v>
      </c>
      <c r="N632" s="6">
        <v>0.99929040154559412</v>
      </c>
      <c r="O632" s="6"/>
      <c r="P632" s="6">
        <v>1.8836955793399031</v>
      </c>
      <c r="Q632" s="6"/>
      <c r="R632" s="6">
        <v>18.830409636773147</v>
      </c>
      <c r="S632" s="6"/>
      <c r="T632" s="6">
        <v>11.044168472290039</v>
      </c>
      <c r="U632" s="6" t="str">
        <f>_xll.BDP($A632,"TRAILING_12M_R&amp;D_%_SALES",$A$1,$A$2)</f>
        <v>#N/A N/A</v>
      </c>
      <c r="V632" s="6">
        <v>45</v>
      </c>
      <c r="W632" s="6">
        <v>451020</v>
      </c>
      <c r="X632" s="6">
        <v>45102010</v>
      </c>
      <c r="Y632" s="7" t="s">
        <v>66</v>
      </c>
      <c r="Z632" s="7" t="s">
        <v>138</v>
      </c>
      <c r="AA632" s="7" t="s">
        <v>139</v>
      </c>
      <c r="AB632" s="6">
        <v>57.177345275878906</v>
      </c>
      <c r="AC632" s="6">
        <v>0.63768291895762408</v>
      </c>
      <c r="AD632" s="6">
        <v>-33.832003171628735</v>
      </c>
      <c r="AE632" s="6">
        <v>151991</v>
      </c>
      <c r="AF632" s="6">
        <v>111664</v>
      </c>
    </row>
    <row r="633" spans="1:32" s="4" customFormat="1" ht="12.75" x14ac:dyDescent="0.2">
      <c r="A633" s="7" t="s">
        <v>2067</v>
      </c>
      <c r="B633" s="7" t="s">
        <v>2068</v>
      </c>
      <c r="C633" s="7" t="s">
        <v>2069</v>
      </c>
      <c r="D633" s="6">
        <v>-0.66855877637863204</v>
      </c>
      <c r="E633" s="6">
        <v>-0.17613033950328802</v>
      </c>
      <c r="F633" s="6">
        <v>0.64568763971328702</v>
      </c>
      <c r="G633" s="6">
        <v>-0.613625347614288</v>
      </c>
      <c r="H633" s="6">
        <v>-1.3095477819442749</v>
      </c>
      <c r="I633" s="6">
        <v>-0.56398254632949807</v>
      </c>
      <c r="J633" s="6">
        <v>0.13343338668346402</v>
      </c>
      <c r="K633" s="6">
        <v>0.36899915337562605</v>
      </c>
      <c r="L633" s="6">
        <v>0.35366868972778304</v>
      </c>
      <c r="M633" s="6">
        <v>-5.0992205739021003E-2</v>
      </c>
      <c r="N633" s="6">
        <v>3.4349733416015789</v>
      </c>
      <c r="O633" s="6">
        <v>3.1466732733065959</v>
      </c>
      <c r="P633" s="6">
        <v>3.1233001693077411</v>
      </c>
      <c r="Q633" s="6">
        <v>3.9483507068433319</v>
      </c>
      <c r="R633" s="6">
        <v>16.120768902381979</v>
      </c>
      <c r="S633" s="6">
        <v>13.94730559449243</v>
      </c>
      <c r="T633" s="6">
        <v>23.346155166625977</v>
      </c>
      <c r="U633" s="6">
        <f>_xll.BDP($A633,"TRAILING_12M_R&amp;D_%_SALES",$A$1,$A$2)</f>
        <v>16.643499426697705</v>
      </c>
      <c r="V633" s="6">
        <v>50</v>
      </c>
      <c r="W633" s="6">
        <v>502020</v>
      </c>
      <c r="X633" s="6">
        <v>50202020</v>
      </c>
      <c r="Y633" s="7" t="s">
        <v>367</v>
      </c>
      <c r="Z633" s="7" t="s">
        <v>368</v>
      </c>
      <c r="AA633" s="7" t="s">
        <v>369</v>
      </c>
      <c r="AB633" s="6">
        <v>39.352176666259766</v>
      </c>
      <c r="AC633" s="6">
        <v>0.94157066481224005</v>
      </c>
      <c r="AD633" s="6">
        <v>-28.690756867152835</v>
      </c>
      <c r="AE633" s="6">
        <v>32064</v>
      </c>
      <c r="AF633" s="6">
        <v>15948</v>
      </c>
    </row>
    <row r="634" spans="1:32" s="4" customFormat="1" ht="12.75" x14ac:dyDescent="0.2">
      <c r="A634" s="7" t="s">
        <v>2070</v>
      </c>
      <c r="B634" s="7" t="s">
        <v>2071</v>
      </c>
      <c r="C634" s="7" t="s">
        <v>2072</v>
      </c>
      <c r="D634" s="6">
        <v>-0.279488325119019</v>
      </c>
      <c r="E634" s="6">
        <v>-0.72835135459899902</v>
      </c>
      <c r="F634" s="6">
        <v>-0.42425799369812001</v>
      </c>
      <c r="G634" s="6">
        <v>-0.10275132209062601</v>
      </c>
      <c r="H634" s="6">
        <v>-1.155097603797913</v>
      </c>
      <c r="I634" s="6">
        <v>0.17983786761760701</v>
      </c>
      <c r="J634" s="6">
        <v>9.3590594828129009E-2</v>
      </c>
      <c r="K634" s="6">
        <v>-0.54058921337127708</v>
      </c>
      <c r="L634" s="6">
        <v>1.250588178634644</v>
      </c>
      <c r="M634" s="6">
        <v>-0.98008835315704312</v>
      </c>
      <c r="N634" s="6">
        <v>2.2079551721008479</v>
      </c>
      <c r="O634" s="6">
        <v>2.894376555050338</v>
      </c>
      <c r="P634" s="6">
        <v>1.651413220905142</v>
      </c>
      <c r="Q634" s="6">
        <v>1.4785105467711801</v>
      </c>
      <c r="R634" s="6">
        <v>9.4735207197755482</v>
      </c>
      <c r="S634" s="6">
        <v>9.3970982940145937</v>
      </c>
      <c r="T634" s="6">
        <v>18.92961311340332</v>
      </c>
      <c r="U634" s="6" t="str">
        <f>_xll.BDP($A634,"TRAILING_12M_R&amp;D_%_SALES",$A$1,$A$2)</f>
        <v>#N/A N/A</v>
      </c>
      <c r="V634" s="6">
        <v>40</v>
      </c>
      <c r="W634" s="6">
        <v>401010</v>
      </c>
      <c r="X634" s="6">
        <v>40101010</v>
      </c>
      <c r="Y634" s="7" t="s">
        <v>53</v>
      </c>
      <c r="Z634" s="7" t="s">
        <v>76</v>
      </c>
      <c r="AA634" s="7" t="s">
        <v>77</v>
      </c>
      <c r="AB634" s="6">
        <v>62.709987640380859</v>
      </c>
      <c r="AC634" s="6">
        <v>0.80984826883916705</v>
      </c>
      <c r="AD634" s="6">
        <v>-7.5819128647908514</v>
      </c>
      <c r="AE634" s="6">
        <v>27103</v>
      </c>
      <c r="AF634" s="6">
        <v>21635</v>
      </c>
    </row>
    <row r="635" spans="1:32" s="4" customFormat="1" ht="12.75" x14ac:dyDescent="0.2">
      <c r="A635" s="7" t="s">
        <v>2073</v>
      </c>
      <c r="B635" s="7" t="s">
        <v>2074</v>
      </c>
      <c r="C635" s="7" t="s">
        <v>2075</v>
      </c>
      <c r="D635" s="6">
        <v>-0.31804385781288103</v>
      </c>
      <c r="E635" s="6">
        <v>7.8534342348576008E-2</v>
      </c>
      <c r="F635" s="6">
        <v>1.5783475637435911</v>
      </c>
      <c r="G635" s="6">
        <v>-0.51789563894271906</v>
      </c>
      <c r="H635" s="6">
        <v>-6.4389929175377003E-2</v>
      </c>
      <c r="I635" s="6">
        <v>0.75409299135208108</v>
      </c>
      <c r="J635" s="6">
        <v>1.8170843124389651</v>
      </c>
      <c r="K635" s="6">
        <v>-0.39979588985443104</v>
      </c>
      <c r="L635" s="6">
        <v>0.45420548319816606</v>
      </c>
      <c r="M635" s="6">
        <v>0.22712326049804701</v>
      </c>
      <c r="N635" s="6">
        <v>1.069215583995647</v>
      </c>
      <c r="O635" s="6">
        <v>1.0681638131147291</v>
      </c>
      <c r="P635" s="6">
        <v>1.4681791386192431</v>
      </c>
      <c r="Q635" s="6">
        <v>1.256887274892883</v>
      </c>
      <c r="R635" s="6">
        <v>5.54446822605812</v>
      </c>
      <c r="S635" s="6">
        <v>5.7383043670728258</v>
      </c>
      <c r="T635" s="6">
        <v>31.269924163818359</v>
      </c>
      <c r="U635" s="6" t="str">
        <f>_xll.BDP($A635,"TRAILING_12M_R&amp;D_%_SALES",$A$1,$A$2)</f>
        <v>#N/A N/A</v>
      </c>
      <c r="V635" s="6">
        <v>15</v>
      </c>
      <c r="W635" s="6">
        <v>151010</v>
      </c>
      <c r="X635" s="6">
        <v>15101030</v>
      </c>
      <c r="Y635" s="7" t="s">
        <v>38</v>
      </c>
      <c r="Z635" s="7" t="s">
        <v>48</v>
      </c>
      <c r="AA635" s="7" t="s">
        <v>878</v>
      </c>
      <c r="AB635" s="6">
        <v>75.998390197753906</v>
      </c>
      <c r="AC635" s="6">
        <v>0.81248037370676607</v>
      </c>
      <c r="AD635" s="6">
        <v>0.108609223595169</v>
      </c>
      <c r="AE635" s="6">
        <v>23500</v>
      </c>
      <c r="AF635" s="6"/>
    </row>
    <row r="636" spans="1:32" s="4" customFormat="1" ht="12.75" x14ac:dyDescent="0.2">
      <c r="A636" s="7" t="s">
        <v>2076</v>
      </c>
      <c r="B636" s="7" t="s">
        <v>2077</v>
      </c>
      <c r="C636" s="7" t="s">
        <v>2078</v>
      </c>
      <c r="D636" s="6">
        <v>-0.60215127468109109</v>
      </c>
      <c r="E636" s="6">
        <v>-0.8120424151420591</v>
      </c>
      <c r="F636" s="6">
        <v>0.16201908886432601</v>
      </c>
      <c r="G636" s="6">
        <v>-0.45883688330650302</v>
      </c>
      <c r="H636" s="6">
        <v>-0.68664610385894809</v>
      </c>
      <c r="I636" s="6">
        <v>-0.44238394498825101</v>
      </c>
      <c r="J636" s="6">
        <v>0.28771713376045205</v>
      </c>
      <c r="K636" s="6">
        <v>-0.7475062012672421</v>
      </c>
      <c r="L636" s="6">
        <v>0.85431444644928012</v>
      </c>
      <c r="M636" s="6">
        <v>-1.0538371801376341</v>
      </c>
      <c r="N636" s="6">
        <v>2.5350623219123172</v>
      </c>
      <c r="O636" s="6">
        <v>2.55450305787256</v>
      </c>
      <c r="P636" s="6">
        <v>1.672007447122511</v>
      </c>
      <c r="Q636" s="6">
        <v>1.651288853132667</v>
      </c>
      <c r="R636" s="6">
        <v>12.055858160562961</v>
      </c>
      <c r="S636" s="6">
        <v>12.098793571438833</v>
      </c>
      <c r="T636" s="6">
        <v>13.366507530212402</v>
      </c>
      <c r="U636" s="6" t="str">
        <f>_xll.BDP($A636,"TRAILING_12M_R&amp;D_%_SALES",$A$1,$A$2)</f>
        <v>#N/A N/A</v>
      </c>
      <c r="V636" s="6">
        <v>40</v>
      </c>
      <c r="W636" s="6">
        <v>402030</v>
      </c>
      <c r="X636" s="6">
        <v>40203010</v>
      </c>
      <c r="Y636" s="7" t="s">
        <v>53</v>
      </c>
      <c r="Z636" s="7" t="s">
        <v>298</v>
      </c>
      <c r="AA636" s="7" t="s">
        <v>299</v>
      </c>
      <c r="AB636" s="6">
        <v>54.320491790771484</v>
      </c>
      <c r="AC636" s="6">
        <v>1.0170843649173651</v>
      </c>
      <c r="AD636" s="6">
        <v>-23.691418495942319</v>
      </c>
      <c r="AE636" s="6">
        <v>21100</v>
      </c>
      <c r="AF636" s="6">
        <v>17100</v>
      </c>
    </row>
    <row r="637" spans="1:32" s="4" customFormat="1" ht="12.75" x14ac:dyDescent="0.2">
      <c r="A637" s="7" t="s">
        <v>2079</v>
      </c>
      <c r="B637" s="7" t="s">
        <v>2080</v>
      </c>
      <c r="C637" s="7" t="s">
        <v>2081</v>
      </c>
      <c r="D637" s="6">
        <v>-0.86361044645309404</v>
      </c>
      <c r="E637" s="6">
        <v>-0.62858563661575306</v>
      </c>
      <c r="F637" s="6">
        <v>-0.164348229765892</v>
      </c>
      <c r="G637" s="6">
        <v>-0.87082731723785411</v>
      </c>
      <c r="H637" s="6">
        <v>-0.40495309233665505</v>
      </c>
      <c r="I637" s="6">
        <v>-0.11778176575899101</v>
      </c>
      <c r="J637" s="6">
        <v>0.44802659749984702</v>
      </c>
      <c r="K637" s="6">
        <v>-3.9597027003765002E-2</v>
      </c>
      <c r="L637" s="6">
        <v>-0.29486298561096203</v>
      </c>
      <c r="M637" s="6">
        <v>-0.76431626081466708</v>
      </c>
      <c r="N637" s="6">
        <v>0.99929040154559412</v>
      </c>
      <c r="O637" s="6">
        <v>0.7029370738602001</v>
      </c>
      <c r="P637" s="6">
        <v>1.8836955793399031</v>
      </c>
      <c r="Q637" s="6">
        <v>1.870045891062154</v>
      </c>
      <c r="R637" s="6">
        <v>18.830409636773147</v>
      </c>
      <c r="S637" s="6">
        <v>19.160614558933656</v>
      </c>
      <c r="T637" s="6">
        <v>11.044168472290039</v>
      </c>
      <c r="U637" s="6" t="str">
        <f>_xll.BDP($A637,"TRAILING_12M_R&amp;D_%_SALES",$A$1,$A$2)</f>
        <v>#N/A N/A</v>
      </c>
      <c r="V637" s="6">
        <v>45</v>
      </c>
      <c r="W637" s="6">
        <v>451020</v>
      </c>
      <c r="X637" s="6">
        <v>45102010</v>
      </c>
      <c r="Y637" s="7" t="s">
        <v>66</v>
      </c>
      <c r="Z637" s="7" t="s">
        <v>138</v>
      </c>
      <c r="AA637" s="7" t="s">
        <v>139</v>
      </c>
      <c r="AB637" s="6">
        <v>57.177345275878906</v>
      </c>
      <c r="AC637" s="6">
        <v>0.30181265032445803</v>
      </c>
      <c r="AD637" s="6"/>
      <c r="AE637" s="6">
        <v>151991</v>
      </c>
      <c r="AF637" s="6">
        <v>111664</v>
      </c>
    </row>
    <row r="638" spans="1:32" s="4" customFormat="1" ht="12.75" x14ac:dyDescent="0.2">
      <c r="A638" s="7" t="s">
        <v>2082</v>
      </c>
      <c r="B638" s="7" t="s">
        <v>2083</v>
      </c>
      <c r="C638" s="7" t="s">
        <v>2084</v>
      </c>
      <c r="D638" s="6">
        <v>-0.46428784728050204</v>
      </c>
      <c r="E638" s="6">
        <v>0.81396985054016102</v>
      </c>
      <c r="F638" s="6">
        <v>0.72451680898666404</v>
      </c>
      <c r="G638" s="6">
        <v>0.58504509925842307</v>
      </c>
      <c r="H638" s="6">
        <v>-0.37448263168335005</v>
      </c>
      <c r="I638" s="6">
        <v>1.24892246723175</v>
      </c>
      <c r="J638" s="6">
        <v>1.9820500612258911</v>
      </c>
      <c r="K638" s="6">
        <v>0.47764572501182606</v>
      </c>
      <c r="L638" s="6">
        <v>-7.9816006124020011E-2</v>
      </c>
      <c r="M638" s="6">
        <v>2.8632538318634033</v>
      </c>
      <c r="N638" s="6">
        <v>0.81904073683041101</v>
      </c>
      <c r="O638" s="6">
        <v>1.039076086420986</v>
      </c>
      <c r="P638" s="6">
        <v>1.909550615757843</v>
      </c>
      <c r="Q638" s="6">
        <v>1.5997808851166571</v>
      </c>
      <c r="R638" s="6">
        <v>4.0509329208290641</v>
      </c>
      <c r="S638" s="6">
        <v>10.412465716251781</v>
      </c>
      <c r="T638" s="6">
        <v>55.189117431640625</v>
      </c>
      <c r="U638" s="6" t="str">
        <f>_xll.BDP($A638,"TRAILING_12M_R&amp;D_%_SALES",$A$1,$A$2)</f>
        <v>#N/A N/A</v>
      </c>
      <c r="V638" s="6">
        <v>15</v>
      </c>
      <c r="W638" s="6">
        <v>151040</v>
      </c>
      <c r="X638" s="6">
        <v>15104050</v>
      </c>
      <c r="Y638" s="7" t="s">
        <v>38</v>
      </c>
      <c r="Z638" s="7" t="s">
        <v>71</v>
      </c>
      <c r="AA638" s="7" t="s">
        <v>303</v>
      </c>
      <c r="AB638" s="6">
        <v>57.861381530761719</v>
      </c>
      <c r="AC638" s="6">
        <v>1.118369148844476</v>
      </c>
      <c r="AD638" s="6">
        <v>17.711072005659958</v>
      </c>
      <c r="AE638" s="6">
        <v>28800</v>
      </c>
      <c r="AF638" s="6">
        <v>23900</v>
      </c>
    </row>
    <row r="639" spans="1:32" s="4" customFormat="1" ht="12.75" x14ac:dyDescent="0.2">
      <c r="A639" s="7" t="s">
        <v>2085</v>
      </c>
      <c r="B639" s="7" t="s">
        <v>2086</v>
      </c>
      <c r="C639" s="7" t="s">
        <v>2087</v>
      </c>
      <c r="D639" s="6">
        <v>0.24986371397972101</v>
      </c>
      <c r="E639" s="6">
        <v>-3.7182044237852006E-2</v>
      </c>
      <c r="F639" s="6">
        <v>-0.39979535341262801</v>
      </c>
      <c r="G639" s="6">
        <v>2.518095731735229</v>
      </c>
      <c r="H639" s="6">
        <v>-0.45581135153770402</v>
      </c>
      <c r="I639" s="6">
        <v>-0.98680156469345104</v>
      </c>
      <c r="J639" s="6">
        <v>-0.63169878721237205</v>
      </c>
      <c r="K639" s="6">
        <v>1.2805824279785161</v>
      </c>
      <c r="L639" s="6">
        <v>-0.76197528839111306</v>
      </c>
      <c r="M639" s="6">
        <v>0.81274735927581809</v>
      </c>
      <c r="N639" s="6">
        <v>12.779842197334728</v>
      </c>
      <c r="O639" s="6">
        <v>12.273613479890926</v>
      </c>
      <c r="P639" s="6">
        <v>16.894165076717744</v>
      </c>
      <c r="Q639" s="6">
        <v>15.248072631952905</v>
      </c>
      <c r="R639" s="6">
        <v>50.025194693109306</v>
      </c>
      <c r="S639" s="6">
        <v>34.444451541486742</v>
      </c>
      <c r="T639" s="6">
        <v>26.389350891113281</v>
      </c>
      <c r="U639" s="6">
        <f>_xll.BDP($A639,"TRAILING_12M_R&amp;D_%_SALES",$A$1,$A$2)</f>
        <v>9.8960129351632613</v>
      </c>
      <c r="V639" s="6">
        <v>45</v>
      </c>
      <c r="W639" s="6">
        <v>453010</v>
      </c>
      <c r="X639" s="6">
        <v>45301020</v>
      </c>
      <c r="Y639" s="7" t="s">
        <v>66</v>
      </c>
      <c r="Z639" s="7" t="s">
        <v>163</v>
      </c>
      <c r="AA639" s="7" t="s">
        <v>164</v>
      </c>
      <c r="AB639" s="6">
        <v>73.694801330566406</v>
      </c>
      <c r="AC639" s="6">
        <v>1.8067083011633711</v>
      </c>
      <c r="AD639" s="6">
        <v>-50.560162173128177</v>
      </c>
      <c r="AE639" s="6">
        <v>22473</v>
      </c>
      <c r="AF639" s="6">
        <v>7282</v>
      </c>
    </row>
    <row r="640" spans="1:32" s="4" customFormat="1" ht="12.75" x14ac:dyDescent="0.2">
      <c r="A640" s="7" t="s">
        <v>2088</v>
      </c>
      <c r="B640" s="7" t="s">
        <v>2089</v>
      </c>
      <c r="C640" s="7" t="s">
        <v>2090</v>
      </c>
      <c r="D640" s="6">
        <v>0.52637344598770108</v>
      </c>
      <c r="E640" s="6">
        <v>0.87056475877761808</v>
      </c>
      <c r="F640" s="6">
        <v>0.29751265048980702</v>
      </c>
      <c r="G640" s="6">
        <v>-0.96803629398345903</v>
      </c>
      <c r="H640" s="6">
        <v>-0.57780361175537109</v>
      </c>
      <c r="I640" s="6">
        <v>0.69867283105850209</v>
      </c>
      <c r="J640" s="6">
        <v>0.118210084736347</v>
      </c>
      <c r="K640" s="6">
        <v>-0.8631289601325991</v>
      </c>
      <c r="L640" s="6">
        <v>0.9627855420112611</v>
      </c>
      <c r="M640" s="6">
        <v>-0.648867428302765</v>
      </c>
      <c r="N640" s="6">
        <v>3.8285279401483603</v>
      </c>
      <c r="O640" s="6">
        <v>4.2050531021282938</v>
      </c>
      <c r="P640" s="6">
        <v>3.2067163978750299</v>
      </c>
      <c r="Q640" s="6">
        <v>3.1441869059099332</v>
      </c>
      <c r="R640" s="6">
        <v>9.2616384553437374</v>
      </c>
      <c r="S640" s="6">
        <v>14.098556127292499</v>
      </c>
      <c r="T640" s="6">
        <v>37.072563171386719</v>
      </c>
      <c r="U640" s="6">
        <f>_xll.BDP($A640,"TRAILING_12M_R&amp;D_%_SALES",$A$1,$A$2)</f>
        <v>19.37666756892618</v>
      </c>
      <c r="V640" s="6">
        <v>35</v>
      </c>
      <c r="W640" s="6">
        <v>352020</v>
      </c>
      <c r="X640" s="6">
        <v>35202010</v>
      </c>
      <c r="Y640" s="7" t="s">
        <v>86</v>
      </c>
      <c r="Z640" s="7" t="s">
        <v>271</v>
      </c>
      <c r="AA640" s="7" t="s">
        <v>271</v>
      </c>
      <c r="AB640" s="6">
        <v>76.350471496582031</v>
      </c>
      <c r="AC640" s="6">
        <v>0.60852282017083603</v>
      </c>
      <c r="AD640" s="6">
        <v>8.0329999450334135</v>
      </c>
      <c r="AE640" s="6">
        <v>104323</v>
      </c>
      <c r="AF640" s="6">
        <v>118393</v>
      </c>
    </row>
    <row r="641" spans="1:32" s="4" customFormat="1" ht="12.75" x14ac:dyDescent="0.2">
      <c r="A641" s="7" t="s">
        <v>2091</v>
      </c>
      <c r="B641" s="7" t="s">
        <v>2092</v>
      </c>
      <c r="C641" s="7" t="s">
        <v>2093</v>
      </c>
      <c r="D641" s="6">
        <v>0.52637344598770108</v>
      </c>
      <c r="E641" s="6">
        <v>0.87056475877761808</v>
      </c>
      <c r="F641" s="6">
        <v>0.29751265048980702</v>
      </c>
      <c r="G641" s="6">
        <v>-0.96803629398345903</v>
      </c>
      <c r="H641" s="6">
        <v>-0.57780361175537109</v>
      </c>
      <c r="I641" s="6">
        <v>0.69867283105850209</v>
      </c>
      <c r="J641" s="6">
        <v>0.118210084736347</v>
      </c>
      <c r="K641" s="6">
        <v>-0.8631289601325991</v>
      </c>
      <c r="L641" s="6">
        <v>0.9627855420112611</v>
      </c>
      <c r="M641" s="6">
        <v>-0.648867428302765</v>
      </c>
      <c r="N641" s="6">
        <v>3.8285279401483603</v>
      </c>
      <c r="O641" s="6">
        <v>4.2574308606013824</v>
      </c>
      <c r="P641" s="6">
        <v>3.2067163978750299</v>
      </c>
      <c r="Q641" s="6">
        <v>3.183350513935769</v>
      </c>
      <c r="R641" s="6">
        <v>9.2616384553437374</v>
      </c>
      <c r="S641" s="6">
        <v>14.274166020222747</v>
      </c>
      <c r="T641" s="6">
        <v>37.072563171386719</v>
      </c>
      <c r="U641" s="6">
        <f>_xll.BDP($A641,"TRAILING_12M_R&amp;D_%_SALES",$A$1,$A$2)</f>
        <v>19.37666756892618</v>
      </c>
      <c r="V641" s="6">
        <v>35</v>
      </c>
      <c r="W641" s="6">
        <v>352020</v>
      </c>
      <c r="X641" s="6">
        <v>35202010</v>
      </c>
      <c r="Y641" s="7" t="s">
        <v>86</v>
      </c>
      <c r="Z641" s="7" t="s">
        <v>271</v>
      </c>
      <c r="AA641" s="7" t="s">
        <v>271</v>
      </c>
      <c r="AB641" s="6">
        <v>76.350471496582031</v>
      </c>
      <c r="AC641" s="6">
        <v>0.51649590332968309</v>
      </c>
      <c r="AD641" s="6">
        <v>10.234608426037429</v>
      </c>
      <c r="AE641" s="6">
        <v>104323</v>
      </c>
      <c r="AF641" s="6">
        <v>118393</v>
      </c>
    </row>
    <row r="642" spans="1:32" s="4" customFormat="1" ht="12.75" x14ac:dyDescent="0.2">
      <c r="A642" s="7" t="s">
        <v>2094</v>
      </c>
      <c r="B642" s="7" t="s">
        <v>2095</v>
      </c>
      <c r="C642" s="7" t="s">
        <v>2096</v>
      </c>
      <c r="D642" s="6">
        <v>0.24184127151966101</v>
      </c>
      <c r="E642" s="6">
        <v>-0.91328126192092907</v>
      </c>
      <c r="F642" s="6">
        <v>1.8370517492294312</v>
      </c>
      <c r="G642" s="6">
        <v>-0.99859738349914606</v>
      </c>
      <c r="H642" s="6">
        <v>-0.322082459926605</v>
      </c>
      <c r="I642" s="6">
        <v>0.82226288318634011</v>
      </c>
      <c r="J642" s="6">
        <v>0.32285729050636303</v>
      </c>
      <c r="K642" s="6">
        <v>-0.58094972372055109</v>
      </c>
      <c r="L642" s="6">
        <v>1.3309545516967769</v>
      </c>
      <c r="M642" s="6">
        <v>-0.88806039094924905</v>
      </c>
      <c r="N642" s="6">
        <v>1.8159337501141519</v>
      </c>
      <c r="O642" s="6">
        <v>1.8020841475831231</v>
      </c>
      <c r="P642" s="6">
        <v>0.82410642049579907</v>
      </c>
      <c r="Q642" s="6">
        <v>0.74999649392342804</v>
      </c>
      <c r="R642" s="6">
        <v>10.034425840192739</v>
      </c>
      <c r="S642" s="6">
        <v>6.0875907899190356</v>
      </c>
      <c r="T642" s="6">
        <v>7.5540509223937988</v>
      </c>
      <c r="U642" s="6" t="str">
        <f>_xll.BDP($A642,"TRAILING_12M_R&amp;D_%_SALES",$A$1,$A$2)</f>
        <v>#N/A N/A</v>
      </c>
      <c r="V642" s="6">
        <v>40</v>
      </c>
      <c r="W642" s="6">
        <v>401010</v>
      </c>
      <c r="X642" s="6">
        <v>40101010</v>
      </c>
      <c r="Y642" s="7" t="s">
        <v>53</v>
      </c>
      <c r="Z642" s="7" t="s">
        <v>76</v>
      </c>
      <c r="AA642" s="7" t="s">
        <v>77</v>
      </c>
      <c r="AB642" s="6">
        <v>57.750728607177734</v>
      </c>
      <c r="AC642" s="6">
        <v>0.92311462287081503</v>
      </c>
      <c r="AD642" s="6">
        <v>10.330811590515697</v>
      </c>
      <c r="AE642" s="6">
        <v>57800</v>
      </c>
      <c r="AF642" s="6">
        <v>77800</v>
      </c>
    </row>
    <row r="643" spans="1:32" s="4" customFormat="1" ht="12.75" x14ac:dyDescent="0.2">
      <c r="A643" s="7" t="s">
        <v>2097</v>
      </c>
      <c r="B643" s="7" t="s">
        <v>2098</v>
      </c>
      <c r="C643" s="7" t="s">
        <v>2099</v>
      </c>
      <c r="D643" s="6">
        <v>-0.76702886819839511</v>
      </c>
      <c r="E643" s="6">
        <v>0.17148195207119002</v>
      </c>
      <c r="F643" s="6">
        <v>-1.041479706764221</v>
      </c>
      <c r="G643" s="6">
        <v>0.50425040721893299</v>
      </c>
      <c r="H643" s="6">
        <v>0.685874164104462</v>
      </c>
      <c r="I643" s="6">
        <v>-0.40337294340133706</v>
      </c>
      <c r="J643" s="6">
        <v>0.19633598625659901</v>
      </c>
      <c r="K643" s="6">
        <v>-0.83236885070800803</v>
      </c>
      <c r="L643" s="6">
        <v>0.26355782151222201</v>
      </c>
      <c r="M643" s="6">
        <v>-5.5934719741344008E-2</v>
      </c>
      <c r="N643" s="6">
        <v>3.2176616597830101</v>
      </c>
      <c r="O643" s="6">
        <v>3.1930137178386868</v>
      </c>
      <c r="P643" s="6">
        <v>5.7907785605993043</v>
      </c>
      <c r="Q643" s="6">
        <v>4.3594807036382299</v>
      </c>
      <c r="R643" s="6">
        <v>13.621046984665361</v>
      </c>
      <c r="S643" s="6">
        <v>12.119815651987333</v>
      </c>
      <c r="T643" s="6">
        <v>38.529327392578125</v>
      </c>
      <c r="U643" s="6">
        <f>_xll.BDP($A643,"TRAILING_12M_R&amp;D_%_SALES",$A$1,$A$2)</f>
        <v>18.606310448707784</v>
      </c>
      <c r="V643" s="6">
        <v>45</v>
      </c>
      <c r="W643" s="6">
        <v>453010</v>
      </c>
      <c r="X643" s="6">
        <v>45301020</v>
      </c>
      <c r="Y643" s="7" t="s">
        <v>66</v>
      </c>
      <c r="Z643" s="7" t="s">
        <v>163</v>
      </c>
      <c r="AA643" s="7" t="s">
        <v>164</v>
      </c>
      <c r="AB643" s="6">
        <v>67.07574462890625</v>
      </c>
      <c r="AC643" s="6">
        <v>1.3490880846701589</v>
      </c>
      <c r="AD643" s="6">
        <v>-29.465826593872222</v>
      </c>
      <c r="AE643" s="6">
        <v>31000</v>
      </c>
      <c r="AF643" s="6">
        <v>40400</v>
      </c>
    </row>
    <row r="644" spans="1:32" s="4" customFormat="1" ht="12.75" x14ac:dyDescent="0.2">
      <c r="A644" s="7" t="s">
        <v>2100</v>
      </c>
      <c r="B644" s="7" t="s">
        <v>2101</v>
      </c>
      <c r="C644" s="7" t="s">
        <v>2102</v>
      </c>
      <c r="D644" s="6">
        <v>-0.99777990579605103</v>
      </c>
      <c r="E644" s="6">
        <v>1.7915927171707151</v>
      </c>
      <c r="F644" s="6">
        <v>0.69021099805831909</v>
      </c>
      <c r="G644" s="6">
        <v>3.0002627372741699</v>
      </c>
      <c r="H644" s="6">
        <v>-0.23101079463958701</v>
      </c>
      <c r="I644" s="6">
        <v>1.397887229919434</v>
      </c>
      <c r="J644" s="6">
        <v>3.000007152557373</v>
      </c>
      <c r="K644" s="6">
        <v>0.32946383953094505</v>
      </c>
      <c r="L644" s="6">
        <v>3.00003981590271</v>
      </c>
      <c r="M644" s="6">
        <v>1.841667652130127</v>
      </c>
      <c r="N644" s="6">
        <v>0.60782190605406805</v>
      </c>
      <c r="O644" s="6">
        <v>0.65585801046954806</v>
      </c>
      <c r="P644" s="6">
        <v>0.647428908437511</v>
      </c>
      <c r="Q644" s="6">
        <v>0.62143669832491</v>
      </c>
      <c r="R644" s="6">
        <v>1.2099331065169949</v>
      </c>
      <c r="S644" s="6">
        <v>3.0976273052997541</v>
      </c>
      <c r="T644" s="6">
        <v>75.059219360351563</v>
      </c>
      <c r="U644" s="6" t="str">
        <f>_xll.BDP($A644,"TRAILING_12M_R&amp;D_%_SALES",$A$1,$A$2)</f>
        <v>#N/A N/A</v>
      </c>
      <c r="V644" s="6">
        <v>20</v>
      </c>
      <c r="W644" s="6">
        <v>203030</v>
      </c>
      <c r="X644" s="6">
        <v>20303010</v>
      </c>
      <c r="Y644" s="7" t="s">
        <v>43</v>
      </c>
      <c r="Z644" s="7" t="s">
        <v>288</v>
      </c>
      <c r="AA644" s="7" t="s">
        <v>288</v>
      </c>
      <c r="AB644" s="6">
        <v>55.758979797363281</v>
      </c>
      <c r="AC644" s="6">
        <v>0.30408951999492101</v>
      </c>
      <c r="AD644" s="6">
        <v>17.594618914205395</v>
      </c>
      <c r="AE644" s="6">
        <v>35165</v>
      </c>
      <c r="AF644" s="6">
        <v>35935</v>
      </c>
    </row>
    <row r="645" spans="1:32" s="4" customFormat="1" ht="12.75" x14ac:dyDescent="0.2">
      <c r="A645" s="7" t="s">
        <v>2103</v>
      </c>
      <c r="B645" s="7" t="s">
        <v>2104</v>
      </c>
      <c r="C645" s="7" t="s">
        <v>2105</v>
      </c>
      <c r="D645" s="6">
        <v>-0.8711633086204531</v>
      </c>
      <c r="E645" s="6">
        <v>-0.19188985228538502</v>
      </c>
      <c r="F645" s="6">
        <v>-0.87899851799011208</v>
      </c>
      <c r="G645" s="6">
        <v>8.3305135369301009E-2</v>
      </c>
      <c r="H645" s="6">
        <v>0.30135840177536</v>
      </c>
      <c r="I645" s="6">
        <v>0.12374007701873802</v>
      </c>
      <c r="J645" s="6">
        <v>-0.23350025713443801</v>
      </c>
      <c r="K645" s="6">
        <v>0.22053773701190901</v>
      </c>
      <c r="L645" s="6">
        <v>1.470489501953125</v>
      </c>
      <c r="M645" s="6">
        <v>-0.71788835525512706</v>
      </c>
      <c r="N645" s="6">
        <v>11.78565817876393</v>
      </c>
      <c r="O645" s="6">
        <v>10.875573792515331</v>
      </c>
      <c r="P645" s="6">
        <v>1.4878139654742</v>
      </c>
      <c r="Q645" s="6">
        <v>1.4763863778141362</v>
      </c>
      <c r="R645" s="6">
        <v>49.016008499347933</v>
      </c>
      <c r="S645" s="6">
        <v>48.420139290697371</v>
      </c>
      <c r="T645" s="6">
        <v>3.2250978946685791</v>
      </c>
      <c r="U645" s="6" t="str">
        <f>_xll.BDP($A645,"TRAILING_12M_R&amp;D_%_SALES",$A$1,$A$2)</f>
        <v>#N/A N/A</v>
      </c>
      <c r="V645" s="6">
        <v>60</v>
      </c>
      <c r="W645" s="6">
        <v>601070</v>
      </c>
      <c r="X645" s="6">
        <v>60107010</v>
      </c>
      <c r="Y645" s="7" t="s">
        <v>307</v>
      </c>
      <c r="Z645" s="7" t="s">
        <v>2106</v>
      </c>
      <c r="AA645" s="7" t="s">
        <v>2106</v>
      </c>
      <c r="AB645" s="6">
        <v>54.189720153808594</v>
      </c>
      <c r="AC645" s="6">
        <v>0.70901226213315105</v>
      </c>
      <c r="AD645" s="6">
        <v>-7.4487945262085464</v>
      </c>
      <c r="AE645" s="6">
        <v>367</v>
      </c>
      <c r="AF645" s="6">
        <v>146</v>
      </c>
    </row>
    <row r="646" spans="1:32" s="4" customFormat="1" ht="12.75" x14ac:dyDescent="0.2">
      <c r="A646" s="7" t="s">
        <v>2107</v>
      </c>
      <c r="B646" s="7" t="s">
        <v>2108</v>
      </c>
      <c r="C646" s="7" t="s">
        <v>2109</v>
      </c>
      <c r="D646" s="6">
        <v>-0.72982305288314808</v>
      </c>
      <c r="E646" s="6">
        <v>-0.56745356321334806</v>
      </c>
      <c r="F646" s="6">
        <v>-4.2271390557289006E-2</v>
      </c>
      <c r="G646" s="6">
        <v>-0.15818314254283902</v>
      </c>
      <c r="H646" s="6">
        <v>1.122688293457031</v>
      </c>
      <c r="I646" s="6">
        <v>0.63776123523712203</v>
      </c>
      <c r="J646" s="6">
        <v>0.125201210379601</v>
      </c>
      <c r="K646" s="6">
        <v>0.16547755897045102</v>
      </c>
      <c r="L646" s="6">
        <v>1.995087742805481</v>
      </c>
      <c r="M646" s="6">
        <v>-0.19929535686969801</v>
      </c>
      <c r="N646" s="6">
        <v>1.2902196595662989</v>
      </c>
      <c r="O646" s="6">
        <v>1.312707236833657</v>
      </c>
      <c r="P646" s="6">
        <v>4.6519660678952715</v>
      </c>
      <c r="Q646" s="6">
        <v>4.2967993356174672</v>
      </c>
      <c r="R646" s="6">
        <v>18.334419108435316</v>
      </c>
      <c r="S646" s="6">
        <v>14.788297980235523</v>
      </c>
      <c r="T646" s="6">
        <v>26.5869140625</v>
      </c>
      <c r="U646" s="6" t="str">
        <f>_xll.BDP($A646,"TRAILING_12M_R&amp;D_%_SALES",$A$1,$A$2)</f>
        <v>#N/A N/A</v>
      </c>
      <c r="V646" s="6">
        <v>10</v>
      </c>
      <c r="W646" s="6">
        <v>101020</v>
      </c>
      <c r="X646" s="6">
        <v>10102040</v>
      </c>
      <c r="Y646" s="7" t="s">
        <v>505</v>
      </c>
      <c r="Z646" s="7" t="s">
        <v>556</v>
      </c>
      <c r="AA646" s="7" t="s">
        <v>1122</v>
      </c>
      <c r="AB646" s="6">
        <v>72.537971496582031</v>
      </c>
      <c r="AC646" s="6">
        <v>0.95043654629327812</v>
      </c>
      <c r="AD646" s="6">
        <v>19.468908073189397</v>
      </c>
      <c r="AE646" s="6">
        <v>2847</v>
      </c>
      <c r="AF646" s="6">
        <v>2384</v>
      </c>
    </row>
    <row r="647" spans="1:32" s="4" customFormat="1" ht="12.75" x14ac:dyDescent="0.2">
      <c r="A647" s="7" t="s">
        <v>2110</v>
      </c>
      <c r="B647" s="7" t="s">
        <v>2111</v>
      </c>
      <c r="C647" s="7" t="s">
        <v>2112</v>
      </c>
      <c r="D647" s="6">
        <v>-0.180774256587029</v>
      </c>
      <c r="E647" s="6">
        <v>-0.48062545061111506</v>
      </c>
      <c r="F647" s="6">
        <v>-0.46001297235488903</v>
      </c>
      <c r="G647" s="6">
        <v>-0.74750846624374401</v>
      </c>
      <c r="H647" s="6">
        <v>1.2159320116043091</v>
      </c>
      <c r="I647" s="6">
        <v>0.46084639430046104</v>
      </c>
      <c r="J647" s="6">
        <v>2.3732833862304692</v>
      </c>
      <c r="K647" s="6">
        <v>-0.94249385595321711</v>
      </c>
      <c r="L647" s="6">
        <v>2.821846485137939</v>
      </c>
      <c r="M647" s="6">
        <v>-0.82642763853073109</v>
      </c>
      <c r="N647" s="6">
        <v>0.57399585727407409</v>
      </c>
      <c r="O647" s="6">
        <v>0.56297680998932409</v>
      </c>
      <c r="P647" s="6">
        <v>0.90509744472087206</v>
      </c>
      <c r="Q647" s="6">
        <v>0.71466088452254206</v>
      </c>
      <c r="R647" s="6">
        <v>6.1698562519667206</v>
      </c>
      <c r="S647" s="6">
        <v>7.9275344002981765</v>
      </c>
      <c r="T647" s="6">
        <v>15.466212272644043</v>
      </c>
      <c r="U647" s="6" t="str">
        <f>_xll.BDP($A647,"TRAILING_12M_R&amp;D_%_SALES",$A$1,$A$2)</f>
        <v>#N/A N/A</v>
      </c>
      <c r="V647" s="6">
        <v>50</v>
      </c>
      <c r="W647" s="6">
        <v>501010</v>
      </c>
      <c r="X647" s="6">
        <v>50101020</v>
      </c>
      <c r="Y647" s="7" t="s">
        <v>367</v>
      </c>
      <c r="Z647" s="7" t="s">
        <v>458</v>
      </c>
      <c r="AA647" s="7" t="s">
        <v>459</v>
      </c>
      <c r="AB647" s="6">
        <v>65.345535278320313</v>
      </c>
      <c r="AC647" s="6">
        <v>0.565638996842173</v>
      </c>
      <c r="AD647" s="6">
        <v>-0.87460563665574509</v>
      </c>
      <c r="AE647" s="6">
        <v>139698</v>
      </c>
      <c r="AF647" s="6">
        <v>141257</v>
      </c>
    </row>
    <row r="648" spans="1:32" s="4" customFormat="1" ht="12.75" x14ac:dyDescent="0.2">
      <c r="A648" s="7" t="s">
        <v>2113</v>
      </c>
      <c r="B648" s="7" t="s">
        <v>2114</v>
      </c>
      <c r="C648" s="7" t="s">
        <v>2115</v>
      </c>
      <c r="D648" s="6">
        <v>0.51829504966735807</v>
      </c>
      <c r="E648" s="6">
        <v>1.3826354742050171</v>
      </c>
      <c r="F648" s="6">
        <v>0.33877611160278304</v>
      </c>
      <c r="G648" s="6">
        <v>-0.65059155225753806</v>
      </c>
      <c r="H648" s="6">
        <v>1.6135154962539671</v>
      </c>
      <c r="I648" s="6">
        <v>0.11833904683589901</v>
      </c>
      <c r="J648" s="6">
        <v>-0.21787713468074801</v>
      </c>
      <c r="K648" s="6">
        <v>-0.52038055658340499</v>
      </c>
      <c r="L648" s="6">
        <v>-4.4309709221125003E-2</v>
      </c>
      <c r="M648" s="6">
        <v>-0.56654512882232699</v>
      </c>
      <c r="N648" s="6">
        <v>4.7539288449546584</v>
      </c>
      <c r="O648" s="6">
        <v>4.2304257647066157</v>
      </c>
      <c r="P648" s="6"/>
      <c r="Q648" s="6">
        <v>49.71068896139824</v>
      </c>
      <c r="R648" s="6">
        <v>24.430548853513987</v>
      </c>
      <c r="S648" s="6">
        <v>15.478770730582511</v>
      </c>
      <c r="T648" s="6"/>
      <c r="U648" s="6">
        <f>_xll.BDP($A648,"TRAILING_12M_R&amp;D_%_SALES",$A$1,$A$2)</f>
        <v>16.840514808949084</v>
      </c>
      <c r="V648" s="6">
        <v>45</v>
      </c>
      <c r="W648" s="6">
        <v>451030</v>
      </c>
      <c r="X648" s="6">
        <v>45103020</v>
      </c>
      <c r="Y648" s="7" t="s">
        <v>66</v>
      </c>
      <c r="Z648" s="7" t="s">
        <v>150</v>
      </c>
      <c r="AA648" s="7" t="s">
        <v>1933</v>
      </c>
      <c r="AB648" s="6">
        <v>53.545921325683594</v>
      </c>
      <c r="AC648" s="6">
        <v>0.92684534280661712</v>
      </c>
      <c r="AD648" s="6">
        <v>-5.5137015748708551</v>
      </c>
      <c r="AE648" s="6">
        <v>143000</v>
      </c>
      <c r="AF648" s="6">
        <v>138000</v>
      </c>
    </row>
    <row r="649" spans="1:32" s="4" customFormat="1" ht="12.75" x14ac:dyDescent="0.2">
      <c r="A649" s="7" t="s">
        <v>2116</v>
      </c>
      <c r="B649" s="7" t="s">
        <v>2117</v>
      </c>
      <c r="C649" s="7" t="s">
        <v>2118</v>
      </c>
      <c r="D649" s="6">
        <v>-0.82744264602661111</v>
      </c>
      <c r="E649" s="6">
        <v>0.36376288533210804</v>
      </c>
      <c r="F649" s="6">
        <v>-0.79450631141662609</v>
      </c>
      <c r="G649" s="6">
        <v>0.18657556176185602</v>
      </c>
      <c r="H649" s="6">
        <v>1.084455251693726</v>
      </c>
      <c r="I649" s="6">
        <v>0.70709884166717507</v>
      </c>
      <c r="J649" s="6">
        <v>-0.313679099082947</v>
      </c>
      <c r="K649" s="6">
        <v>0.22530558705329901</v>
      </c>
      <c r="L649" s="6">
        <v>-0.81727248430252109</v>
      </c>
      <c r="M649" s="6">
        <v>3.7965826690197005E-2</v>
      </c>
      <c r="N649" s="6">
        <v>3.9291627899485211</v>
      </c>
      <c r="O649" s="6">
        <v>3.508429636375856</v>
      </c>
      <c r="P649" s="6"/>
      <c r="Q649" s="6"/>
      <c r="R649" s="6">
        <v>25.764042603333532</v>
      </c>
      <c r="S649" s="6">
        <v>22.83516463212041</v>
      </c>
      <c r="T649" s="6"/>
      <c r="U649" s="6" t="str">
        <f>_xll.BDP($A649,"TRAILING_12M_R&amp;D_%_SALES",$A$1,$A$2)</f>
        <v>#N/A N/A</v>
      </c>
      <c r="V649" s="6">
        <v>25</v>
      </c>
      <c r="W649" s="6">
        <v>255040</v>
      </c>
      <c r="X649" s="6">
        <v>25504050</v>
      </c>
      <c r="Y649" s="7" t="s">
        <v>108</v>
      </c>
      <c r="Z649" s="7" t="s">
        <v>388</v>
      </c>
      <c r="AA649" s="7" t="s">
        <v>389</v>
      </c>
      <c r="AB649" s="6">
        <v>42.058143615722656</v>
      </c>
      <c r="AC649" s="6">
        <v>0.72240761616388705</v>
      </c>
      <c r="AD649" s="6">
        <v>20.27159978430657</v>
      </c>
      <c r="AE649" s="6">
        <v>83636</v>
      </c>
      <c r="AF649" s="6">
        <v>42289</v>
      </c>
    </row>
    <row r="650" spans="1:32" s="4" customFormat="1" ht="12.75" x14ac:dyDescent="0.2">
      <c r="A650" s="7" t="s">
        <v>2119</v>
      </c>
      <c r="B650" s="7" t="s">
        <v>2120</v>
      </c>
      <c r="C650" s="7" t="s">
        <v>2121</v>
      </c>
      <c r="D650" s="6">
        <v>-0.71112501621246305</v>
      </c>
      <c r="E650" s="6">
        <v>-0.124806739389896</v>
      </c>
      <c r="F650" s="6">
        <v>0.42193019390106201</v>
      </c>
      <c r="G650" s="6">
        <v>-0.67115879058837902</v>
      </c>
      <c r="H650" s="6">
        <v>1.19737720489502</v>
      </c>
      <c r="I650" s="6">
        <v>0.23404546082019803</v>
      </c>
      <c r="J650" s="6">
        <v>1.020954012870789</v>
      </c>
      <c r="K650" s="6">
        <v>-0.68595200777053811</v>
      </c>
      <c r="L650" s="6">
        <v>1.171532869338989</v>
      </c>
      <c r="M650" s="6">
        <v>-0.93640947341918912</v>
      </c>
      <c r="N650" s="6">
        <v>2.8789945090337001</v>
      </c>
      <c r="O650" s="6">
        <v>0.96113880400637308</v>
      </c>
      <c r="P650" s="6">
        <v>0.74858418299894702</v>
      </c>
      <c r="Q650" s="6">
        <v>0.69382224251667401</v>
      </c>
      <c r="R650" s="6">
        <v>8.791915704055608</v>
      </c>
      <c r="S650" s="6">
        <v>7.5378458303624178</v>
      </c>
      <c r="T650" s="6">
        <v>8.8910636901855469</v>
      </c>
      <c r="U650" s="6" t="str">
        <f>_xll.BDP($A650,"TRAILING_12M_R&amp;D_%_SALES",$A$1,$A$2)</f>
        <v>#N/A N/A</v>
      </c>
      <c r="V650" s="6">
        <v>40</v>
      </c>
      <c r="W650" s="6">
        <v>402010</v>
      </c>
      <c r="X650" s="6">
        <v>40201020</v>
      </c>
      <c r="Y650" s="7" t="s">
        <v>53</v>
      </c>
      <c r="Z650" s="7" t="s">
        <v>344</v>
      </c>
      <c r="AA650" s="7" t="s">
        <v>345</v>
      </c>
      <c r="AB650" s="6">
        <v>41.997787475585938</v>
      </c>
      <c r="AC650" s="6">
        <v>0.42561015994335305</v>
      </c>
      <c r="AD650" s="6">
        <v>-18.849563876740881</v>
      </c>
      <c r="AE650" s="6">
        <v>32235</v>
      </c>
      <c r="AF650" s="6">
        <v>34835</v>
      </c>
    </row>
    <row r="651" spans="1:32" s="4" customFormat="1" ht="12.75" x14ac:dyDescent="0.2">
      <c r="A651" s="7" t="s">
        <v>2122</v>
      </c>
      <c r="B651" s="7" t="s">
        <v>2123</v>
      </c>
      <c r="C651" s="7" t="s">
        <v>2124</v>
      </c>
      <c r="D651" s="6">
        <v>-0.94660341739654508</v>
      </c>
      <c r="E651" s="6">
        <v>-0.28422605991363503</v>
      </c>
      <c r="F651" s="6">
        <v>-8.930215984582901E-2</v>
      </c>
      <c r="G651" s="6">
        <v>-0.83386993408203103</v>
      </c>
      <c r="H651" s="6">
        <v>-1.2911936044692991</v>
      </c>
      <c r="I651" s="6">
        <v>-0.24956184625625602</v>
      </c>
      <c r="J651" s="6">
        <v>3.8635544478890001E-3</v>
      </c>
      <c r="K651" s="6">
        <v>-0.81863260269165006</v>
      </c>
      <c r="L651" s="6">
        <v>0.51561605930328402</v>
      </c>
      <c r="M651" s="6">
        <v>-1.112948894500732</v>
      </c>
      <c r="N651" s="6">
        <v>7.3343565570053464</v>
      </c>
      <c r="O651" s="6">
        <v>7.1127732367594438</v>
      </c>
      <c r="P651" s="6">
        <v>3.1942928056529429</v>
      </c>
      <c r="Q651" s="6"/>
      <c r="R651" s="6">
        <v>20.595897289533973</v>
      </c>
      <c r="S651" s="6"/>
      <c r="T651" s="6">
        <v>15.761510848999023</v>
      </c>
      <c r="U651" s="6">
        <f>_xll.BDP($A651,"TRAILING_12M_R&amp;D_%_SALES",$A$1,$A$2)</f>
        <v>0</v>
      </c>
      <c r="V651" s="6">
        <v>40</v>
      </c>
      <c r="W651" s="6">
        <v>402030</v>
      </c>
      <c r="X651" s="6">
        <v>40203040</v>
      </c>
      <c r="Y651" s="7" t="s">
        <v>53</v>
      </c>
      <c r="Z651" s="7" t="s">
        <v>298</v>
      </c>
      <c r="AA651" s="7" t="s">
        <v>746</v>
      </c>
      <c r="AB651" s="6">
        <v>38.829090118408203</v>
      </c>
      <c r="AC651" s="6">
        <v>0.36434150245840302</v>
      </c>
      <c r="AD651" s="6">
        <v>-35.290863256157948</v>
      </c>
      <c r="AE651" s="6">
        <v>1193</v>
      </c>
      <c r="AF651" s="6">
        <v>1085</v>
      </c>
    </row>
    <row r="652" spans="1:32" s="4" customFormat="1" ht="12.75" x14ac:dyDescent="0.2">
      <c r="A652" s="7" t="s">
        <v>2125</v>
      </c>
      <c r="B652" s="7" t="s">
        <v>2126</v>
      </c>
      <c r="C652" s="7" t="s">
        <v>2127</v>
      </c>
      <c r="D652" s="6">
        <v>-0.97944128513336204</v>
      </c>
      <c r="E652" s="6">
        <v>-0.523393034934998</v>
      </c>
      <c r="F652" s="6">
        <v>-0.46305665373802202</v>
      </c>
      <c r="G652" s="6">
        <v>-0.90494006872177102</v>
      </c>
      <c r="H652" s="6">
        <v>-1.0194716453552251</v>
      </c>
      <c r="I652" s="6">
        <v>-0.138606578111649</v>
      </c>
      <c r="J652" s="6">
        <v>1.413276672363281</v>
      </c>
      <c r="K652" s="6">
        <v>-0.80919182300567605</v>
      </c>
      <c r="L652" s="6">
        <v>0.220463737845421</v>
      </c>
      <c r="M652" s="6">
        <v>-0.53842467069625899</v>
      </c>
      <c r="N652" s="6">
        <v>1.00191791739382</v>
      </c>
      <c r="O652" s="6"/>
      <c r="P652" s="6">
        <v>0.82070717880956001</v>
      </c>
      <c r="Q652" s="6"/>
      <c r="R652" s="6">
        <v>7.274383393840206</v>
      </c>
      <c r="S652" s="6"/>
      <c r="T652" s="6">
        <v>11.498367309570313</v>
      </c>
      <c r="U652" s="6" t="str">
        <f>_xll.BDP($A652,"TRAILING_12M_R&amp;D_%_SALES",$A$1,$A$2)</f>
        <v>#N/A N/A</v>
      </c>
      <c r="V652" s="6">
        <v>40</v>
      </c>
      <c r="W652" s="6">
        <v>401010</v>
      </c>
      <c r="X652" s="6">
        <v>40101010</v>
      </c>
      <c r="Y652" s="7" t="s">
        <v>53</v>
      </c>
      <c r="Z652" s="7" t="s">
        <v>76</v>
      </c>
      <c r="AA652" s="7" t="s">
        <v>77</v>
      </c>
      <c r="AB652" s="6">
        <v>57.257820129394531</v>
      </c>
      <c r="AC652" s="6"/>
      <c r="AD652" s="6"/>
      <c r="AE652" s="6">
        <v>37846</v>
      </c>
      <c r="AF652" s="6">
        <v>38575</v>
      </c>
    </row>
    <row r="653" spans="1:32" s="4" customFormat="1" ht="12.75" x14ac:dyDescent="0.2">
      <c r="A653" s="7" t="s">
        <v>2128</v>
      </c>
      <c r="B653" s="7" t="s">
        <v>2129</v>
      </c>
      <c r="C653" s="7" t="s">
        <v>2130</v>
      </c>
      <c r="D653" s="6">
        <v>-0.119938164949417</v>
      </c>
      <c r="E653" s="6">
        <v>0.62577974796295199</v>
      </c>
      <c r="F653" s="6">
        <v>2.2223567590117E-2</v>
      </c>
      <c r="G653" s="6">
        <v>3.0002627372741699</v>
      </c>
      <c r="H653" s="6">
        <v>0.33682200312614402</v>
      </c>
      <c r="I653" s="6">
        <v>2.441071748733521</v>
      </c>
      <c r="J653" s="6">
        <v>1.704639077186584</v>
      </c>
      <c r="K653" s="6">
        <v>-0.92547571659088113</v>
      </c>
      <c r="L653" s="6">
        <v>-0.41094329953193703</v>
      </c>
      <c r="M653" s="6">
        <v>0.65718847513198908</v>
      </c>
      <c r="N653" s="6">
        <v>1.618687071055843</v>
      </c>
      <c r="O653" s="6">
        <v>1.7647922701213861</v>
      </c>
      <c r="P653" s="6">
        <v>3.0171862729083001</v>
      </c>
      <c r="Q653" s="6">
        <v>2.3328006944066519</v>
      </c>
      <c r="R653" s="6">
        <v>5.2459365390104988</v>
      </c>
      <c r="S653" s="6">
        <v>8.6790520324830016</v>
      </c>
      <c r="T653" s="6">
        <v>86.315864562988281</v>
      </c>
      <c r="U653" s="6">
        <f>_xll.BDP($A653,"TRAILING_12M_R&amp;D_%_SALES",$A$1,$A$2)</f>
        <v>0</v>
      </c>
      <c r="V653" s="6">
        <v>10</v>
      </c>
      <c r="W653" s="6">
        <v>101020</v>
      </c>
      <c r="X653" s="6">
        <v>10102010</v>
      </c>
      <c r="Y653" s="7" t="s">
        <v>505</v>
      </c>
      <c r="Z653" s="7" t="s">
        <v>556</v>
      </c>
      <c r="AA653" s="7" t="s">
        <v>557</v>
      </c>
      <c r="AB653" s="6">
        <v>69.268684387207031</v>
      </c>
      <c r="AC653" s="6">
        <v>0.85324622091561109</v>
      </c>
      <c r="AD653" s="6">
        <v>119.245081675923</v>
      </c>
      <c r="AE653" s="6">
        <v>11678</v>
      </c>
      <c r="AF653" s="6">
        <v>11000</v>
      </c>
    </row>
    <row r="654" spans="1:32" s="4" customFormat="1" ht="12.75" x14ac:dyDescent="0.2">
      <c r="A654" s="7" t="s">
        <v>2131</v>
      </c>
      <c r="B654" s="7" t="s">
        <v>2132</v>
      </c>
      <c r="C654" s="7" t="s">
        <v>2133</v>
      </c>
      <c r="D654" s="6">
        <v>-0.91156387329101607</v>
      </c>
      <c r="E654" s="6">
        <v>-0.74770057201385509</v>
      </c>
      <c r="F654" s="6">
        <v>-5.4228324443102001E-2</v>
      </c>
      <c r="G654" s="6">
        <v>7.2511866688727999E-2</v>
      </c>
      <c r="H654" s="6">
        <v>0.79168581962585405</v>
      </c>
      <c r="I654" s="6">
        <v>1.0380914211273189</v>
      </c>
      <c r="J654" s="6">
        <v>1.842559933662415</v>
      </c>
      <c r="K654" s="6">
        <v>0.31090119481086703</v>
      </c>
      <c r="L654" s="6">
        <v>2.8430244922637939</v>
      </c>
      <c r="M654" s="6">
        <v>0.79816389083862305</v>
      </c>
      <c r="N654" s="6">
        <v>0.144228971612824</v>
      </c>
      <c r="O654" s="6">
        <v>0.125215029580312</v>
      </c>
      <c r="P654" s="6">
        <v>1.0732347757807119</v>
      </c>
      <c r="Q654" s="6">
        <v>0.713095064305449</v>
      </c>
      <c r="R654" s="6">
        <v>9.9469667029808981</v>
      </c>
      <c r="S654" s="6">
        <v>8.6275734501265955</v>
      </c>
      <c r="T654" s="6">
        <v>14.071113586425781</v>
      </c>
      <c r="U654" s="6" t="str">
        <f>_xll.BDP($A654,"TRAILING_12M_R&amp;D_%_SALES",$A$1,$A$2)</f>
        <v>#N/A N/A</v>
      </c>
      <c r="V654" s="6">
        <v>10</v>
      </c>
      <c r="W654" s="6">
        <v>101020</v>
      </c>
      <c r="X654" s="6">
        <v>10102040</v>
      </c>
      <c r="Y654" s="7" t="s">
        <v>505</v>
      </c>
      <c r="Z654" s="7" t="s">
        <v>556</v>
      </c>
      <c r="AA654" s="7" t="s">
        <v>1122</v>
      </c>
      <c r="AB654" s="6">
        <v>53.928176879882813</v>
      </c>
      <c r="AC654" s="6">
        <v>0.74225065499766907</v>
      </c>
      <c r="AD654" s="6">
        <v>36.681008769528269</v>
      </c>
      <c r="AE654" s="6">
        <v>4100</v>
      </c>
      <c r="AF654" s="6">
        <v>5100</v>
      </c>
    </row>
    <row r="655" spans="1:32" s="4" customFormat="1" ht="12.75" x14ac:dyDescent="0.2">
      <c r="A655" s="7" t="s">
        <v>2134</v>
      </c>
      <c r="B655" s="7" t="s">
        <v>2135</v>
      </c>
      <c r="C655" s="7" t="s">
        <v>2136</v>
      </c>
      <c r="D655" s="6">
        <v>-0.75865358114242609</v>
      </c>
      <c r="E655" s="6">
        <v>-0.38495877385139504</v>
      </c>
      <c r="F655" s="6">
        <v>0.87303704023361206</v>
      </c>
      <c r="G655" s="6">
        <v>2.8445017337799072</v>
      </c>
      <c r="H655" s="6">
        <v>0.87346386909484908</v>
      </c>
      <c r="I655" s="6">
        <v>-0.62205201387405407</v>
      </c>
      <c r="J655" s="6">
        <v>1.3506127595901489</v>
      </c>
      <c r="K655" s="6">
        <v>9.0868979692459009E-2</v>
      </c>
      <c r="L655" s="6">
        <v>2.0734210014343262</v>
      </c>
      <c r="M655" s="6">
        <v>-0.33456644415855402</v>
      </c>
      <c r="N655" s="6">
        <v>0.36459059683814804</v>
      </c>
      <c r="O655" s="6">
        <v>0.35706613489392602</v>
      </c>
      <c r="P655" s="6">
        <v>0.48373382754092303</v>
      </c>
      <c r="Q655" s="6">
        <v>0.45834428661824306</v>
      </c>
      <c r="R655" s="6">
        <v>8.3759320388665373</v>
      </c>
      <c r="S655" s="6">
        <v>12.637981519386935</v>
      </c>
      <c r="T655" s="6">
        <v>14.539647102355957</v>
      </c>
      <c r="U655" s="6" t="str">
        <f>_xll.BDP($A655,"TRAILING_12M_R&amp;D_%_SALES",$A$1,$A$2)</f>
        <v>#N/A N/A</v>
      </c>
      <c r="V655" s="6">
        <v>50</v>
      </c>
      <c r="W655" s="6">
        <v>502010</v>
      </c>
      <c r="X655" s="6">
        <v>50201020</v>
      </c>
      <c r="Y655" s="7" t="s">
        <v>367</v>
      </c>
      <c r="Z655" s="7" t="s">
        <v>701</v>
      </c>
      <c r="AA655" s="7" t="s">
        <v>2137</v>
      </c>
      <c r="AB655" s="6">
        <v>51.373100280761719</v>
      </c>
      <c r="AC655" s="6">
        <v>1.1467618926860741</v>
      </c>
      <c r="AD655" s="6">
        <v>-43.584347191724774</v>
      </c>
      <c r="AE655" s="6">
        <v>22965</v>
      </c>
      <c r="AF655" s="6">
        <v>15550</v>
      </c>
    </row>
    <row r="656" spans="1:32" s="4" customFormat="1" ht="12.75" x14ac:dyDescent="0.2">
      <c r="A656" s="7" t="s">
        <v>2138</v>
      </c>
      <c r="B656" s="7" t="s">
        <v>2139</v>
      </c>
      <c r="C656" s="7" t="s">
        <v>2140</v>
      </c>
      <c r="D656" s="6">
        <v>-0.75865358114242609</v>
      </c>
      <c r="E656" s="6">
        <v>-0.38495877385139504</v>
      </c>
      <c r="F656" s="6">
        <v>0.87303704023361206</v>
      </c>
      <c r="G656" s="6">
        <v>2.8445017337799072</v>
      </c>
      <c r="H656" s="6">
        <v>0.87346386909484908</v>
      </c>
      <c r="I656" s="6">
        <v>-0.62205201387405407</v>
      </c>
      <c r="J656" s="6">
        <v>1.3506127595901489</v>
      </c>
      <c r="K656" s="6">
        <v>9.0868979692459009E-2</v>
      </c>
      <c r="L656" s="6">
        <v>2.0734210014343262</v>
      </c>
      <c r="M656" s="6">
        <v>-0.33456644415855402</v>
      </c>
      <c r="N656" s="6">
        <v>0.36459059683814804</v>
      </c>
      <c r="O656" s="6">
        <v>0.35706613489392602</v>
      </c>
      <c r="P656" s="6">
        <v>0.48373382754092303</v>
      </c>
      <c r="Q656" s="6">
        <v>0.53247228597176699</v>
      </c>
      <c r="R656" s="6">
        <v>8.3759320388665373</v>
      </c>
      <c r="S656" s="6">
        <v>14.681921660565674</v>
      </c>
      <c r="T656" s="6">
        <v>14.539647102355957</v>
      </c>
      <c r="U656" s="6" t="str">
        <f>_xll.BDP($A656,"TRAILING_12M_R&amp;D_%_SALES",$A$1,$A$2)</f>
        <v>#N/A N/A</v>
      </c>
      <c r="V656" s="6">
        <v>50</v>
      </c>
      <c r="W656" s="6">
        <v>502010</v>
      </c>
      <c r="X656" s="6">
        <v>50201020</v>
      </c>
      <c r="Y656" s="7" t="s">
        <v>367</v>
      </c>
      <c r="Z656" s="7" t="s">
        <v>701</v>
      </c>
      <c r="AA656" s="7" t="s">
        <v>2137</v>
      </c>
      <c r="AB656" s="6">
        <v>51.373100280761719</v>
      </c>
      <c r="AC656" s="6">
        <v>1.1252774827594461</v>
      </c>
      <c r="AD656" s="6">
        <v>-41.348819564677932</v>
      </c>
      <c r="AE656" s="6">
        <v>22965</v>
      </c>
      <c r="AF656" s="6">
        <v>15550</v>
      </c>
    </row>
    <row r="657" spans="1:32" s="4" customFormat="1" ht="12.75" x14ac:dyDescent="0.2">
      <c r="A657" s="7" t="s">
        <v>2141</v>
      </c>
      <c r="B657" s="7" t="s">
        <v>2142</v>
      </c>
      <c r="C657" s="7" t="s">
        <v>2143</v>
      </c>
      <c r="D657" s="6">
        <v>0.42648443579673806</v>
      </c>
      <c r="E657" s="6">
        <v>0.54331958293914806</v>
      </c>
      <c r="F657" s="6">
        <v>0.47535967826843306</v>
      </c>
      <c r="G657" s="6">
        <v>1.529674649238586</v>
      </c>
      <c r="H657" s="6">
        <v>0.40629947185516402</v>
      </c>
      <c r="I657" s="6">
        <v>0.56602197885513306</v>
      </c>
      <c r="J657" s="6">
        <v>3.000007152557373</v>
      </c>
      <c r="K657" s="6">
        <v>-1.056273460388184</v>
      </c>
      <c r="L657" s="6">
        <v>3.00003981590271</v>
      </c>
      <c r="M657" s="6">
        <v>0.35759758949279802</v>
      </c>
      <c r="N657" s="6">
        <v>0.51807430141241906</v>
      </c>
      <c r="O657" s="6">
        <v>0.62572881491216203</v>
      </c>
      <c r="P657" s="6">
        <v>0.85794537105925406</v>
      </c>
      <c r="Q657" s="6">
        <v>0.5997279665156291</v>
      </c>
      <c r="R657" s="6">
        <v>1.810760462333977</v>
      </c>
      <c r="S657" s="6">
        <v>3.1917237077534608</v>
      </c>
      <c r="T657" s="6">
        <v>47.598960876464844</v>
      </c>
      <c r="U657" s="6">
        <f>_xll.BDP($A657,"TRAILING_12M_R&amp;D_%_SALES",$A$1,$A$2)</f>
        <v>0.87219785302009456</v>
      </c>
      <c r="V657" s="6">
        <v>10</v>
      </c>
      <c r="W657" s="6">
        <v>101020</v>
      </c>
      <c r="X657" s="6">
        <v>10102010</v>
      </c>
      <c r="Y657" s="7" t="s">
        <v>505</v>
      </c>
      <c r="Z657" s="7" t="s">
        <v>556</v>
      </c>
      <c r="AA657" s="7" t="s">
        <v>557</v>
      </c>
      <c r="AB657" s="6">
        <v>65.405891418457031</v>
      </c>
      <c r="AC657" s="6">
        <v>0.59680486160759105</v>
      </c>
      <c r="AD657" s="6">
        <v>54.102559520454129</v>
      </c>
      <c r="AE657" s="6">
        <v>45532</v>
      </c>
      <c r="AF657" s="6">
        <v>68829</v>
      </c>
    </row>
    <row r="658" spans="1:32" s="4" customFormat="1" ht="12.75" x14ac:dyDescent="0.2">
      <c r="A658" s="7" t="s">
        <v>2144</v>
      </c>
      <c r="B658" s="7" t="s">
        <v>2145</v>
      </c>
      <c r="C658" s="7" t="s">
        <v>2146</v>
      </c>
      <c r="D658" s="6">
        <v>0.42648443579673806</v>
      </c>
      <c r="E658" s="6">
        <v>0.54331958293914806</v>
      </c>
      <c r="F658" s="6">
        <v>0.47535967826843306</v>
      </c>
      <c r="G658" s="6">
        <v>1.529674649238586</v>
      </c>
      <c r="H658" s="6">
        <v>0.40629947185516402</v>
      </c>
      <c r="I658" s="6">
        <v>0.56602197885513306</v>
      </c>
      <c r="J658" s="6">
        <v>3.000007152557373</v>
      </c>
      <c r="K658" s="6">
        <v>-1.056273460388184</v>
      </c>
      <c r="L658" s="6">
        <v>3.00003981590271</v>
      </c>
      <c r="M658" s="6">
        <v>0.35759758949279802</v>
      </c>
      <c r="N658" s="6">
        <v>0.51807430141241906</v>
      </c>
      <c r="O658" s="6">
        <v>0.62572881491216203</v>
      </c>
      <c r="P658" s="6">
        <v>0.85794537105925406</v>
      </c>
      <c r="Q658" s="6">
        <v>0.52314299549058607</v>
      </c>
      <c r="R658" s="6">
        <v>1.810760462333977</v>
      </c>
      <c r="S658" s="6">
        <v>2.7841421352308302</v>
      </c>
      <c r="T658" s="6">
        <v>47.598960876464844</v>
      </c>
      <c r="U658" s="6">
        <f>_xll.BDP($A658,"TRAILING_12M_R&amp;D_%_SALES",$A$1,$A$2)</f>
        <v>0.87219785302009456</v>
      </c>
      <c r="V658" s="6">
        <v>10</v>
      </c>
      <c r="W658" s="6">
        <v>101020</v>
      </c>
      <c r="X658" s="6">
        <v>10102010</v>
      </c>
      <c r="Y658" s="7" t="s">
        <v>505</v>
      </c>
      <c r="Z658" s="7" t="s">
        <v>556</v>
      </c>
      <c r="AA658" s="7" t="s">
        <v>557</v>
      </c>
      <c r="AB658" s="6">
        <v>65.405891418457031</v>
      </c>
      <c r="AC658" s="6">
        <v>0.5869723588513851</v>
      </c>
      <c r="AD658" s="6">
        <v>52.816104715887356</v>
      </c>
      <c r="AE658" s="6">
        <v>45532</v>
      </c>
      <c r="AF658" s="6">
        <v>68829</v>
      </c>
    </row>
    <row r="659" spans="1:32" s="4" customFormat="1" ht="12.75" x14ac:dyDescent="0.2">
      <c r="A659" s="7" t="s">
        <v>2147</v>
      </c>
      <c r="B659" s="7" t="s">
        <v>2148</v>
      </c>
      <c r="C659" s="7" t="s">
        <v>2149</v>
      </c>
      <c r="D659" s="6">
        <v>-0.57173675298690807</v>
      </c>
      <c r="E659" s="6">
        <v>-0.35476845502853405</v>
      </c>
      <c r="F659" s="6">
        <v>-0.21636220812797502</v>
      </c>
      <c r="G659" s="6">
        <v>-0.22028662264347101</v>
      </c>
      <c r="H659" s="6">
        <v>-0.20026707649231001</v>
      </c>
      <c r="I659" s="6">
        <v>0.6557590961456301</v>
      </c>
      <c r="J659" s="6">
        <v>0.28549385070800803</v>
      </c>
      <c r="K659" s="6">
        <v>-0.70202541351318404</v>
      </c>
      <c r="L659" s="6">
        <v>-0.32851222157478305</v>
      </c>
      <c r="M659" s="6">
        <v>-0.54551815986633301</v>
      </c>
      <c r="N659" s="6">
        <v>1.25899814736835</v>
      </c>
      <c r="O659" s="6">
        <v>1.230631901770094</v>
      </c>
      <c r="P659" s="6">
        <v>2.6695455286765499</v>
      </c>
      <c r="Q659" s="6">
        <v>2.410827273214363</v>
      </c>
      <c r="R659" s="6">
        <v>13.250996976383101</v>
      </c>
      <c r="S659" s="6">
        <v>12.195836446504318</v>
      </c>
      <c r="T659" s="6">
        <v>21.54071044921875</v>
      </c>
      <c r="U659" s="6">
        <f>_xll.BDP($A659,"TRAILING_12M_R&amp;D_%_SALES",$A$1,$A$2)</f>
        <v>1.345362080335553</v>
      </c>
      <c r="V659" s="6">
        <v>20</v>
      </c>
      <c r="W659" s="6">
        <v>201060</v>
      </c>
      <c r="X659" s="6">
        <v>20106010</v>
      </c>
      <c r="Y659" s="7" t="s">
        <v>43</v>
      </c>
      <c r="Z659" s="7" t="s">
        <v>630</v>
      </c>
      <c r="AA659" s="7" t="s">
        <v>631</v>
      </c>
      <c r="AB659" s="6">
        <v>51.453575134277344</v>
      </c>
      <c r="AC659" s="6">
        <v>0.82922372351961804</v>
      </c>
      <c r="AD659" s="6">
        <v>18.19003964208239</v>
      </c>
      <c r="AE659" s="6">
        <v>28300</v>
      </c>
      <c r="AF659" s="6">
        <v>23000</v>
      </c>
    </row>
    <row r="660" spans="1:32" s="4" customFormat="1" ht="12.75" x14ac:dyDescent="0.2">
      <c r="A660" s="7" t="s">
        <v>2150</v>
      </c>
      <c r="B660" s="7" t="s">
        <v>2151</v>
      </c>
      <c r="C660" s="7" t="s">
        <v>2152</v>
      </c>
      <c r="D660" s="6">
        <v>-0.27683281898498502</v>
      </c>
      <c r="E660" s="6">
        <v>-0.85911595821380604</v>
      </c>
      <c r="F660" s="6">
        <v>-0.27240893244743303</v>
      </c>
      <c r="G660" s="6">
        <v>0.40220525860786405</v>
      </c>
      <c r="H660" s="6">
        <v>1.4886054992675781</v>
      </c>
      <c r="I660" s="6">
        <v>0.96133095026016202</v>
      </c>
      <c r="J660" s="6">
        <v>0.31135329604148904</v>
      </c>
      <c r="K660" s="6">
        <v>-0.30964428186416604</v>
      </c>
      <c r="L660" s="6">
        <v>-0.81727248430252109</v>
      </c>
      <c r="M660" s="6">
        <v>0.31384029984474204</v>
      </c>
      <c r="N660" s="6">
        <v>1.5231780660377361</v>
      </c>
      <c r="O660" s="6">
        <v>1.3967822067468061</v>
      </c>
      <c r="P660" s="6">
        <v>1.4536297719025411</v>
      </c>
      <c r="Q660" s="6">
        <v>1.341002964721713</v>
      </c>
      <c r="R660" s="6">
        <v>17.046812732759363</v>
      </c>
      <c r="S660" s="6">
        <v>13.313207725949757</v>
      </c>
      <c r="T660" s="6">
        <v>8.2371397018432617</v>
      </c>
      <c r="U660" s="6" t="str">
        <f>_xll.BDP($A660,"TRAILING_12M_R&amp;D_%_SALES",$A$1,$A$2)</f>
        <v>#N/A N/A</v>
      </c>
      <c r="V660" s="6">
        <v>55</v>
      </c>
      <c r="W660" s="6">
        <v>551010</v>
      </c>
      <c r="X660" s="6">
        <v>55101010</v>
      </c>
      <c r="Y660" s="7" t="s">
        <v>181</v>
      </c>
      <c r="Z660" s="7" t="s">
        <v>186</v>
      </c>
      <c r="AA660" s="7" t="s">
        <v>186</v>
      </c>
      <c r="AB660" s="6">
        <v>67.115982055664063</v>
      </c>
      <c r="AC660" s="6">
        <v>0.89859572788085507</v>
      </c>
      <c r="AD660" s="6">
        <v>34.714172659460353</v>
      </c>
      <c r="AE660" s="6">
        <v>11</v>
      </c>
      <c r="AF660" s="6">
        <v>24000</v>
      </c>
    </row>
    <row r="661" spans="1:32" s="4" customFormat="1" ht="12.75" x14ac:dyDescent="0.2">
      <c r="A661" s="7" t="s">
        <v>2153</v>
      </c>
      <c r="B661" s="7" t="s">
        <v>2154</v>
      </c>
      <c r="C661" s="7" t="s">
        <v>2155</v>
      </c>
      <c r="D661" s="6">
        <v>-0.38497126102447504</v>
      </c>
      <c r="E661" s="6">
        <v>-0.8976277112960821</v>
      </c>
      <c r="F661" s="6">
        <v>0.56352823972702004</v>
      </c>
      <c r="G661" s="6">
        <v>-0.77657055854797408</v>
      </c>
      <c r="H661" s="6">
        <v>-0.17522241175174702</v>
      </c>
      <c r="I661" s="6">
        <v>0.308023691177368</v>
      </c>
      <c r="J661" s="6">
        <v>1.343736052513123</v>
      </c>
      <c r="K661" s="6">
        <v>-1.0935848951339719</v>
      </c>
      <c r="L661" s="6">
        <v>0.47977173328399703</v>
      </c>
      <c r="M661" s="6">
        <v>-0.76218652725219704</v>
      </c>
      <c r="N661" s="6">
        <v>0.32726616817289905</v>
      </c>
      <c r="O661" s="6">
        <v>0.32403361732805902</v>
      </c>
      <c r="P661" s="6">
        <v>0.69251607871186704</v>
      </c>
      <c r="Q661" s="6">
        <v>0.72595175138381307</v>
      </c>
      <c r="R661" s="6">
        <v>12.363616163138234</v>
      </c>
      <c r="S661" s="6">
        <v>9.5569656534651575</v>
      </c>
      <c r="T661" s="6">
        <v>6.443568229675293</v>
      </c>
      <c r="U661" s="6">
        <f>_xll.BDP($A661,"TRAILING_12M_R&amp;D_%_SALES",$A$1,$A$2)</f>
        <v>5.848713449320007</v>
      </c>
      <c r="V661" s="6">
        <v>25</v>
      </c>
      <c r="W661" s="6">
        <v>252010</v>
      </c>
      <c r="X661" s="6">
        <v>25201010</v>
      </c>
      <c r="Y661" s="7" t="s">
        <v>108</v>
      </c>
      <c r="Z661" s="7" t="s">
        <v>944</v>
      </c>
      <c r="AA661" s="7" t="s">
        <v>1711</v>
      </c>
      <c r="AB661" s="6">
        <v>62.6798095703125</v>
      </c>
      <c r="AC661" s="6">
        <v>0.53229598735293604</v>
      </c>
      <c r="AD661" s="6">
        <v>-21.358212575383916</v>
      </c>
      <c r="AE661" s="6">
        <v>240198</v>
      </c>
      <c r="AF661" s="6">
        <v>257533</v>
      </c>
    </row>
    <row r="662" spans="1:32" s="4" customFormat="1" ht="12.75" x14ac:dyDescent="0.2">
      <c r="A662" s="7" t="s">
        <v>2156</v>
      </c>
      <c r="B662" s="7" t="s">
        <v>2157</v>
      </c>
      <c r="C662" s="7" t="s">
        <v>2158</v>
      </c>
      <c r="D662" s="6">
        <v>-0.38497126102447504</v>
      </c>
      <c r="E662" s="6">
        <v>-0.8976277112960821</v>
      </c>
      <c r="F662" s="6">
        <v>0.56352823972702004</v>
      </c>
      <c r="G662" s="6">
        <v>-0.77657055854797408</v>
      </c>
      <c r="H662" s="6">
        <v>-0.17522241175174702</v>
      </c>
      <c r="I662" s="6">
        <v>0.308023691177368</v>
      </c>
      <c r="J662" s="6">
        <v>1.343736052513123</v>
      </c>
      <c r="K662" s="6">
        <v>-1.0935848951339719</v>
      </c>
      <c r="L662" s="6">
        <v>0.47977173328399703</v>
      </c>
      <c r="M662" s="6">
        <v>-0.76218652725219704</v>
      </c>
      <c r="N662" s="6">
        <v>0.32726616817289905</v>
      </c>
      <c r="O662" s="6">
        <v>0.33959596738816905</v>
      </c>
      <c r="P662" s="6">
        <v>0.69251607871186704</v>
      </c>
      <c r="Q662" s="6">
        <v>0.68367580667676409</v>
      </c>
      <c r="R662" s="6">
        <v>12.363616163138234</v>
      </c>
      <c r="S662" s="6">
        <v>11.102510859398283</v>
      </c>
      <c r="T662" s="6">
        <v>6.443568229675293</v>
      </c>
      <c r="U662" s="6">
        <f>_xll.BDP($A662,"TRAILING_12M_R&amp;D_%_SALES",$A$1,$A$2)</f>
        <v>5.848713449320007</v>
      </c>
      <c r="V662" s="6">
        <v>25</v>
      </c>
      <c r="W662" s="6">
        <v>252010</v>
      </c>
      <c r="X662" s="6">
        <v>25201010</v>
      </c>
      <c r="Y662" s="7" t="s">
        <v>108</v>
      </c>
      <c r="Z662" s="7" t="s">
        <v>944</v>
      </c>
      <c r="AA662" s="7" t="s">
        <v>1711</v>
      </c>
      <c r="AB662" s="6">
        <v>62.6798095703125</v>
      </c>
      <c r="AC662" s="6">
        <v>0.72310077163569109</v>
      </c>
      <c r="AD662" s="6">
        <v>-22.073364484608849</v>
      </c>
      <c r="AE662" s="6">
        <v>240198</v>
      </c>
      <c r="AF662" s="6">
        <v>257533</v>
      </c>
    </row>
    <row r="663" spans="1:32" s="4" customFormat="1" ht="12.75" x14ac:dyDescent="0.2">
      <c r="A663" s="7" t="s">
        <v>2159</v>
      </c>
      <c r="B663" s="7" t="s">
        <v>2160</v>
      </c>
      <c r="C663" s="7" t="s">
        <v>2161</v>
      </c>
      <c r="D663" s="6">
        <v>-0.38876822590827903</v>
      </c>
      <c r="E663" s="6">
        <v>-0.56984281539917003</v>
      </c>
      <c r="F663" s="6">
        <v>3.0001339912414551</v>
      </c>
      <c r="G663" s="6">
        <v>0.39144983887672402</v>
      </c>
      <c r="H663" s="6">
        <v>-1.0012304782867429</v>
      </c>
      <c r="I663" s="6">
        <v>2.0987083911895752</v>
      </c>
      <c r="J663" s="6">
        <v>-0.49888026714325001</v>
      </c>
      <c r="K663" s="6">
        <v>2.4883930683135991</v>
      </c>
      <c r="L663" s="6">
        <v>-0.81727248430252109</v>
      </c>
      <c r="M663" s="6">
        <v>1.401264429092407</v>
      </c>
      <c r="N663" s="6">
        <v>6.0105077881223172</v>
      </c>
      <c r="O663" s="6">
        <v>4.3618384137445521</v>
      </c>
      <c r="P663" s="6">
        <v>6.639785858788505</v>
      </c>
      <c r="Q663" s="6">
        <v>6.5340709909354358</v>
      </c>
      <c r="R663" s="6">
        <v>27.932993021366137</v>
      </c>
      <c r="S663" s="6">
        <v>19.470863950637998</v>
      </c>
      <c r="T663" s="6">
        <v>32.759944915771484</v>
      </c>
      <c r="U663" s="6">
        <f>_xll.BDP($A663,"TRAILING_12M_R&amp;D_%_SALES",$A$1,$A$2)</f>
        <v>3.1567834380080115</v>
      </c>
      <c r="V663" s="6">
        <v>25</v>
      </c>
      <c r="W663" s="6">
        <v>255030</v>
      </c>
      <c r="X663" s="6">
        <v>25503030</v>
      </c>
      <c r="Y663" s="7" t="s">
        <v>108</v>
      </c>
      <c r="Z663" s="7" t="s">
        <v>313</v>
      </c>
      <c r="AA663" s="7" t="s">
        <v>313</v>
      </c>
      <c r="AB663" s="6">
        <v>19.897394180297852</v>
      </c>
      <c r="AC663" s="6">
        <v>1.3650906589545251</v>
      </c>
      <c r="AD663" s="6">
        <v>37.174099251812429</v>
      </c>
      <c r="AE663" s="6">
        <v>9762</v>
      </c>
      <c r="AF663" s="6"/>
    </row>
    <row r="664" spans="1:32" s="4" customFormat="1" ht="12.75" x14ac:dyDescent="0.2">
      <c r="A664" s="7" t="s">
        <v>2162</v>
      </c>
      <c r="B664" s="7" t="s">
        <v>2163</v>
      </c>
      <c r="C664" s="7" t="s">
        <v>2164</v>
      </c>
      <c r="D664" s="6">
        <v>-0.5611492395401001</v>
      </c>
      <c r="E664" s="6">
        <v>-0.46163806319236805</v>
      </c>
      <c r="F664" s="6">
        <v>-0.37164673209190402</v>
      </c>
      <c r="G664" s="6">
        <v>-0.99161058664321911</v>
      </c>
      <c r="H664" s="6">
        <v>-9.5542632043362011E-2</v>
      </c>
      <c r="I664" s="6">
        <v>5.6049819104370003E-3</v>
      </c>
      <c r="J664" s="6">
        <v>-0.10420869290828701</v>
      </c>
      <c r="K664" s="6">
        <v>-0.66514235734939609</v>
      </c>
      <c r="L664" s="6">
        <v>0.26480081677436801</v>
      </c>
      <c r="M664" s="6">
        <v>-0.75523108243942305</v>
      </c>
      <c r="N664" s="6">
        <v>4.4501382972462782</v>
      </c>
      <c r="O664" s="6">
        <v>3.794144672030356</v>
      </c>
      <c r="P664" s="6">
        <v>2.964608567208272</v>
      </c>
      <c r="Q664" s="6">
        <v>2.782815918722136</v>
      </c>
      <c r="R664" s="6">
        <v>23.893838529200053</v>
      </c>
      <c r="S664" s="6">
        <v>18.19863969919993</v>
      </c>
      <c r="T664" s="6">
        <v>12.980424880981445</v>
      </c>
      <c r="U664" s="6" t="str">
        <f>_xll.BDP($A664,"TRAILING_12M_R&amp;D_%_SALES",$A$1,$A$2)</f>
        <v>#N/A N/A</v>
      </c>
      <c r="V664" s="6">
        <v>30</v>
      </c>
      <c r="W664" s="6">
        <v>302010</v>
      </c>
      <c r="X664" s="6">
        <v>30201020</v>
      </c>
      <c r="Y664" s="7" t="s">
        <v>91</v>
      </c>
      <c r="Z664" s="7" t="s">
        <v>92</v>
      </c>
      <c r="AA664" s="7" t="s">
        <v>2165</v>
      </c>
      <c r="AB664" s="6">
        <v>64.6112060546875</v>
      </c>
      <c r="AC664" s="6">
        <v>0.51555007729615498</v>
      </c>
      <c r="AD664" s="6">
        <v>-16.148968213577565</v>
      </c>
      <c r="AE664" s="6">
        <v>19480</v>
      </c>
      <c r="AF664" s="6">
        <v>18442</v>
      </c>
    </row>
    <row r="665" spans="1:32" s="4" customFormat="1" ht="12.75" x14ac:dyDescent="0.2">
      <c r="A665" s="7" t="s">
        <v>2166</v>
      </c>
      <c r="B665" s="7" t="s">
        <v>2167</v>
      </c>
      <c r="C665" s="7" t="s">
        <v>2168</v>
      </c>
      <c r="D665" s="6">
        <v>-0.70607614517211903</v>
      </c>
      <c r="E665" s="6">
        <v>-0.90367525815963712</v>
      </c>
      <c r="F665" s="6">
        <v>-0.33279857039451605</v>
      </c>
      <c r="G665" s="6">
        <v>-0.29952704906463601</v>
      </c>
      <c r="H665" s="6">
        <v>0.86836659908294711</v>
      </c>
      <c r="I665" s="6">
        <v>0.16283887624740601</v>
      </c>
      <c r="J665" s="6">
        <v>-0.15142971277236902</v>
      </c>
      <c r="K665" s="6">
        <v>-0.86958140134811401</v>
      </c>
      <c r="L665" s="6">
        <v>0.89231181144714411</v>
      </c>
      <c r="M665" s="6">
        <v>-0.74284267425537109</v>
      </c>
      <c r="N665" s="6">
        <v>3.1535742056842802</v>
      </c>
      <c r="O665" s="6">
        <v>3.1887633303692411</v>
      </c>
      <c r="P665" s="6">
        <v>2.29802958131858</v>
      </c>
      <c r="Q665" s="6">
        <v>2.0247351511392941</v>
      </c>
      <c r="R665" s="6">
        <v>15.060359479227513</v>
      </c>
      <c r="S665" s="6">
        <v>17.609634062860419</v>
      </c>
      <c r="T665" s="6">
        <v>5.0366029739379883</v>
      </c>
      <c r="U665" s="6" t="str">
        <f>_xll.BDP($A665,"TRAILING_12M_R&amp;D_%_SALES",$A$1,$A$2)</f>
        <v>#N/A N/A</v>
      </c>
      <c r="V665" s="6">
        <v>55</v>
      </c>
      <c r="W665" s="6">
        <v>551030</v>
      </c>
      <c r="X665" s="6">
        <v>55103010</v>
      </c>
      <c r="Y665" s="7" t="s">
        <v>181</v>
      </c>
      <c r="Z665" s="7" t="s">
        <v>182</v>
      </c>
      <c r="AA665" s="7" t="s">
        <v>182</v>
      </c>
      <c r="AB665" s="6">
        <v>69.409515380859375</v>
      </c>
      <c r="AC665" s="6">
        <v>0.690976985820002</v>
      </c>
      <c r="AD665" s="6">
        <v>-4.508706460266998</v>
      </c>
      <c r="AE665" s="6">
        <v>7865</v>
      </c>
      <c r="AF665" s="6">
        <v>13065</v>
      </c>
    </row>
    <row r="666" spans="1:32" s="4" customFormat="1" ht="12.75" x14ac:dyDescent="0.2">
      <c r="A666" s="7" t="s">
        <v>2169</v>
      </c>
      <c r="B666" s="7" t="s">
        <v>2170</v>
      </c>
      <c r="C666" s="7" t="s">
        <v>2171</v>
      </c>
      <c r="D666" s="6">
        <v>0.60547864437103305</v>
      </c>
      <c r="E666" s="6">
        <v>0.17127095162868503</v>
      </c>
      <c r="F666" s="6">
        <v>-0.45991981029510504</v>
      </c>
      <c r="G666" s="6">
        <v>-0.60460942983627308</v>
      </c>
      <c r="H666" s="6">
        <v>0.39041090011596702</v>
      </c>
      <c r="I666" s="6">
        <v>0.47014400362968406</v>
      </c>
      <c r="J666" s="6">
        <v>-0.31471982598304704</v>
      </c>
      <c r="K666" s="6">
        <v>-0.37835794687271102</v>
      </c>
      <c r="L666" s="6">
        <v>0.41047707200050404</v>
      </c>
      <c r="M666" s="6">
        <v>-0.56256181001663208</v>
      </c>
      <c r="N666" s="6">
        <v>2.9894117152475923</v>
      </c>
      <c r="O666" s="6">
        <v>2.831068207264205</v>
      </c>
      <c r="P666" s="6">
        <v>13.128004803361023</v>
      </c>
      <c r="Q666" s="6">
        <v>12.369857699704847</v>
      </c>
      <c r="R666" s="6">
        <v>27.235678649224337</v>
      </c>
      <c r="S666" s="6">
        <v>24.853155502411113</v>
      </c>
      <c r="T666" s="6">
        <v>55.749088287353516</v>
      </c>
      <c r="U666" s="6" t="str">
        <f>_xll.BDP($A666,"TRAILING_12M_R&amp;D_%_SALES",$A$1,$A$2)</f>
        <v>#N/A N/A</v>
      </c>
      <c r="V666" s="6">
        <v>30</v>
      </c>
      <c r="W666" s="6">
        <v>302010</v>
      </c>
      <c r="X666" s="6">
        <v>30201030</v>
      </c>
      <c r="Y666" s="7" t="s">
        <v>91</v>
      </c>
      <c r="Z666" s="7" t="s">
        <v>92</v>
      </c>
      <c r="AA666" s="7" t="s">
        <v>651</v>
      </c>
      <c r="AB666" s="6">
        <v>65.697616577148438</v>
      </c>
      <c r="AC666" s="6">
        <v>0.657877886198173</v>
      </c>
      <c r="AD666" s="6">
        <v>7.4087191349484716</v>
      </c>
      <c r="AE666" s="6">
        <v>309000</v>
      </c>
      <c r="AF666" s="6">
        <v>264000</v>
      </c>
    </row>
    <row r="667" spans="1:32" s="4" customFormat="1" ht="12.75" x14ac:dyDescent="0.2">
      <c r="A667" s="7" t="s">
        <v>2172</v>
      </c>
      <c r="B667" s="7" t="s">
        <v>2173</v>
      </c>
      <c r="C667" s="7" t="s">
        <v>2174</v>
      </c>
      <c r="D667" s="6">
        <v>-0.178632497787476</v>
      </c>
      <c r="E667" s="6">
        <v>-0.63492769002914407</v>
      </c>
      <c r="F667" s="6">
        <v>4.0768980979919003E-2</v>
      </c>
      <c r="G667" s="6">
        <v>-0.92739850282669112</v>
      </c>
      <c r="H667" s="6">
        <v>0.63296908140182506</v>
      </c>
      <c r="I667" s="6">
        <v>-0.91611176729202304</v>
      </c>
      <c r="J667" s="6">
        <v>2.3463823795318599</v>
      </c>
      <c r="K667" s="6">
        <v>-0.82568252086639404</v>
      </c>
      <c r="L667" s="6">
        <v>2.4184832572937012</v>
      </c>
      <c r="M667" s="6">
        <v>-0.77505195140838601</v>
      </c>
      <c r="N667" s="6">
        <v>0.29142634859514704</v>
      </c>
      <c r="O667" s="6"/>
      <c r="P667" s="6">
        <v>0.8833827373500851</v>
      </c>
      <c r="Q667" s="6"/>
      <c r="R667" s="6">
        <v>9.4103782368846591</v>
      </c>
      <c r="S667" s="6"/>
      <c r="T667" s="6">
        <v>9.8391819000244141</v>
      </c>
      <c r="U667" s="6">
        <f>_xll.BDP($A667,"TRAILING_12M_R&amp;D_%_SALES",$A$1,$A$2)</f>
        <v>0</v>
      </c>
      <c r="V667" s="6">
        <v>10</v>
      </c>
      <c r="W667" s="6">
        <v>101020</v>
      </c>
      <c r="X667" s="6">
        <v>10102010</v>
      </c>
      <c r="Y667" s="7" t="s">
        <v>505</v>
      </c>
      <c r="Z667" s="7" t="s">
        <v>556</v>
      </c>
      <c r="AA667" s="7" t="s">
        <v>557</v>
      </c>
      <c r="AB667" s="6">
        <v>72.970527648925781</v>
      </c>
      <c r="AC667" s="6"/>
      <c r="AD667" s="6"/>
      <c r="AE667" s="6"/>
      <c r="AF667" s="6"/>
    </row>
    <row r="668" spans="1:32" s="4" customFormat="1" ht="12.75" x14ac:dyDescent="0.2">
      <c r="A668" s="7" t="s">
        <v>2175</v>
      </c>
      <c r="B668" s="7" t="s">
        <v>2176</v>
      </c>
      <c r="C668" s="7" t="s">
        <v>2177</v>
      </c>
      <c r="D668" s="6">
        <v>0.88380116224288907</v>
      </c>
      <c r="E668" s="6">
        <v>0.49115070700645402</v>
      </c>
      <c r="F668" s="6">
        <v>0.26161539554595903</v>
      </c>
      <c r="G668" s="6">
        <v>-0.40645065903663602</v>
      </c>
      <c r="H668" s="6">
        <v>-0.56875354051589999</v>
      </c>
      <c r="I668" s="6">
        <v>0.46642339229583701</v>
      </c>
      <c r="J668" s="6">
        <v>0.51251053810119607</v>
      </c>
      <c r="K668" s="6">
        <v>-1.3655575513839719</v>
      </c>
      <c r="L668" s="6">
        <v>0.74878066778183006</v>
      </c>
      <c r="M668" s="6">
        <v>2.8750142082572001E-2</v>
      </c>
      <c r="N668" s="6">
        <v>2.8769235588284672</v>
      </c>
      <c r="O668" s="6">
        <v>3.8016811082376329</v>
      </c>
      <c r="P668" s="6">
        <v>3.1043149423013459</v>
      </c>
      <c r="Q668" s="6">
        <v>2.723218859700069</v>
      </c>
      <c r="R668" s="6">
        <v>8.3886783441516641</v>
      </c>
      <c r="S668" s="6">
        <v>10.515478055692261</v>
      </c>
      <c r="T668" s="6">
        <v>35.373447418212891</v>
      </c>
      <c r="U668" s="6">
        <f>_xll.BDP($A668,"TRAILING_12M_R&amp;D_%_SALES",$A$1,$A$2)</f>
        <v>17.00850267968001</v>
      </c>
      <c r="V668" s="6">
        <v>35</v>
      </c>
      <c r="W668" s="6">
        <v>352020</v>
      </c>
      <c r="X668" s="6">
        <v>35202010</v>
      </c>
      <c r="Y668" s="7" t="s">
        <v>86</v>
      </c>
      <c r="Z668" s="7" t="s">
        <v>271</v>
      </c>
      <c r="AA668" s="7" t="s">
        <v>271</v>
      </c>
      <c r="AB668" s="6">
        <v>67.739662170410156</v>
      </c>
      <c r="AC668" s="6">
        <v>0.67297601598417001</v>
      </c>
      <c r="AD668" s="6">
        <v>-9.4269721168299458</v>
      </c>
      <c r="AE668" s="6">
        <v>79000</v>
      </c>
      <c r="AF668" s="6">
        <v>96500</v>
      </c>
    </row>
    <row r="669" spans="1:32" s="4" customFormat="1" ht="12.75" x14ac:dyDescent="0.2">
      <c r="A669" s="7" t="s">
        <v>2178</v>
      </c>
      <c r="B669" s="7" t="s">
        <v>2179</v>
      </c>
      <c r="C669" s="7" t="s">
        <v>2180</v>
      </c>
      <c r="D669" s="6">
        <v>-0.20846405625343301</v>
      </c>
      <c r="E669" s="6">
        <v>1.3386216014624001E-2</v>
      </c>
      <c r="F669" s="6">
        <v>0.54527193307876609</v>
      </c>
      <c r="G669" s="6">
        <v>-7.0153020322323012E-2</v>
      </c>
      <c r="H669" s="6">
        <v>-0.665424764156342</v>
      </c>
      <c r="I669" s="6">
        <v>0.87755233049392711</v>
      </c>
      <c r="J669" s="6">
        <v>1.124359607696533</v>
      </c>
      <c r="K669" s="6">
        <v>-0.80781346559524503</v>
      </c>
      <c r="L669" s="6">
        <v>0.65410429239273105</v>
      </c>
      <c r="M669" s="6">
        <v>-1.007027387619019</v>
      </c>
      <c r="N669" s="6">
        <v>1.1592345880474779</v>
      </c>
      <c r="O669" s="6">
        <v>1.5143245989444432</v>
      </c>
      <c r="P669" s="6">
        <v>2.175690438349851</v>
      </c>
      <c r="Q669" s="6">
        <v>2.3122252077815411</v>
      </c>
      <c r="R669" s="6">
        <v>14.496313321295698</v>
      </c>
      <c r="S669" s="6">
        <v>11.956929420767144</v>
      </c>
      <c r="T669" s="6">
        <v>41.656314849853516</v>
      </c>
      <c r="U669" s="6" t="str">
        <f>_xll.BDP($A669,"TRAILING_12M_R&amp;D_%_SALES",$A$1,$A$2)</f>
        <v>#N/A N/A</v>
      </c>
      <c r="V669" s="6">
        <v>40</v>
      </c>
      <c r="W669" s="6">
        <v>403010</v>
      </c>
      <c r="X669" s="6">
        <v>40301020</v>
      </c>
      <c r="Y669" s="7" t="s">
        <v>53</v>
      </c>
      <c r="Z669" s="7" t="s">
        <v>54</v>
      </c>
      <c r="AA669" s="7" t="s">
        <v>55</v>
      </c>
      <c r="AB669" s="6">
        <v>53.817523956298828</v>
      </c>
      <c r="AC669" s="6">
        <v>0.98324903800187613</v>
      </c>
      <c r="AD669" s="6">
        <v>20.414417244906957</v>
      </c>
      <c r="AE669" s="6">
        <v>18600</v>
      </c>
      <c r="AF669" s="6">
        <v>14895</v>
      </c>
    </row>
    <row r="670" spans="1:32" s="4" customFormat="1" ht="12.75" x14ac:dyDescent="0.2">
      <c r="A670" s="7" t="s">
        <v>2181</v>
      </c>
      <c r="B670" s="7" t="s">
        <v>2182</v>
      </c>
      <c r="C670" s="7" t="s">
        <v>2183</v>
      </c>
      <c r="D670" s="6">
        <v>0.77051120996475209</v>
      </c>
      <c r="E670" s="6">
        <v>1.1227231025695801</v>
      </c>
      <c r="F670" s="6">
        <v>0.48904943466186501</v>
      </c>
      <c r="G670" s="6">
        <v>-0.70815098285675004</v>
      </c>
      <c r="H670" s="6">
        <v>-0.37117582559585605</v>
      </c>
      <c r="I670" s="6">
        <v>0.23679877817630801</v>
      </c>
      <c r="J670" s="6">
        <v>-0.31499361991882302</v>
      </c>
      <c r="K670" s="6">
        <v>-0.55017578601837203</v>
      </c>
      <c r="L670" s="6">
        <v>0.34892076253891002</v>
      </c>
      <c r="M670" s="6">
        <v>-0.60879075527191207</v>
      </c>
      <c r="N670" s="6">
        <v>4.5479392797178164</v>
      </c>
      <c r="O670" s="6">
        <v>4.4166191141626578</v>
      </c>
      <c r="P670" s="6">
        <v>8.3058041054946017</v>
      </c>
      <c r="Q670" s="6">
        <v>8.1445523809127902</v>
      </c>
      <c r="R670" s="6">
        <v>26.285338100807365</v>
      </c>
      <c r="S670" s="6">
        <v>25.064257649531779</v>
      </c>
      <c r="T670" s="6">
        <v>32.454544067382813</v>
      </c>
      <c r="U670" s="6" t="str">
        <f>_xll.BDP($A670,"TRAILING_12M_R&amp;D_%_SALES",$A$1,$A$2)</f>
        <v>#N/A N/A</v>
      </c>
      <c r="V670" s="6">
        <v>30</v>
      </c>
      <c r="W670" s="6">
        <v>303010</v>
      </c>
      <c r="X670" s="6">
        <v>30301010</v>
      </c>
      <c r="Y670" s="7" t="s">
        <v>91</v>
      </c>
      <c r="Z670" s="7" t="s">
        <v>736</v>
      </c>
      <c r="AA670" s="7" t="s">
        <v>736</v>
      </c>
      <c r="AB670" s="6">
        <v>53.72698974609375</v>
      </c>
      <c r="AC670" s="6">
        <v>0.6503717031450591</v>
      </c>
      <c r="AD670" s="6">
        <v>-4.5691190185737192</v>
      </c>
      <c r="AE670" s="6">
        <v>106000</v>
      </c>
      <c r="AF670" s="6">
        <v>95000</v>
      </c>
    </row>
    <row r="671" spans="1:32" s="4" customFormat="1" ht="12.75" x14ac:dyDescent="0.2">
      <c r="A671" s="7" t="s">
        <v>2184</v>
      </c>
      <c r="B671" s="7" t="s">
        <v>2185</v>
      </c>
      <c r="C671" s="7" t="s">
        <v>2186</v>
      </c>
      <c r="D671" s="6">
        <v>-0.9157163500785831</v>
      </c>
      <c r="E671" s="6">
        <v>0.29124078154563904</v>
      </c>
      <c r="F671" s="6">
        <v>1.0441795587539671</v>
      </c>
      <c r="G671" s="6">
        <v>-0.76295983791351307</v>
      </c>
      <c r="H671" s="6">
        <v>-6.5978534519672005E-2</v>
      </c>
      <c r="I671" s="6">
        <v>0.56329870223999001</v>
      </c>
      <c r="J671" s="6">
        <v>0.78868633508682306</v>
      </c>
      <c r="K671" s="6">
        <v>-0.70908600091934204</v>
      </c>
      <c r="L671" s="6">
        <v>0.87605911493301403</v>
      </c>
      <c r="M671" s="6">
        <v>-0.88940435647964511</v>
      </c>
      <c r="N671" s="6">
        <v>1.164493255863903</v>
      </c>
      <c r="O671" s="6">
        <v>1.178839763075749</v>
      </c>
      <c r="P671" s="6">
        <v>1.584566812123303</v>
      </c>
      <c r="Q671" s="6">
        <v>1.482649380051434</v>
      </c>
      <c r="R671" s="6">
        <v>12.942913681065273</v>
      </c>
      <c r="S671" s="6">
        <v>9.4595235526723869</v>
      </c>
      <c r="T671" s="6">
        <v>13.526228904724121</v>
      </c>
      <c r="U671" s="6" t="str">
        <f>_xll.BDP($A671,"TRAILING_12M_R&amp;D_%_SALES",$A$1,$A$2)</f>
        <v>#N/A N/A</v>
      </c>
      <c r="V671" s="6">
        <v>50</v>
      </c>
      <c r="W671" s="6">
        <v>502010</v>
      </c>
      <c r="X671" s="6">
        <v>50201010</v>
      </c>
      <c r="Y671" s="7" t="s">
        <v>367</v>
      </c>
      <c r="Z671" s="7" t="s">
        <v>701</v>
      </c>
      <c r="AA671" s="7" t="s">
        <v>2187</v>
      </c>
      <c r="AB671" s="6">
        <v>59.259632110595703</v>
      </c>
      <c r="AC671" s="6">
        <v>0.45783117900361703</v>
      </c>
      <c r="AD671" s="6">
        <v>3.713296016224144</v>
      </c>
      <c r="AE671" s="6">
        <v>88531</v>
      </c>
      <c r="AF671" s="6">
        <v>78913</v>
      </c>
    </row>
    <row r="672" spans="1:32" s="4" customFormat="1" ht="12.75" x14ac:dyDescent="0.2">
      <c r="A672" s="7" t="s">
        <v>2188</v>
      </c>
      <c r="B672" s="7" t="s">
        <v>2189</v>
      </c>
      <c r="C672" s="7" t="s">
        <v>2190</v>
      </c>
      <c r="D672" s="6">
        <v>4.8504043370485E-2</v>
      </c>
      <c r="E672" s="6">
        <v>-0.95739525556564309</v>
      </c>
      <c r="F672" s="6">
        <v>-0.31024947762489302</v>
      </c>
      <c r="G672" s="6">
        <v>-0.41232797503471402</v>
      </c>
      <c r="H672" s="6">
        <v>-0.68876564502716109</v>
      </c>
      <c r="I672" s="6">
        <v>0.99916863441467307</v>
      </c>
      <c r="J672" s="6">
        <v>-0.15864476561546301</v>
      </c>
      <c r="K672" s="6">
        <v>0.12789677083492301</v>
      </c>
      <c r="L672" s="6">
        <v>-0.66769045591354403</v>
      </c>
      <c r="M672" s="6">
        <v>-0.46120795607566806</v>
      </c>
      <c r="N672" s="6">
        <v>1.5589071690625511</v>
      </c>
      <c r="O672" s="6">
        <v>1.339770999770582</v>
      </c>
      <c r="P672" s="6">
        <v>5.313802803871079</v>
      </c>
      <c r="Q672" s="6">
        <v>4.2648987963418863</v>
      </c>
      <c r="R672" s="6">
        <v>35.040383733870868</v>
      </c>
      <c r="S672" s="6">
        <v>20.2529134311925</v>
      </c>
      <c r="T672" s="6">
        <v>5.1350221633911133</v>
      </c>
      <c r="U672" s="6" t="str">
        <f>_xll.BDP($A672,"TRAILING_12M_R&amp;D_%_SALES",$A$1,$A$2)</f>
        <v>#N/A N/A</v>
      </c>
      <c r="V672" s="6">
        <v>40</v>
      </c>
      <c r="W672" s="6">
        <v>403010</v>
      </c>
      <c r="X672" s="6">
        <v>40301040</v>
      </c>
      <c r="Y672" s="7" t="s">
        <v>53</v>
      </c>
      <c r="Z672" s="7" t="s">
        <v>54</v>
      </c>
      <c r="AA672" s="7" t="s">
        <v>125</v>
      </c>
      <c r="AB672" s="6">
        <v>43.043960571289063</v>
      </c>
      <c r="AC672" s="6">
        <v>0.69556794110541509</v>
      </c>
      <c r="AD672" s="6">
        <v>26.306893951494569</v>
      </c>
      <c r="AE672" s="6">
        <v>49000</v>
      </c>
      <c r="AF672" s="6">
        <v>31721</v>
      </c>
    </row>
    <row r="673" spans="1:32" s="4" customFormat="1" ht="12.75" x14ac:dyDescent="0.2">
      <c r="A673" s="7" t="s">
        <v>2191</v>
      </c>
      <c r="B673" s="7" t="s">
        <v>2192</v>
      </c>
      <c r="C673" s="7" t="s">
        <v>2193</v>
      </c>
      <c r="D673" s="6">
        <v>-0.66552102565765403</v>
      </c>
      <c r="E673" s="6">
        <v>-0.543712139129639</v>
      </c>
      <c r="F673" s="6">
        <v>-0.53576797246933006</v>
      </c>
      <c r="G673" s="6">
        <v>-7.7894993126392004E-2</v>
      </c>
      <c r="H673" s="6">
        <v>0.70208531618118308</v>
      </c>
      <c r="I673" s="6">
        <v>0.118699088692665</v>
      </c>
      <c r="J673" s="6">
        <v>-4.3069038540125004E-2</v>
      </c>
      <c r="K673" s="6">
        <v>-0.31694403290748602</v>
      </c>
      <c r="L673" s="6">
        <v>8.2334645092487002E-2</v>
      </c>
      <c r="M673" s="6">
        <v>-0.69340562820434604</v>
      </c>
      <c r="N673" s="6">
        <v>2.2889925437513372</v>
      </c>
      <c r="O673" s="6">
        <v>2.0245129172783289</v>
      </c>
      <c r="P673" s="6">
        <v>4.2643054311770294</v>
      </c>
      <c r="Q673" s="6">
        <v>3.644847416980344</v>
      </c>
      <c r="R673" s="6">
        <v>17.068656207466194</v>
      </c>
      <c r="S673" s="6">
        <v>14.567609302105073</v>
      </c>
      <c r="T673" s="6">
        <v>14.516665458679199</v>
      </c>
      <c r="U673" s="6" t="str">
        <f>_xll.BDP($A673,"TRAILING_12M_R&amp;D_%_SALES",$A$1,$A$2)</f>
        <v>#N/A N/A</v>
      </c>
      <c r="V673" s="6">
        <v>20</v>
      </c>
      <c r="W673" s="6">
        <v>201060</v>
      </c>
      <c r="X673" s="6">
        <v>20106020</v>
      </c>
      <c r="Y673" s="7" t="s">
        <v>43</v>
      </c>
      <c r="Z673" s="7" t="s">
        <v>630</v>
      </c>
      <c r="AA673" s="7" t="s">
        <v>1553</v>
      </c>
      <c r="AB673" s="6">
        <v>52.087314605712891</v>
      </c>
      <c r="AC673" s="6">
        <v>1.039213566337545</v>
      </c>
      <c r="AD673" s="6">
        <v>-5.9739988764788361</v>
      </c>
      <c r="AE673" s="6">
        <v>55090</v>
      </c>
      <c r="AF673" s="6">
        <v>56690</v>
      </c>
    </row>
    <row r="674" spans="1:32" s="4" customFormat="1" ht="12.75" x14ac:dyDescent="0.2">
      <c r="A674" s="7" t="s">
        <v>2194</v>
      </c>
      <c r="B674" s="7" t="s">
        <v>2195</v>
      </c>
      <c r="C674" s="7" t="s">
        <v>2196</v>
      </c>
      <c r="D674" s="6">
        <v>-0.92794883251190208</v>
      </c>
      <c r="E674" s="6">
        <v>-1.6796984672546391</v>
      </c>
      <c r="F674" s="6">
        <v>0.77076512575149503</v>
      </c>
      <c r="G674" s="6">
        <v>-0.52298963069915805</v>
      </c>
      <c r="H674" s="6">
        <v>5.0485722720623002E-2</v>
      </c>
      <c r="I674" s="6">
        <v>-1.689154744148254</v>
      </c>
      <c r="J674" s="6">
        <v>-3.4348662942648003E-2</v>
      </c>
      <c r="K674" s="6">
        <v>-0.90128636360168513</v>
      </c>
      <c r="L674" s="6">
        <v>2.1321578025817871</v>
      </c>
      <c r="M674" s="6">
        <v>-0.19838391244411502</v>
      </c>
      <c r="N674" s="6">
        <v>0.72584029589483801</v>
      </c>
      <c r="O674" s="6">
        <v>0.68183586239905203</v>
      </c>
      <c r="P674" s="6">
        <v>0.84185269006307906</v>
      </c>
      <c r="Q674" s="6">
        <v>0.96981091387925311</v>
      </c>
      <c r="R674" s="6">
        <v>31.699320476241056</v>
      </c>
      <c r="S674" s="6">
        <v>12.837778387674975</v>
      </c>
      <c r="T674" s="6">
        <v>22.159751892089844</v>
      </c>
      <c r="U674" s="6">
        <f>_xll.BDP($A674,"TRAILING_12M_R&amp;D_%_SALES",$A$1,$A$2)</f>
        <v>9.6942456023528099</v>
      </c>
      <c r="V674" s="6">
        <v>35</v>
      </c>
      <c r="W674" s="6">
        <v>351010</v>
      </c>
      <c r="X674" s="6">
        <v>35101010</v>
      </c>
      <c r="Y674" s="7" t="s">
        <v>86</v>
      </c>
      <c r="Z674" s="7" t="s">
        <v>114</v>
      </c>
      <c r="AA674" s="7" t="s">
        <v>115</v>
      </c>
      <c r="AB674" s="6">
        <v>59.521175384521484</v>
      </c>
      <c r="AC674" s="6">
        <v>1.0319952833943451</v>
      </c>
      <c r="AD674" s="6">
        <v>-58.104380109760221</v>
      </c>
      <c r="AE674" s="6">
        <v>78189</v>
      </c>
      <c r="AF674" s="6">
        <v>114731</v>
      </c>
    </row>
    <row r="675" spans="1:32" s="4" customFormat="1" ht="12.75" x14ac:dyDescent="0.2">
      <c r="A675" s="7" t="s">
        <v>2197</v>
      </c>
      <c r="B675" s="7" t="s">
        <v>2198</v>
      </c>
      <c r="C675" s="7" t="s">
        <v>2199</v>
      </c>
      <c r="D675" s="6">
        <v>1.3036960363388062</v>
      </c>
      <c r="E675" s="6">
        <v>-0.77987885475158703</v>
      </c>
      <c r="F675" s="6">
        <v>2.196918249130249</v>
      </c>
      <c r="G675" s="6">
        <v>-0.45514315366745006</v>
      </c>
      <c r="H675" s="6">
        <v>0.98177522420883212</v>
      </c>
      <c r="I675" s="6">
        <v>0.17530363798141502</v>
      </c>
      <c r="J675" s="6">
        <v>2.2744350433349609</v>
      </c>
      <c r="K675" s="6">
        <v>-0.35480377078056302</v>
      </c>
      <c r="L675" s="6">
        <v>1.823011040687561</v>
      </c>
      <c r="M675" s="6">
        <v>-0.8797831535339361</v>
      </c>
      <c r="N675" s="6">
        <v>0.65476518385049909</v>
      </c>
      <c r="O675" s="6">
        <v>0.61776121539658002</v>
      </c>
      <c r="P675" s="6">
        <v>0.99531448820005208</v>
      </c>
      <c r="Q675" s="6">
        <v>0.83460740103302611</v>
      </c>
      <c r="R675" s="6">
        <v>8.328794506759424</v>
      </c>
      <c r="S675" s="6">
        <v>5.9991486190652807</v>
      </c>
      <c r="T675" s="6">
        <v>13.109203338623047</v>
      </c>
      <c r="U675" s="6" t="str">
        <f>_xll.BDP($A675,"TRAILING_12M_R&amp;D_%_SALES",$A$1,$A$2)</f>
        <v>#N/A N/A</v>
      </c>
      <c r="V675" s="6">
        <v>40</v>
      </c>
      <c r="W675" s="6">
        <v>403010</v>
      </c>
      <c r="X675" s="6">
        <v>40301020</v>
      </c>
      <c r="Y675" s="7" t="s">
        <v>53</v>
      </c>
      <c r="Z675" s="7" t="s">
        <v>54</v>
      </c>
      <c r="AA675" s="7" t="s">
        <v>55</v>
      </c>
      <c r="AB675" s="6">
        <v>57.710491180419922</v>
      </c>
      <c r="AC675" s="6">
        <v>0.49519982407477703</v>
      </c>
      <c r="AD675" s="6">
        <v>-3.0174596660337278</v>
      </c>
      <c r="AE675" s="6">
        <v>355982</v>
      </c>
      <c r="AF675" s="6">
        <v>318588</v>
      </c>
    </row>
    <row r="676" spans="1:32" s="4" customFormat="1" ht="12.75" x14ac:dyDescent="0.2">
      <c r="A676" s="7" t="s">
        <v>2200</v>
      </c>
      <c r="B676" s="7" t="s">
        <v>2201</v>
      </c>
      <c r="C676" s="7" t="s">
        <v>2202</v>
      </c>
      <c r="D676" s="6">
        <v>0.16809609532356301</v>
      </c>
      <c r="E676" s="6">
        <v>-0.67181521654129006</v>
      </c>
      <c r="F676" s="6">
        <v>1.029317259788513</v>
      </c>
      <c r="G676" s="6">
        <v>-0.667780101299286</v>
      </c>
      <c r="H676" s="6">
        <v>-0.21091791987419101</v>
      </c>
      <c r="I676" s="6">
        <v>0.633306324481964</v>
      </c>
      <c r="J676" s="6">
        <v>2.093826055526733</v>
      </c>
      <c r="K676" s="6">
        <v>-0.32250463962554904</v>
      </c>
      <c r="L676" s="6">
        <v>2.3721046447753911</v>
      </c>
      <c r="M676" s="6">
        <v>-0.82034027576446511</v>
      </c>
      <c r="N676" s="6">
        <v>0.16308001624187202</v>
      </c>
      <c r="O676" s="6"/>
      <c r="P676" s="6">
        <v>0.45818078927995304</v>
      </c>
      <c r="Q676" s="6"/>
      <c r="R676" s="6">
        <v>4.140897683974802</v>
      </c>
      <c r="S676" s="6"/>
      <c r="T676" s="6">
        <v>11.400782585144043</v>
      </c>
      <c r="U676" s="6" t="str">
        <f>_xll.BDP($A676,"TRAILING_12M_R&amp;D_%_SALES",$A$1,$A$2)</f>
        <v>#N/A N/A</v>
      </c>
      <c r="V676" s="6">
        <v>40</v>
      </c>
      <c r="W676" s="6">
        <v>403010</v>
      </c>
      <c r="X676" s="6">
        <v>40301040</v>
      </c>
      <c r="Y676" s="7" t="s">
        <v>53</v>
      </c>
      <c r="Z676" s="7" t="s">
        <v>54</v>
      </c>
      <c r="AA676" s="7" t="s">
        <v>125</v>
      </c>
      <c r="AB676" s="6">
        <v>53.495624542236328</v>
      </c>
      <c r="AC676" s="6">
        <v>0.47775535727176105</v>
      </c>
      <c r="AD676" s="6"/>
      <c r="AE676" s="6">
        <v>184364</v>
      </c>
      <c r="AF676" s="6">
        <v>172569</v>
      </c>
    </row>
    <row r="677" spans="1:32" s="4" customFormat="1" ht="12.75" x14ac:dyDescent="0.2">
      <c r="A677" s="7" t="s">
        <v>2203</v>
      </c>
      <c r="B677" s="7" t="s">
        <v>2204</v>
      </c>
      <c r="C677" s="7" t="s">
        <v>2205</v>
      </c>
      <c r="D677" s="6">
        <v>-0.32149699330329901</v>
      </c>
      <c r="E677" s="6">
        <v>-0.68023556470871005</v>
      </c>
      <c r="F677" s="6">
        <v>0.40446984767913802</v>
      </c>
      <c r="G677" s="6">
        <v>-0.46300151944160506</v>
      </c>
      <c r="H677" s="6">
        <v>-0.25597536563873302</v>
      </c>
      <c r="I677" s="6">
        <v>0.34348183870315602</v>
      </c>
      <c r="J677" s="6">
        <v>2.5637321472167969</v>
      </c>
      <c r="K677" s="6">
        <v>-0.72341233491897605</v>
      </c>
      <c r="L677" s="6">
        <v>1.6832147836685181</v>
      </c>
      <c r="M677" s="6">
        <v>-0.53074932098388705</v>
      </c>
      <c r="N677" s="6">
        <v>0.24122940406495003</v>
      </c>
      <c r="O677" s="6"/>
      <c r="P677" s="6">
        <v>0.38514178031788004</v>
      </c>
      <c r="Q677" s="6"/>
      <c r="R677" s="6">
        <v>3.947225157983945</v>
      </c>
      <c r="S677" s="6"/>
      <c r="T677" s="6">
        <v>10.240013122558594</v>
      </c>
      <c r="U677" s="6">
        <f>_xll.BDP($A677,"TRAILING_12M_R&amp;D_%_SALES",$A$1,$A$2)</f>
        <v>0.84797886568387004</v>
      </c>
      <c r="V677" s="6">
        <v>15</v>
      </c>
      <c r="W677" s="6">
        <v>151040</v>
      </c>
      <c r="X677" s="6">
        <v>15104050</v>
      </c>
      <c r="Y677" s="7" t="s">
        <v>38</v>
      </c>
      <c r="Z677" s="7" t="s">
        <v>71</v>
      </c>
      <c r="AA677" s="7" t="s">
        <v>303</v>
      </c>
      <c r="AB677" s="6">
        <v>70.666938781738281</v>
      </c>
      <c r="AC677" s="6">
        <v>0.90496189037810204</v>
      </c>
      <c r="AD677" s="6">
        <v>-1.847886255877262</v>
      </c>
      <c r="AE677" s="6"/>
      <c r="AF677" s="6"/>
    </row>
    <row r="678" spans="1:32" s="4" customFormat="1" ht="12.75" x14ac:dyDescent="0.2">
      <c r="A678" s="7" t="s">
        <v>2206</v>
      </c>
      <c r="B678" s="7" t="s">
        <v>2207</v>
      </c>
      <c r="C678" s="7" t="s">
        <v>2208</v>
      </c>
      <c r="D678" s="6">
        <v>-0.37376785278320301</v>
      </c>
      <c r="E678" s="6">
        <v>2.7360737323761004E-2</v>
      </c>
      <c r="F678" s="6">
        <v>0.71995586156845104</v>
      </c>
      <c r="G678" s="6">
        <v>-0.44475099444389304</v>
      </c>
      <c r="H678" s="6">
        <v>-0.18222773075103801</v>
      </c>
      <c r="I678" s="6">
        <v>-0.38338893651962302</v>
      </c>
      <c r="J678" s="6">
        <v>-0.37960964441299405</v>
      </c>
      <c r="K678" s="6">
        <v>3.7987150251865005E-2</v>
      </c>
      <c r="L678" s="6">
        <v>0.57059425115585305</v>
      </c>
      <c r="M678" s="6">
        <v>-0.79533696174621604</v>
      </c>
      <c r="N678" s="6">
        <v>15.177512595968318</v>
      </c>
      <c r="O678" s="6">
        <v>16.115409385340964</v>
      </c>
      <c r="P678" s="6">
        <v>2.3692461896750658</v>
      </c>
      <c r="Q678" s="6">
        <v>1.8640421440267581</v>
      </c>
      <c r="R678" s="6">
        <v>35.862397295226053</v>
      </c>
      <c r="S678" s="6">
        <v>29.42989636051615</v>
      </c>
      <c r="T678" s="6">
        <v>11.881446838378906</v>
      </c>
      <c r="U678" s="6" t="str">
        <f>_xll.BDP($A678,"TRAILING_12M_R&amp;D_%_SALES",$A$1,$A$2)</f>
        <v>#N/A N/A</v>
      </c>
      <c r="V678" s="6">
        <v>60</v>
      </c>
      <c r="W678" s="6">
        <v>601025</v>
      </c>
      <c r="X678" s="6">
        <v>60102510</v>
      </c>
      <c r="Y678" s="7" t="s">
        <v>307</v>
      </c>
      <c r="Z678" s="7" t="s">
        <v>2209</v>
      </c>
      <c r="AA678" s="7" t="s">
        <v>2209</v>
      </c>
      <c r="AB678" s="6">
        <v>57.257820129394531</v>
      </c>
      <c r="AC678" s="6">
        <v>1.0063237272968171</v>
      </c>
      <c r="AD678" s="6">
        <v>-31.161137131636352</v>
      </c>
      <c r="AE678" s="6">
        <v>2053</v>
      </c>
      <c r="AF678" s="6">
        <v>1530</v>
      </c>
    </row>
    <row r="679" spans="1:32" s="4" customFormat="1" ht="12.75" x14ac:dyDescent="0.2">
      <c r="A679" s="7" t="s">
        <v>2210</v>
      </c>
      <c r="B679" s="7" t="s">
        <v>2211</v>
      </c>
      <c r="C679" s="7" t="s">
        <v>2212</v>
      </c>
      <c r="D679" s="6">
        <v>2.0432882010937001E-2</v>
      </c>
      <c r="E679" s="6">
        <v>2.0811560153961182</v>
      </c>
      <c r="F679" s="6">
        <v>1.364219665527344</v>
      </c>
      <c r="G679" s="6">
        <v>-0.66686427593231201</v>
      </c>
      <c r="H679" s="6">
        <v>1.123330354690552</v>
      </c>
      <c r="I679" s="6">
        <v>0.6797154545784001</v>
      </c>
      <c r="J679" s="6">
        <v>-0.17044769227504702</v>
      </c>
      <c r="K679" s="6">
        <v>-0.735329270362854</v>
      </c>
      <c r="L679" s="6">
        <v>1.624059200286865</v>
      </c>
      <c r="M679" s="6">
        <v>-0.64690130949020408</v>
      </c>
      <c r="N679" s="6">
        <v>4.9522378773646736</v>
      </c>
      <c r="O679" s="6">
        <v>5.0948230790471456</v>
      </c>
      <c r="P679" s="6"/>
      <c r="Q679" s="6"/>
      <c r="R679" s="6">
        <v>17.976909266464162</v>
      </c>
      <c r="S679" s="6">
        <v>17.646988846215109</v>
      </c>
      <c r="T679" s="6"/>
      <c r="U679" s="6" t="str">
        <f>_xll.BDP($A679,"TRAILING_12M_R&amp;D_%_SALES",$A$1,$A$2)</f>
        <v>#N/A N/A</v>
      </c>
      <c r="V679" s="6">
        <v>30</v>
      </c>
      <c r="W679" s="6">
        <v>302030</v>
      </c>
      <c r="X679" s="6">
        <v>30203010</v>
      </c>
      <c r="Y679" s="7" t="s">
        <v>91</v>
      </c>
      <c r="Z679" s="7" t="s">
        <v>1504</v>
      </c>
      <c r="AA679" s="7" t="s">
        <v>1504</v>
      </c>
      <c r="AB679" s="6">
        <v>73.020820617675781</v>
      </c>
      <c r="AC679" s="6">
        <v>0.61973214107084806</v>
      </c>
      <c r="AD679" s="6">
        <v>13.243513388949779</v>
      </c>
      <c r="AE679" s="6">
        <v>69600</v>
      </c>
      <c r="AF679" s="6">
        <v>79500</v>
      </c>
    </row>
    <row r="680" spans="1:32" s="4" customFormat="1" ht="12.75" x14ac:dyDescent="0.2">
      <c r="A680" s="7" t="s">
        <v>2213</v>
      </c>
      <c r="B680" s="7" t="s">
        <v>2214</v>
      </c>
      <c r="C680" s="7" t="s">
        <v>2215</v>
      </c>
      <c r="D680" s="6">
        <v>0.36790788173675504</v>
      </c>
      <c r="E680" s="6">
        <v>-0.79878228902816806</v>
      </c>
      <c r="F680" s="6">
        <v>0.11157140135765101</v>
      </c>
      <c r="G680" s="6">
        <v>-0.36994075775146501</v>
      </c>
      <c r="H680" s="6">
        <v>0.37756741046905501</v>
      </c>
      <c r="I680" s="6">
        <v>-0.48590657114982605</v>
      </c>
      <c r="J680" s="6">
        <v>0.69877660274505604</v>
      </c>
      <c r="K680" s="6">
        <v>-0.38414809107780501</v>
      </c>
      <c r="L680" s="6">
        <v>1.050151586532593</v>
      </c>
      <c r="M680" s="6">
        <v>-1.071869850158691</v>
      </c>
      <c r="N680" s="6">
        <v>3.0465967777638521</v>
      </c>
      <c r="O680" s="6">
        <v>2.7309588817717403</v>
      </c>
      <c r="P680" s="6">
        <v>1.6176798398442012</v>
      </c>
      <c r="Q680" s="6">
        <v>1.4189062527812</v>
      </c>
      <c r="R680" s="6">
        <v>11.151845887090049</v>
      </c>
      <c r="S680" s="6">
        <v>9.8876729430133903</v>
      </c>
      <c r="T680" s="6">
        <v>12.234546661376953</v>
      </c>
      <c r="U680" s="6" t="str">
        <f>_xll.BDP($A680,"TRAILING_12M_R&amp;D_%_SALES",$A$1,$A$2)</f>
        <v>#N/A N/A</v>
      </c>
      <c r="V680" s="6">
        <v>40</v>
      </c>
      <c r="W680" s="6">
        <v>401010</v>
      </c>
      <c r="X680" s="6">
        <v>40101010</v>
      </c>
      <c r="Y680" s="7" t="s">
        <v>53</v>
      </c>
      <c r="Z680" s="7" t="s">
        <v>76</v>
      </c>
      <c r="AA680" s="7" t="s">
        <v>77</v>
      </c>
      <c r="AB680" s="6">
        <v>54.240016937255859</v>
      </c>
      <c r="AC680" s="6">
        <v>0.95940651305984304</v>
      </c>
      <c r="AD680" s="6">
        <v>-18.754604550634312</v>
      </c>
      <c r="AE680" s="6">
        <v>59426</v>
      </c>
      <c r="AF680" s="6">
        <v>52006</v>
      </c>
    </row>
    <row r="681" spans="1:32" s="4" customFormat="1" ht="12.75" x14ac:dyDescent="0.2">
      <c r="A681" s="7" t="s">
        <v>2216</v>
      </c>
      <c r="B681" s="7" t="s">
        <v>2217</v>
      </c>
      <c r="C681" s="7" t="s">
        <v>2218</v>
      </c>
      <c r="D681" s="6">
        <v>1.3036960363388062</v>
      </c>
      <c r="E681" s="6">
        <v>-0.77987885475158703</v>
      </c>
      <c r="F681" s="6">
        <v>2.196918249130249</v>
      </c>
      <c r="G681" s="6">
        <v>-0.45514315366745006</v>
      </c>
      <c r="H681" s="6">
        <v>0.98177522420883212</v>
      </c>
      <c r="I681" s="6">
        <v>0.17530363798141502</v>
      </c>
      <c r="J681" s="6">
        <v>2.2744350433349609</v>
      </c>
      <c r="K681" s="6">
        <v>-0.35480377078056302</v>
      </c>
      <c r="L681" s="6">
        <v>1.823011040687561</v>
      </c>
      <c r="M681" s="6">
        <v>-0.8797831535339361</v>
      </c>
      <c r="N681" s="6">
        <v>0.65476518385049909</v>
      </c>
      <c r="O681" s="6"/>
      <c r="P681" s="6">
        <v>0.99531448820005208</v>
      </c>
      <c r="Q681" s="6"/>
      <c r="R681" s="6">
        <v>8.328794506759424</v>
      </c>
      <c r="S681" s="6"/>
      <c r="T681" s="6">
        <v>13.109203338623047</v>
      </c>
      <c r="U681" s="6" t="str">
        <f>_xll.BDP($A681,"TRAILING_12M_R&amp;D_%_SALES",$A$1,$A$2)</f>
        <v>#N/A N/A</v>
      </c>
      <c r="V681" s="6">
        <v>40</v>
      </c>
      <c r="W681" s="6">
        <v>403010</v>
      </c>
      <c r="X681" s="6">
        <v>40301020</v>
      </c>
      <c r="Y681" s="7" t="s">
        <v>53</v>
      </c>
      <c r="Z681" s="7" t="s">
        <v>54</v>
      </c>
      <c r="AA681" s="7" t="s">
        <v>55</v>
      </c>
      <c r="AB681" s="6">
        <v>57.710491180419922</v>
      </c>
      <c r="AC681" s="6">
        <v>0.76564665110675001</v>
      </c>
      <c r="AD681" s="6">
        <v>-4.1352326488114821</v>
      </c>
      <c r="AE681" s="6">
        <v>355982</v>
      </c>
      <c r="AF681" s="6">
        <v>318588</v>
      </c>
    </row>
    <row r="682" spans="1:32" s="4" customFormat="1" ht="12.75" x14ac:dyDescent="0.2">
      <c r="A682" s="7" t="s">
        <v>2219</v>
      </c>
      <c r="B682" s="7" t="s">
        <v>2220</v>
      </c>
      <c r="C682" s="7" t="s">
        <v>2221</v>
      </c>
      <c r="D682" s="6">
        <v>-0.217855185270309</v>
      </c>
      <c r="E682" s="6">
        <v>-0.67130476236343406</v>
      </c>
      <c r="F682" s="6">
        <v>2.3322634696960449</v>
      </c>
      <c r="G682" s="6">
        <v>-0.53538882732391402</v>
      </c>
      <c r="H682" s="6">
        <v>-0.87782943248748802</v>
      </c>
      <c r="I682" s="6">
        <v>0.54991030693054199</v>
      </c>
      <c r="J682" s="6">
        <v>2.933648824691772</v>
      </c>
      <c r="K682" s="6">
        <v>-0.27978304028511003</v>
      </c>
      <c r="L682" s="6">
        <v>2.3617522716522221</v>
      </c>
      <c r="M682" s="6">
        <v>-0.71030688285827603</v>
      </c>
      <c r="N682" s="6">
        <v>0.33752993876140702</v>
      </c>
      <c r="O682" s="6">
        <v>0.28271845688576402</v>
      </c>
      <c r="P682" s="6">
        <v>0.70415269827767302</v>
      </c>
      <c r="Q682" s="6"/>
      <c r="R682" s="6">
        <v>5.8527765107725855</v>
      </c>
      <c r="S682" s="6"/>
      <c r="T682" s="6">
        <v>12.391790390014648</v>
      </c>
      <c r="U682" s="6" t="str">
        <f>_xll.BDP($A682,"TRAILING_12M_R&amp;D_%_SALES",$A$1,$A$2)</f>
        <v>#N/A N/A</v>
      </c>
      <c r="V682" s="6">
        <v>40</v>
      </c>
      <c r="W682" s="6">
        <v>403010</v>
      </c>
      <c r="X682" s="6">
        <v>40301040</v>
      </c>
      <c r="Y682" s="7" t="s">
        <v>53</v>
      </c>
      <c r="Z682" s="7" t="s">
        <v>54</v>
      </c>
      <c r="AA682" s="7" t="s">
        <v>125</v>
      </c>
      <c r="AB682" s="6">
        <v>51.373100280761719</v>
      </c>
      <c r="AC682" s="6">
        <v>0.315157667335354</v>
      </c>
      <c r="AD682" s="6"/>
      <c r="AE682" s="6">
        <v>171508</v>
      </c>
      <c r="AF682" s="6">
        <v>174545</v>
      </c>
    </row>
    <row r="683" spans="1:32" s="4" customFormat="1" ht="12.75" x14ac:dyDescent="0.2">
      <c r="A683" s="7" t="s">
        <v>2222</v>
      </c>
      <c r="B683" s="7" t="s">
        <v>2223</v>
      </c>
      <c r="C683" s="7" t="s">
        <v>2224</v>
      </c>
      <c r="D683" s="6">
        <v>-0.195940807461739</v>
      </c>
      <c r="E683" s="6">
        <v>-0.68169617652893111</v>
      </c>
      <c r="F683" s="6">
        <v>2.12912917137146</v>
      </c>
      <c r="G683" s="6">
        <v>-0.50255751609802202</v>
      </c>
      <c r="H683" s="6">
        <v>-0.88950824737548806</v>
      </c>
      <c r="I683" s="6">
        <v>0.62418949604034402</v>
      </c>
      <c r="J683" s="6">
        <v>2.932834148406982</v>
      </c>
      <c r="K683" s="6">
        <v>-0.279832363128662</v>
      </c>
      <c r="L683" s="6">
        <v>2.2757470607757568</v>
      </c>
      <c r="M683" s="6">
        <v>-0.71005761623382602</v>
      </c>
      <c r="N683" s="6">
        <v>0.33752993876140702</v>
      </c>
      <c r="O683" s="6"/>
      <c r="P683" s="6">
        <v>0.70415269827767302</v>
      </c>
      <c r="Q683" s="6"/>
      <c r="R683" s="6">
        <v>5.8527765107725855</v>
      </c>
      <c r="S683" s="6"/>
      <c r="T683" s="6">
        <v>12.391790390014648</v>
      </c>
      <c r="U683" s="6" t="str">
        <f>_xll.BDP($A683,"TRAILING_12M_R&amp;D_%_SALES",$A$1,$A$2)</f>
        <v>#N/A N/A</v>
      </c>
      <c r="V683" s="6">
        <v>40</v>
      </c>
      <c r="W683" s="6">
        <v>403010</v>
      </c>
      <c r="X683" s="6">
        <v>40301040</v>
      </c>
      <c r="Y683" s="7" t="s">
        <v>53</v>
      </c>
      <c r="Z683" s="7" t="s">
        <v>54</v>
      </c>
      <c r="AA683" s="7" t="s">
        <v>125</v>
      </c>
      <c r="AB683" s="6">
        <v>51.373100280761719</v>
      </c>
      <c r="AC683" s="6">
        <v>0.54893837949461699</v>
      </c>
      <c r="AD683" s="6">
        <v>19.890219426633536</v>
      </c>
      <c r="AE683" s="6">
        <v>171508</v>
      </c>
      <c r="AF683" s="6">
        <v>174545</v>
      </c>
    </row>
    <row r="684" spans="1:32" s="4" customFormat="1" ht="12.75" x14ac:dyDescent="0.2">
      <c r="A684" s="7" t="s">
        <v>2225</v>
      </c>
      <c r="B684" s="7" t="s">
        <v>2226</v>
      </c>
      <c r="C684" s="7" t="s">
        <v>2227</v>
      </c>
      <c r="D684" s="6">
        <v>-0.82255303859710704</v>
      </c>
      <c r="E684" s="6">
        <v>-0.63513660430908203</v>
      </c>
      <c r="F684" s="6">
        <v>-0.11252015084028201</v>
      </c>
      <c r="G684" s="6">
        <v>-0.19067952036857602</v>
      </c>
      <c r="H684" s="6">
        <v>0.29275125265121504</v>
      </c>
      <c r="I684" s="6">
        <v>-0.264802515506744</v>
      </c>
      <c r="J684" s="6">
        <v>-0.18752594292163802</v>
      </c>
      <c r="K684" s="6">
        <v>-0.68871337175369307</v>
      </c>
      <c r="L684" s="6">
        <v>0.15080864727497101</v>
      </c>
      <c r="M684" s="6">
        <v>-0.56598025560379006</v>
      </c>
      <c r="N684" s="6">
        <v>1.683866691259039</v>
      </c>
      <c r="O684" s="6">
        <v>1.6800415887002971</v>
      </c>
      <c r="P684" s="6">
        <v>4.897637374091425</v>
      </c>
      <c r="Q684" s="6">
        <v>4.3626587863446904</v>
      </c>
      <c r="R684" s="6">
        <v>22.164353725234971</v>
      </c>
      <c r="S684" s="6">
        <v>17.918988677969121</v>
      </c>
      <c r="T684" s="6">
        <v>17.481891632080078</v>
      </c>
      <c r="U684" s="6">
        <f>_xll.BDP($A684,"TRAILING_12M_R&amp;D_%_SALES",$A$1,$A$2)</f>
        <v>2.4757309437647192</v>
      </c>
      <c r="V684" s="6">
        <v>15</v>
      </c>
      <c r="W684" s="6">
        <v>151010</v>
      </c>
      <c r="X684" s="6">
        <v>15101050</v>
      </c>
      <c r="Y684" s="7" t="s">
        <v>38</v>
      </c>
      <c r="Z684" s="7" t="s">
        <v>48</v>
      </c>
      <c r="AA684" s="7" t="s">
        <v>928</v>
      </c>
      <c r="AB684" s="6">
        <v>70.485870361328125</v>
      </c>
      <c r="AC684" s="6">
        <v>1.054958734288318</v>
      </c>
      <c r="AD684" s="6">
        <v>-25.107385811776574</v>
      </c>
      <c r="AE684" s="6">
        <v>49300</v>
      </c>
      <c r="AF684" s="6">
        <v>47000</v>
      </c>
    </row>
    <row r="685" spans="1:32" s="4" customFormat="1" ht="12.75" x14ac:dyDescent="0.2">
      <c r="A685" s="7" t="s">
        <v>2228</v>
      </c>
      <c r="B685" s="7" t="s">
        <v>2229</v>
      </c>
      <c r="C685" s="7" t="s">
        <v>2230</v>
      </c>
      <c r="D685" s="6">
        <v>-0.94924265146255504</v>
      </c>
      <c r="E685" s="6">
        <v>-0.82378429174423207</v>
      </c>
      <c r="F685" s="6">
        <v>-0.32731842994689903</v>
      </c>
      <c r="G685" s="6">
        <v>2.5134436786175003E-2</v>
      </c>
      <c r="H685" s="6">
        <v>0.61418956518173207</v>
      </c>
      <c r="I685" s="6">
        <v>0.35117647051811202</v>
      </c>
      <c r="J685" s="6">
        <v>0.11241375654935801</v>
      </c>
      <c r="K685" s="6">
        <v>-1.18001401424408</v>
      </c>
      <c r="L685" s="6">
        <v>0.66569310426712003</v>
      </c>
      <c r="M685" s="6">
        <v>-0.74575060606002808</v>
      </c>
      <c r="N685" s="6">
        <v>3.0381151729358038</v>
      </c>
      <c r="O685" s="6">
        <v>3.0326114955852561</v>
      </c>
      <c r="P685" s="6">
        <v>1.6209048193570359</v>
      </c>
      <c r="Q685" s="6">
        <v>1.410883086797073</v>
      </c>
      <c r="R685" s="6">
        <v>21.669307165096587</v>
      </c>
      <c r="S685" s="6">
        <v>18.404520055699901</v>
      </c>
      <c r="T685" s="6">
        <v>4.9197030067443848</v>
      </c>
      <c r="U685" s="6" t="str">
        <f>_xll.BDP($A685,"TRAILING_12M_R&amp;D_%_SALES",$A$1,$A$2)</f>
        <v>#N/A N/A</v>
      </c>
      <c r="V685" s="6">
        <v>55</v>
      </c>
      <c r="W685" s="6">
        <v>551010</v>
      </c>
      <c r="X685" s="6">
        <v>55101010</v>
      </c>
      <c r="Y685" s="7" t="s">
        <v>181</v>
      </c>
      <c r="Z685" s="7" t="s">
        <v>186</v>
      </c>
      <c r="AA685" s="7" t="s">
        <v>186</v>
      </c>
      <c r="AB685" s="6">
        <v>65.114173889160156</v>
      </c>
      <c r="AC685" s="6">
        <v>0.72315134715705209</v>
      </c>
      <c r="AD685" s="6">
        <v>0.692683492407276</v>
      </c>
      <c r="AE685" s="6">
        <v>5607</v>
      </c>
      <c r="AF685" s="6">
        <v>12689</v>
      </c>
    </row>
    <row r="686" spans="1:32" s="4" customFormat="1" ht="12.75" x14ac:dyDescent="0.2">
      <c r="A686" s="7" t="s">
        <v>2231</v>
      </c>
      <c r="B686" s="7" t="s">
        <v>2232</v>
      </c>
      <c r="C686" s="7" t="s">
        <v>2233</v>
      </c>
      <c r="D686" s="6">
        <v>-0.38920354843139604</v>
      </c>
      <c r="E686" s="6">
        <v>2.7316076681018001E-2</v>
      </c>
      <c r="F686" s="6">
        <v>1.0585083961486821</v>
      </c>
      <c r="G686" s="6">
        <v>-0.9653601050376891</v>
      </c>
      <c r="H686" s="6">
        <v>-0.22874210774898501</v>
      </c>
      <c r="I686" s="6">
        <v>-0.48635864257812506</v>
      </c>
      <c r="J686" s="6">
        <v>0.17455162107944502</v>
      </c>
      <c r="K686" s="6">
        <v>-0.28546637296676602</v>
      </c>
      <c r="L686" s="6">
        <v>0.50673103332519509</v>
      </c>
      <c r="M686" s="6">
        <v>-0.17740438878536202</v>
      </c>
      <c r="N686" s="6">
        <v>3.0189712813600149</v>
      </c>
      <c r="O686" s="6">
        <v>2.718302104414144</v>
      </c>
      <c r="P686" s="6">
        <v>4.3358660603037524</v>
      </c>
      <c r="Q686" s="6">
        <v>3.3702352696951539</v>
      </c>
      <c r="R686" s="6">
        <v>15.977861371180623</v>
      </c>
      <c r="S686" s="6">
        <v>14.257295238876294</v>
      </c>
      <c r="T686" s="6">
        <v>28.352569580078125</v>
      </c>
      <c r="U686" s="6" t="str">
        <f>_xll.BDP($A686,"TRAILING_12M_R&amp;D_%_SALES",$A$1,$A$2)</f>
        <v>#N/A N/A</v>
      </c>
      <c r="V686" s="6">
        <v>25</v>
      </c>
      <c r="W686" s="6">
        <v>252030</v>
      </c>
      <c r="X686" s="6">
        <v>25203010</v>
      </c>
      <c r="Y686" s="7" t="s">
        <v>108</v>
      </c>
      <c r="Z686" s="7" t="s">
        <v>155</v>
      </c>
      <c r="AA686" s="7" t="s">
        <v>156</v>
      </c>
      <c r="AB686" s="6">
        <v>67.196456909179688</v>
      </c>
      <c r="AC686" s="6">
        <v>0.79878279257234308</v>
      </c>
      <c r="AD686" s="6">
        <v>-35.366790896749876</v>
      </c>
      <c r="AE686" s="6">
        <v>42811</v>
      </c>
      <c r="AF686" s="6">
        <v>40052</v>
      </c>
    </row>
    <row r="687" spans="1:32" s="4" customFormat="1" ht="12.75" x14ac:dyDescent="0.2">
      <c r="A687" s="7" t="s">
        <v>2234</v>
      </c>
      <c r="B687" s="7" t="s">
        <v>2235</v>
      </c>
      <c r="C687" s="7" t="s">
        <v>2236</v>
      </c>
      <c r="D687" s="6">
        <v>-0.38920354843139604</v>
      </c>
      <c r="E687" s="6">
        <v>2.7316076681018001E-2</v>
      </c>
      <c r="F687" s="6">
        <v>1.0585083961486821</v>
      </c>
      <c r="G687" s="6">
        <v>-0.9653601050376891</v>
      </c>
      <c r="H687" s="6">
        <v>-0.22874210774898501</v>
      </c>
      <c r="I687" s="6">
        <v>-0.48635864257812506</v>
      </c>
      <c r="J687" s="6">
        <v>0.17455162107944502</v>
      </c>
      <c r="K687" s="6">
        <v>-0.28546637296676602</v>
      </c>
      <c r="L687" s="6">
        <v>0.50673103332519509</v>
      </c>
      <c r="M687" s="6">
        <v>-0.17740438878536202</v>
      </c>
      <c r="N687" s="6">
        <v>3.0189712813600149</v>
      </c>
      <c r="O687" s="6">
        <v>2.6550121484065881</v>
      </c>
      <c r="P687" s="6">
        <v>4.3358660603037524</v>
      </c>
      <c r="Q687" s="6"/>
      <c r="R687" s="6">
        <v>15.977861371180623</v>
      </c>
      <c r="S687" s="6">
        <v>13.559048286269912</v>
      </c>
      <c r="T687" s="6">
        <v>28.352569580078125</v>
      </c>
      <c r="U687" s="6" t="str">
        <f>_xll.BDP($A687,"TRAILING_12M_R&amp;D_%_SALES",$A$1,$A$2)</f>
        <v>#N/A N/A</v>
      </c>
      <c r="V687" s="6">
        <v>25</v>
      </c>
      <c r="W687" s="6">
        <v>252030</v>
      </c>
      <c r="X687" s="6">
        <v>25203010</v>
      </c>
      <c r="Y687" s="7" t="s">
        <v>108</v>
      </c>
      <c r="Z687" s="7" t="s">
        <v>155</v>
      </c>
      <c r="AA687" s="7" t="s">
        <v>156</v>
      </c>
      <c r="AB687" s="6">
        <v>67.196456909179688</v>
      </c>
      <c r="AC687" s="6">
        <v>1.054038746187056</v>
      </c>
      <c r="AD687" s="6">
        <v>-35.287942068052793</v>
      </c>
      <c r="AE687" s="6">
        <v>42811</v>
      </c>
      <c r="AF687" s="6">
        <v>40052</v>
      </c>
    </row>
    <row r="688" spans="1:32" s="4" customFormat="1" ht="12.75" x14ac:dyDescent="0.2">
      <c r="A688" s="7" t="s">
        <v>2237</v>
      </c>
      <c r="B688" s="7" t="s">
        <v>2238</v>
      </c>
      <c r="C688" s="7" t="s">
        <v>2239</v>
      </c>
      <c r="D688" s="6">
        <v>-0.5611492395401001</v>
      </c>
      <c r="E688" s="6">
        <v>-0.46163806319236805</v>
      </c>
      <c r="F688" s="6">
        <v>-0.37164673209190402</v>
      </c>
      <c r="G688" s="6">
        <v>-0.99161058664321911</v>
      </c>
      <c r="H688" s="6">
        <v>-9.5542632043362011E-2</v>
      </c>
      <c r="I688" s="6">
        <v>5.6049819104370003E-3</v>
      </c>
      <c r="J688" s="6">
        <v>-0.10420869290828701</v>
      </c>
      <c r="K688" s="6">
        <v>-0.66514235734939609</v>
      </c>
      <c r="L688" s="6">
        <v>0.26480081677436801</v>
      </c>
      <c r="M688" s="6">
        <v>-0.75523108243942305</v>
      </c>
      <c r="N688" s="6">
        <v>4.4501382972462782</v>
      </c>
      <c r="O688" s="6"/>
      <c r="P688" s="6">
        <v>2.964608567208272</v>
      </c>
      <c r="Q688" s="6"/>
      <c r="R688" s="6">
        <v>23.893838529200053</v>
      </c>
      <c r="S688" s="6"/>
      <c r="T688" s="6">
        <v>12.980424880981445</v>
      </c>
      <c r="U688" s="6" t="str">
        <f>_xll.BDP($A688,"TRAILING_12M_R&amp;D_%_SALES",$A$1,$A$2)</f>
        <v>#N/A N/A</v>
      </c>
      <c r="V688" s="6">
        <v>30</v>
      </c>
      <c r="W688" s="6">
        <v>302010</v>
      </c>
      <c r="X688" s="6">
        <v>30201020</v>
      </c>
      <c r="Y688" s="7" t="s">
        <v>91</v>
      </c>
      <c r="Z688" s="7" t="s">
        <v>92</v>
      </c>
      <c r="AA688" s="7" t="s">
        <v>2165</v>
      </c>
      <c r="AB688" s="6">
        <v>64.6112060546875</v>
      </c>
      <c r="AC688" s="6">
        <v>0.78492328978943005</v>
      </c>
      <c r="AD688" s="6">
        <v>-16.15104926225197</v>
      </c>
      <c r="AE688" s="6">
        <v>19480</v>
      </c>
      <c r="AF688" s="6">
        <v>18442</v>
      </c>
    </row>
    <row r="689" spans="1:32" s="4" customFormat="1" ht="12.75" x14ac:dyDescent="0.2">
      <c r="A689" s="7" t="s">
        <v>2240</v>
      </c>
      <c r="B689" s="7" t="s">
        <v>2241</v>
      </c>
      <c r="C689" s="7" t="s">
        <v>2242</v>
      </c>
      <c r="D689" s="6">
        <v>0.46504250168800404</v>
      </c>
      <c r="E689" s="6">
        <v>-1.093456625938416</v>
      </c>
      <c r="F689" s="6">
        <v>-6.5504178404808003E-2</v>
      </c>
      <c r="G689" s="6">
        <v>-0.32992616295814503</v>
      </c>
      <c r="H689" s="6">
        <v>4.1283842176199001E-2</v>
      </c>
      <c r="I689" s="6">
        <v>0.24034157395362901</v>
      </c>
      <c r="J689" s="6">
        <v>0.84075981378555309</v>
      </c>
      <c r="K689" s="6">
        <v>-1.5815634727478032</v>
      </c>
      <c r="L689" s="6">
        <v>1.5497640371322632</v>
      </c>
      <c r="M689" s="6">
        <v>-0.97685325145721402</v>
      </c>
      <c r="N689" s="6">
        <v>0.6022353685807661</v>
      </c>
      <c r="O689" s="6">
        <v>0.69055466032038504</v>
      </c>
      <c r="P689" s="6">
        <v>2.224669328754671</v>
      </c>
      <c r="Q689" s="6">
        <v>1.7587523828877849</v>
      </c>
      <c r="R689" s="6">
        <v>6.8780565553955508</v>
      </c>
      <c r="S689" s="6">
        <v>8.4894917105479504</v>
      </c>
      <c r="T689" s="6">
        <v>-1.525724053382874</v>
      </c>
      <c r="U689" s="6" t="str">
        <f>_xll.BDP($A689,"TRAILING_12M_R&amp;D_%_SALES",$A$1,$A$2)</f>
        <v>#N/A N/A</v>
      </c>
      <c r="V689" s="6">
        <v>40</v>
      </c>
      <c r="W689" s="6">
        <v>403010</v>
      </c>
      <c r="X689" s="6">
        <v>40301020</v>
      </c>
      <c r="Y689" s="7" t="s">
        <v>53</v>
      </c>
      <c r="Z689" s="7" t="s">
        <v>54</v>
      </c>
      <c r="AA689" s="7" t="s">
        <v>55</v>
      </c>
      <c r="AB689" s="6">
        <v>54.491500854492188</v>
      </c>
      <c r="AC689" s="6">
        <v>0.94815297948857302</v>
      </c>
      <c r="AD689" s="6">
        <v>-4.2019844304592819</v>
      </c>
      <c r="AE689" s="6">
        <v>40916</v>
      </c>
      <c r="AF689" s="6">
        <v>49739</v>
      </c>
    </row>
    <row r="690" spans="1:32" s="4" customFormat="1" ht="12.75" x14ac:dyDescent="0.2">
      <c r="A690" s="7" t="s">
        <v>2243</v>
      </c>
      <c r="B690" s="7" t="s">
        <v>2244</v>
      </c>
      <c r="C690" s="7" t="s">
        <v>2245</v>
      </c>
      <c r="D690" s="6">
        <v>0.9737245440483091</v>
      </c>
      <c r="E690" s="6">
        <v>-0.84237611293792702</v>
      </c>
      <c r="F690" s="6">
        <v>1.327747106552124</v>
      </c>
      <c r="G690" s="6">
        <v>-0.76107680797576904</v>
      </c>
      <c r="H690" s="6">
        <v>-0.80923634767532304</v>
      </c>
      <c r="I690" s="6">
        <v>-3.9922222495079006E-2</v>
      </c>
      <c r="J690" s="6">
        <v>1.168743371963501</v>
      </c>
      <c r="K690" s="6">
        <v>-0.44136878848075906</v>
      </c>
      <c r="L690" s="6">
        <v>2.0331795215606689</v>
      </c>
      <c r="M690" s="6">
        <v>-0.90239143371582009</v>
      </c>
      <c r="N690" s="6">
        <v>0.77424050413337608</v>
      </c>
      <c r="O690" s="6">
        <v>1.120073640863704</v>
      </c>
      <c r="P690" s="6">
        <v>0.6227187510234341</v>
      </c>
      <c r="Q690" s="6">
        <v>0.54769558279839803</v>
      </c>
      <c r="R690" s="6">
        <v>5.5068414160711416</v>
      </c>
      <c r="S690" s="6">
        <v>4.6917799044950055</v>
      </c>
      <c r="T690" s="6">
        <v>12.014129638671875</v>
      </c>
      <c r="U690" s="6" t="str">
        <f>_xll.BDP($A690,"TRAILING_12M_R&amp;D_%_SALES",$A$1,$A$2)</f>
        <v>#N/A N/A</v>
      </c>
      <c r="V690" s="6">
        <v>40</v>
      </c>
      <c r="W690" s="6">
        <v>401010</v>
      </c>
      <c r="X690" s="6">
        <v>40101010</v>
      </c>
      <c r="Y690" s="7" t="s">
        <v>53</v>
      </c>
      <c r="Z690" s="7" t="s">
        <v>76</v>
      </c>
      <c r="AA690" s="7" t="s">
        <v>77</v>
      </c>
      <c r="AB690" s="6">
        <v>55.376724243164063</v>
      </c>
      <c r="AC690" s="6">
        <v>0.52271525217721804</v>
      </c>
      <c r="AD690" s="6">
        <v>-2.1341611063104171</v>
      </c>
      <c r="AE690" s="6">
        <v>193946</v>
      </c>
      <c r="AF690" s="6">
        <v>169735</v>
      </c>
    </row>
    <row r="691" spans="1:32" s="4" customFormat="1" ht="12.75" x14ac:dyDescent="0.2">
      <c r="A691" s="7" t="s">
        <v>2246</v>
      </c>
      <c r="B691" s="7" t="s">
        <v>2247</v>
      </c>
      <c r="C691" s="7" t="s">
        <v>2248</v>
      </c>
      <c r="D691" s="6">
        <v>0.9737245440483091</v>
      </c>
      <c r="E691" s="6">
        <v>-0.84237611293792702</v>
      </c>
      <c r="F691" s="6">
        <v>1.327747106552124</v>
      </c>
      <c r="G691" s="6">
        <v>-0.76107680797576904</v>
      </c>
      <c r="H691" s="6">
        <v>-0.80923634767532304</v>
      </c>
      <c r="I691" s="6">
        <v>-3.9922222495079006E-2</v>
      </c>
      <c r="J691" s="6">
        <v>1.168743371963501</v>
      </c>
      <c r="K691" s="6">
        <v>-0.44136878848075906</v>
      </c>
      <c r="L691" s="6">
        <v>2.0331795215606689</v>
      </c>
      <c r="M691" s="6">
        <v>-0.90239143371582009</v>
      </c>
      <c r="N691" s="6">
        <v>0.77424050413337608</v>
      </c>
      <c r="O691" s="6"/>
      <c r="P691" s="6">
        <v>0.6227187510234341</v>
      </c>
      <c r="Q691" s="6"/>
      <c r="R691" s="6">
        <v>5.5068414160711416</v>
      </c>
      <c r="S691" s="6"/>
      <c r="T691" s="6">
        <v>12.014129638671875</v>
      </c>
      <c r="U691" s="6" t="str">
        <f>_xll.BDP($A691,"TRAILING_12M_R&amp;D_%_SALES",$A$1,$A$2)</f>
        <v>#N/A N/A</v>
      </c>
      <c r="V691" s="6">
        <v>40</v>
      </c>
      <c r="W691" s="6">
        <v>401010</v>
      </c>
      <c r="X691" s="6">
        <v>40101010</v>
      </c>
      <c r="Y691" s="7" t="s">
        <v>53</v>
      </c>
      <c r="Z691" s="7" t="s">
        <v>76</v>
      </c>
      <c r="AA691" s="7" t="s">
        <v>77</v>
      </c>
      <c r="AB691" s="6">
        <v>55.376724243164063</v>
      </c>
      <c r="AC691" s="6">
        <v>0.38110525882595903</v>
      </c>
      <c r="AD691" s="6">
        <v>-11.078772714117047</v>
      </c>
      <c r="AE691" s="6">
        <v>193946</v>
      </c>
      <c r="AF691" s="6">
        <v>169735</v>
      </c>
    </row>
    <row r="692" spans="1:32" s="4" customFormat="1" ht="12.75" x14ac:dyDescent="0.2">
      <c r="A692" s="7" t="s">
        <v>2249</v>
      </c>
      <c r="B692" s="7" t="s">
        <v>2250</v>
      </c>
      <c r="C692" s="7" t="s">
        <v>2251</v>
      </c>
      <c r="D692" s="6">
        <v>0.16377095878124201</v>
      </c>
      <c r="E692" s="6">
        <v>-0.109324611723423</v>
      </c>
      <c r="F692" s="6">
        <v>-0.36565744876861606</v>
      </c>
      <c r="G692" s="6">
        <v>0.17081731557846103</v>
      </c>
      <c r="H692" s="6">
        <v>-4.1723918169737001E-2</v>
      </c>
      <c r="I692" s="6">
        <v>1.333343505859375</v>
      </c>
      <c r="J692" s="6">
        <v>1.5202722549438481</v>
      </c>
      <c r="K692" s="6">
        <v>-0.36893734335899403</v>
      </c>
      <c r="L692" s="6">
        <v>1.0252795219421389</v>
      </c>
      <c r="M692" s="6">
        <v>1.3055897951126101</v>
      </c>
      <c r="N692" s="6">
        <v>0.29866347075856403</v>
      </c>
      <c r="O692" s="6">
        <v>0.30942548073554704</v>
      </c>
      <c r="P692" s="6">
        <v>1.742342751734332</v>
      </c>
      <c r="Q692" s="6">
        <v>1.511338432901409</v>
      </c>
      <c r="R692" s="6">
        <v>5.5128445479159938</v>
      </c>
      <c r="S692" s="6">
        <v>7.407972975823518</v>
      </c>
      <c r="T692" s="6">
        <v>44.889156341552734</v>
      </c>
      <c r="U692" s="6" t="str">
        <f>_xll.BDP($A692,"TRAILING_12M_R&amp;D_%_SALES",$A$1,$A$2)</f>
        <v>#N/A N/A</v>
      </c>
      <c r="V692" s="6">
        <v>10</v>
      </c>
      <c r="W692" s="6">
        <v>101020</v>
      </c>
      <c r="X692" s="6">
        <v>10102030</v>
      </c>
      <c r="Y692" s="7" t="s">
        <v>505</v>
      </c>
      <c r="Z692" s="7" t="s">
        <v>556</v>
      </c>
      <c r="AA692" s="7" t="s">
        <v>1482</v>
      </c>
      <c r="AB692" s="6">
        <v>65.979278564453125</v>
      </c>
      <c r="AC692" s="6">
        <v>0.78188031610873709</v>
      </c>
      <c r="AD692" s="6">
        <v>49.632531986455163</v>
      </c>
      <c r="AE692" s="6">
        <v>14000</v>
      </c>
      <c r="AF692" s="6">
        <v>14800</v>
      </c>
    </row>
    <row r="693" spans="1:32" s="4" customFormat="1" ht="12.75" x14ac:dyDescent="0.2">
      <c r="A693" s="7" t="s">
        <v>2252</v>
      </c>
      <c r="B693" s="7" t="s">
        <v>2253</v>
      </c>
      <c r="C693" s="7" t="s">
        <v>2254</v>
      </c>
      <c r="D693" s="6">
        <v>-0.96372371912002608</v>
      </c>
      <c r="E693" s="6">
        <v>-1.1609330177307129</v>
      </c>
      <c r="F693" s="6">
        <v>-2.4012845009565003E-2</v>
      </c>
      <c r="G693" s="6">
        <v>-0.94841134548187311</v>
      </c>
      <c r="H693" s="6">
        <v>0.17857092618942302</v>
      </c>
      <c r="I693" s="6">
        <v>0.40582507848739602</v>
      </c>
      <c r="J693" s="6">
        <v>0.46465590596199002</v>
      </c>
      <c r="K693" s="6">
        <v>-0.63944101333618208</v>
      </c>
      <c r="L693" s="6">
        <v>-0.77816373109817505</v>
      </c>
      <c r="M693" s="6">
        <v>-1.016572952270508</v>
      </c>
      <c r="N693" s="6">
        <v>1.6775587796348912</v>
      </c>
      <c r="O693" s="6"/>
      <c r="P693" s="6">
        <v>1.194212290366679</v>
      </c>
      <c r="Q693" s="6"/>
      <c r="R693" s="6">
        <v>13.507849019128948</v>
      </c>
      <c r="S693" s="6"/>
      <c r="T693" s="6">
        <v>7.680232048034668</v>
      </c>
      <c r="U693" s="6" t="str">
        <f>_xll.BDP($A693,"TRAILING_12M_R&amp;D_%_SALES",$A$1,$A$2)</f>
        <v>#N/A N/A</v>
      </c>
      <c r="V693" s="6">
        <v>40</v>
      </c>
      <c r="W693" s="6">
        <v>401010</v>
      </c>
      <c r="X693" s="6">
        <v>40101010</v>
      </c>
      <c r="Y693" s="7" t="s">
        <v>53</v>
      </c>
      <c r="Z693" s="7" t="s">
        <v>76</v>
      </c>
      <c r="AA693" s="7" t="s">
        <v>77</v>
      </c>
      <c r="AB693" s="6">
        <v>47.610904693603516</v>
      </c>
      <c r="AC693" s="6">
        <v>0.7055640801028521</v>
      </c>
      <c r="AD693" s="6"/>
      <c r="AE693" s="6">
        <v>25700</v>
      </c>
      <c r="AF693" s="6">
        <v>25900</v>
      </c>
    </row>
    <row r="694" spans="1:32" s="4" customFormat="1" ht="12.75" x14ac:dyDescent="0.2">
      <c r="A694" s="7" t="s">
        <v>2255</v>
      </c>
      <c r="B694" s="7" t="s">
        <v>2256</v>
      </c>
      <c r="C694" s="7" t="s">
        <v>2257</v>
      </c>
      <c r="D694" s="6">
        <v>-0.96372371912002608</v>
      </c>
      <c r="E694" s="6">
        <v>-1.1609330177307129</v>
      </c>
      <c r="F694" s="6">
        <v>-2.4012845009565003E-2</v>
      </c>
      <c r="G694" s="6">
        <v>-0.94841134548187311</v>
      </c>
      <c r="H694" s="6">
        <v>0.17857092618942302</v>
      </c>
      <c r="I694" s="6">
        <v>0.40582507848739602</v>
      </c>
      <c r="J694" s="6">
        <v>0.46465590596199002</v>
      </c>
      <c r="K694" s="6">
        <v>-0.63944101333618208</v>
      </c>
      <c r="L694" s="6">
        <v>-0.77816373109817505</v>
      </c>
      <c r="M694" s="6">
        <v>-1.016572952270508</v>
      </c>
      <c r="N694" s="6">
        <v>1.6775587796348912</v>
      </c>
      <c r="O694" s="6"/>
      <c r="P694" s="6">
        <v>1.194212290366679</v>
      </c>
      <c r="Q694" s="6"/>
      <c r="R694" s="6">
        <v>13.507849019128948</v>
      </c>
      <c r="S694" s="6"/>
      <c r="T694" s="6">
        <v>7.680232048034668</v>
      </c>
      <c r="U694" s="6" t="str">
        <f>_xll.BDP($A694,"TRAILING_12M_R&amp;D_%_SALES",$A$1,$A$2)</f>
        <v>#N/A N/A</v>
      </c>
      <c r="V694" s="6">
        <v>40</v>
      </c>
      <c r="W694" s="6">
        <v>401010</v>
      </c>
      <c r="X694" s="6">
        <v>40101010</v>
      </c>
      <c r="Y694" s="7" t="s">
        <v>53</v>
      </c>
      <c r="Z694" s="7" t="s">
        <v>76</v>
      </c>
      <c r="AA694" s="7" t="s">
        <v>77</v>
      </c>
      <c r="AB694" s="6">
        <v>47.610904693603516</v>
      </c>
      <c r="AC694" s="6"/>
      <c r="AD694" s="6"/>
      <c r="AE694" s="6">
        <v>25700</v>
      </c>
      <c r="AF694" s="6">
        <v>25900</v>
      </c>
    </row>
    <row r="695" spans="1:32" s="4" customFormat="1" ht="12.75" x14ac:dyDescent="0.2">
      <c r="A695" s="7" t="s">
        <v>2258</v>
      </c>
      <c r="B695" s="7" t="s">
        <v>2259</v>
      </c>
      <c r="C695" s="7" t="s">
        <v>2260</v>
      </c>
      <c r="D695" s="6">
        <v>-0.9157163500785831</v>
      </c>
      <c r="E695" s="6">
        <v>0.29124078154563904</v>
      </c>
      <c r="F695" s="6">
        <v>1.0441795587539671</v>
      </c>
      <c r="G695" s="6">
        <v>-0.76295983791351307</v>
      </c>
      <c r="H695" s="6">
        <v>-6.5978534519672005E-2</v>
      </c>
      <c r="I695" s="6">
        <v>0.56329870223999001</v>
      </c>
      <c r="J695" s="6">
        <v>0.78868633508682306</v>
      </c>
      <c r="K695" s="6">
        <v>-0.70908600091934204</v>
      </c>
      <c r="L695" s="6">
        <v>0.87605911493301403</v>
      </c>
      <c r="M695" s="6">
        <v>-0.88940435647964511</v>
      </c>
      <c r="N695" s="6">
        <v>1.164493255863903</v>
      </c>
      <c r="O695" s="6">
        <v>1.184729750617648</v>
      </c>
      <c r="P695" s="6">
        <v>1.584566812123303</v>
      </c>
      <c r="Q695" s="6">
        <v>1.4786497842304891</v>
      </c>
      <c r="R695" s="6">
        <v>12.942913681065273</v>
      </c>
      <c r="S695" s="6">
        <v>9.4339904701485278</v>
      </c>
      <c r="T695" s="6">
        <v>13.526228904724121</v>
      </c>
      <c r="U695" s="6" t="str">
        <f>_xll.BDP($A695,"TRAILING_12M_R&amp;D_%_SALES",$A$1,$A$2)</f>
        <v>#N/A N/A</v>
      </c>
      <c r="V695" s="6">
        <v>50</v>
      </c>
      <c r="W695" s="6">
        <v>502010</v>
      </c>
      <c r="X695" s="6">
        <v>50201010</v>
      </c>
      <c r="Y695" s="7" t="s">
        <v>367</v>
      </c>
      <c r="Z695" s="7" t="s">
        <v>701</v>
      </c>
      <c r="AA695" s="7" t="s">
        <v>2187</v>
      </c>
      <c r="AB695" s="6">
        <v>59.259632110595703</v>
      </c>
      <c r="AC695" s="6">
        <v>0.92204910746890112</v>
      </c>
      <c r="AD695" s="6">
        <v>-1.4201424946817751</v>
      </c>
      <c r="AE695" s="6">
        <v>88531</v>
      </c>
      <c r="AF695" s="6">
        <v>78913</v>
      </c>
    </row>
    <row r="696" spans="1:32" s="4" customFormat="1" ht="12.75" x14ac:dyDescent="0.2">
      <c r="A696" s="7" t="s">
        <v>2261</v>
      </c>
      <c r="B696" s="7" t="s">
        <v>2262</v>
      </c>
      <c r="C696" s="7" t="s">
        <v>2263</v>
      </c>
      <c r="D696" s="6">
        <v>-0.65243905782699607</v>
      </c>
      <c r="E696" s="6">
        <v>-0.94772416353225708</v>
      </c>
      <c r="F696" s="6">
        <v>-0.48206359148025502</v>
      </c>
      <c r="G696" s="6">
        <v>-0.96472543478012107</v>
      </c>
      <c r="H696" s="6">
        <v>-0.87911903858184803</v>
      </c>
      <c r="I696" s="6">
        <v>-0.24330081045627602</v>
      </c>
      <c r="J696" s="6">
        <v>-9.6709378063679005E-2</v>
      </c>
      <c r="K696" s="6">
        <v>-0.37676927447319003</v>
      </c>
      <c r="L696" s="6">
        <v>-0.220858365297318</v>
      </c>
      <c r="M696" s="6">
        <v>-0.90504181385040305</v>
      </c>
      <c r="N696" s="6">
        <v>16.478685170261141</v>
      </c>
      <c r="O696" s="6">
        <v>1.1192216937679971</v>
      </c>
      <c r="P696" s="6">
        <v>2.328016161074276</v>
      </c>
      <c r="Q696" s="6">
        <v>1.8953226313200671</v>
      </c>
      <c r="R696" s="6">
        <v>26.075168896286048</v>
      </c>
      <c r="S696" s="6">
        <v>11.955531364777958</v>
      </c>
      <c r="T696" s="6">
        <v>13.02243709564209</v>
      </c>
      <c r="U696" s="6" t="str">
        <f>_xll.BDP($A696,"TRAILING_12M_R&amp;D_%_SALES",$A$1,$A$2)</f>
        <v>#N/A N/A</v>
      </c>
      <c r="V696" s="6">
        <v>40</v>
      </c>
      <c r="W696" s="6">
        <v>403010</v>
      </c>
      <c r="X696" s="6">
        <v>40301020</v>
      </c>
      <c r="Y696" s="7" t="s">
        <v>53</v>
      </c>
      <c r="Z696" s="7" t="s">
        <v>54</v>
      </c>
      <c r="AA696" s="7" t="s">
        <v>55</v>
      </c>
      <c r="AB696" s="6">
        <v>61.754352569580078</v>
      </c>
      <c r="AC696" s="6">
        <v>1.1001560666630281</v>
      </c>
      <c r="AD696" s="6">
        <v>-18.944734655097651</v>
      </c>
      <c r="AE696" s="6">
        <v>14486</v>
      </c>
      <c r="AF696" s="6">
        <v>23673</v>
      </c>
    </row>
    <row r="697" spans="1:32" s="4" customFormat="1" ht="12.75" x14ac:dyDescent="0.2">
      <c r="A697" s="7" t="s">
        <v>2264</v>
      </c>
      <c r="B697" s="7" t="s">
        <v>2265</v>
      </c>
      <c r="C697" s="7" t="s">
        <v>2266</v>
      </c>
      <c r="D697" s="6">
        <v>-0.65243905782699607</v>
      </c>
      <c r="E697" s="6">
        <v>-0.94772416353225708</v>
      </c>
      <c r="F697" s="6">
        <v>-0.48206359148025502</v>
      </c>
      <c r="G697" s="6">
        <v>-0.96472543478012107</v>
      </c>
      <c r="H697" s="6">
        <v>-0.87911903858184803</v>
      </c>
      <c r="I697" s="6">
        <v>-0.24330081045627602</v>
      </c>
      <c r="J697" s="6">
        <v>-9.6709378063679005E-2</v>
      </c>
      <c r="K697" s="6">
        <v>-0.37676927447319003</v>
      </c>
      <c r="L697" s="6">
        <v>-0.220858365297318</v>
      </c>
      <c r="M697" s="6">
        <v>-0.90504181385040305</v>
      </c>
      <c r="N697" s="6">
        <v>16.478685170261141</v>
      </c>
      <c r="O697" s="6">
        <v>1.1387714865603531</v>
      </c>
      <c r="P697" s="6">
        <v>2.328016161074276</v>
      </c>
      <c r="Q697" s="6">
        <v>1.9284260306341721</v>
      </c>
      <c r="R697" s="6">
        <v>26.075168896286048</v>
      </c>
      <c r="S697" s="6">
        <v>12.16436144066393</v>
      </c>
      <c r="T697" s="6">
        <v>13.02243709564209</v>
      </c>
      <c r="U697" s="6" t="str">
        <f>_xll.BDP($A697,"TRAILING_12M_R&amp;D_%_SALES",$A$1,$A$2)</f>
        <v>#N/A N/A</v>
      </c>
      <c r="V697" s="6">
        <v>40</v>
      </c>
      <c r="W697" s="6">
        <v>403010</v>
      </c>
      <c r="X697" s="6">
        <v>40301020</v>
      </c>
      <c r="Y697" s="7" t="s">
        <v>53</v>
      </c>
      <c r="Z697" s="7" t="s">
        <v>54</v>
      </c>
      <c r="AA697" s="7" t="s">
        <v>55</v>
      </c>
      <c r="AB697" s="6">
        <v>61.754352569580078</v>
      </c>
      <c r="AC697" s="6">
        <v>0.98099755654000109</v>
      </c>
      <c r="AD697" s="6">
        <v>-18.248882990844084</v>
      </c>
      <c r="AE697" s="6">
        <v>14486</v>
      </c>
      <c r="AF697" s="6">
        <v>23673</v>
      </c>
    </row>
    <row r="698" spans="1:32" s="4" customFormat="1" ht="12.75" x14ac:dyDescent="0.2">
      <c r="A698" s="7" t="s">
        <v>2267</v>
      </c>
      <c r="B698" s="7" t="s">
        <v>2268</v>
      </c>
      <c r="C698" s="7" t="s">
        <v>2269</v>
      </c>
      <c r="D698" s="6">
        <v>-0.12736359238624601</v>
      </c>
      <c r="E698" s="6">
        <v>-0.77639353275299106</v>
      </c>
      <c r="F698" s="6">
        <v>-1.446504950523376</v>
      </c>
      <c r="G698" s="6">
        <v>-0.94961696863174405</v>
      </c>
      <c r="H698" s="6">
        <v>0.64034336805343606</v>
      </c>
      <c r="I698" s="6">
        <v>6.1084102839231005E-2</v>
      </c>
      <c r="J698" s="6">
        <v>1.922221183776855</v>
      </c>
      <c r="K698" s="6">
        <v>-0.96772915124893211</v>
      </c>
      <c r="L698" s="6">
        <v>1.923768162727356</v>
      </c>
      <c r="M698" s="6">
        <v>-0.69222700595855702</v>
      </c>
      <c r="N698" s="6">
        <v>0.29142634859514704</v>
      </c>
      <c r="O698" s="6"/>
      <c r="P698" s="6">
        <v>0.8833827373500851</v>
      </c>
      <c r="Q698" s="6"/>
      <c r="R698" s="6">
        <v>9.4103782368846591</v>
      </c>
      <c r="S698" s="6"/>
      <c r="T698" s="6">
        <v>9.8391819000244141</v>
      </c>
      <c r="U698" s="6">
        <f>_xll.BDP($A698,"TRAILING_12M_R&amp;D_%_SALES",$A$1,$A$2)</f>
        <v>0</v>
      </c>
      <c r="V698" s="6">
        <v>10</v>
      </c>
      <c r="W698" s="6">
        <v>101020</v>
      </c>
      <c r="X698" s="6">
        <v>10102010</v>
      </c>
      <c r="Y698" s="7" t="s">
        <v>505</v>
      </c>
      <c r="Z698" s="7" t="s">
        <v>556</v>
      </c>
      <c r="AA698" s="7" t="s">
        <v>557</v>
      </c>
      <c r="AB698" s="6">
        <v>72.970527648925781</v>
      </c>
      <c r="AC698" s="6">
        <v>0.30878555927030105</v>
      </c>
      <c r="AD698" s="6"/>
      <c r="AE698" s="6"/>
      <c r="AF698" s="6"/>
    </row>
    <row r="699" spans="1:32" s="4" customFormat="1" ht="12.75" x14ac:dyDescent="0.2">
      <c r="A699" s="7" t="s">
        <v>2270</v>
      </c>
      <c r="B699" s="7" t="s">
        <v>2271</v>
      </c>
      <c r="C699" s="7" t="s">
        <v>2272</v>
      </c>
      <c r="D699" s="6">
        <v>-0.14481455087661702</v>
      </c>
      <c r="E699" s="6">
        <v>-0.79371482133865401</v>
      </c>
      <c r="F699" s="6">
        <v>-1.4598228931427</v>
      </c>
      <c r="G699" s="6">
        <v>-0.95018005371093806</v>
      </c>
      <c r="H699" s="6">
        <v>0.67132711410522505</v>
      </c>
      <c r="I699" s="6">
        <v>-5.4711196571589002E-2</v>
      </c>
      <c r="J699" s="6">
        <v>2.065683126449585</v>
      </c>
      <c r="K699" s="6">
        <v>-0.97414165735244806</v>
      </c>
      <c r="L699" s="6">
        <v>1.977294921875</v>
      </c>
      <c r="M699" s="6">
        <v>-0.605327248573303</v>
      </c>
      <c r="N699" s="6">
        <v>0.29142634859514704</v>
      </c>
      <c r="O699" s="6"/>
      <c r="P699" s="6">
        <v>0.8833827373500851</v>
      </c>
      <c r="Q699" s="6"/>
      <c r="R699" s="6">
        <v>9.4103782368846591</v>
      </c>
      <c r="S699" s="6"/>
      <c r="T699" s="6">
        <v>9.8391819000244141</v>
      </c>
      <c r="U699" s="6">
        <f>_xll.BDP($A699,"TRAILING_12M_R&amp;D_%_SALES",$A$1,$A$2)</f>
        <v>0</v>
      </c>
      <c r="V699" s="6">
        <v>10</v>
      </c>
      <c r="W699" s="6">
        <v>101020</v>
      </c>
      <c r="X699" s="6">
        <v>10102010</v>
      </c>
      <c r="Y699" s="7" t="s">
        <v>505</v>
      </c>
      <c r="Z699" s="7" t="s">
        <v>556</v>
      </c>
      <c r="AA699" s="7" t="s">
        <v>557</v>
      </c>
      <c r="AB699" s="6">
        <v>72.970527648925781</v>
      </c>
      <c r="AC699" s="6">
        <v>0.24520368949282703</v>
      </c>
      <c r="AD699" s="6"/>
      <c r="AE699" s="6"/>
      <c r="AF699" s="6"/>
    </row>
    <row r="700" spans="1:32" s="4" customFormat="1" ht="12.75" x14ac:dyDescent="0.2">
      <c r="A700" s="7" t="s">
        <v>2273</v>
      </c>
      <c r="B700" s="7" t="s">
        <v>2274</v>
      </c>
      <c r="C700" s="7" t="s">
        <v>2275</v>
      </c>
      <c r="D700" s="6">
        <v>3.3243335783482E-2</v>
      </c>
      <c r="E700" s="6">
        <v>-0.78262722492218006</v>
      </c>
      <c r="F700" s="6">
        <v>-0.45600679516792303</v>
      </c>
      <c r="G700" s="6">
        <v>-0.27159380912780801</v>
      </c>
      <c r="H700" s="6">
        <v>-4.3037787079811006E-2</v>
      </c>
      <c r="I700" s="6">
        <v>-0.29674199223518405</v>
      </c>
      <c r="J700" s="6">
        <v>2.12482738494873</v>
      </c>
      <c r="K700" s="6">
        <v>-0.51078766584396407</v>
      </c>
      <c r="L700" s="6">
        <v>2.1776983737945561</v>
      </c>
      <c r="M700" s="6">
        <v>-1.027679920196533</v>
      </c>
      <c r="N700" s="6">
        <v>0.41319912864445901</v>
      </c>
      <c r="O700" s="6">
        <v>0.28875142252108604</v>
      </c>
      <c r="P700" s="6">
        <v>0.95350740270481205</v>
      </c>
      <c r="Q700" s="6">
        <v>0.51427079627940109</v>
      </c>
      <c r="R700" s="6">
        <v>13.337861937737614</v>
      </c>
      <c r="S700" s="6">
        <v>8.162089616344268</v>
      </c>
      <c r="T700" s="6">
        <v>11.071429252624512</v>
      </c>
      <c r="U700" s="6" t="str">
        <f>_xll.BDP($A700,"TRAILING_12M_R&amp;D_%_SALES",$A$1,$A$2)</f>
        <v>#N/A N/A</v>
      </c>
      <c r="V700" s="6">
        <v>40</v>
      </c>
      <c r="W700" s="6">
        <v>403010</v>
      </c>
      <c r="X700" s="6">
        <v>40301020</v>
      </c>
      <c r="Y700" s="7" t="s">
        <v>53</v>
      </c>
      <c r="Z700" s="7" t="s">
        <v>54</v>
      </c>
      <c r="AA700" s="7" t="s">
        <v>55</v>
      </c>
      <c r="AB700" s="6">
        <v>54.069007873535156</v>
      </c>
      <c r="AC700" s="6">
        <v>0.78787504852218404</v>
      </c>
      <c r="AD700" s="6">
        <v>-24.437046210250347</v>
      </c>
      <c r="AE700" s="6">
        <v>33700</v>
      </c>
      <c r="AF700" s="6"/>
    </row>
    <row r="701" spans="1:32" s="4" customFormat="1" ht="12.75" x14ac:dyDescent="0.2">
      <c r="A701" s="7" t="s">
        <v>2276</v>
      </c>
      <c r="B701" s="7" t="s">
        <v>2277</v>
      </c>
      <c r="C701" s="7" t="s">
        <v>2278</v>
      </c>
      <c r="D701" s="6">
        <v>-0.42432349920272805</v>
      </c>
      <c r="E701" s="6">
        <v>0.29444831609726002</v>
      </c>
      <c r="F701" s="6">
        <v>-1.0187205076217649</v>
      </c>
      <c r="G701" s="6">
        <v>0.62891900539398204</v>
      </c>
      <c r="H701" s="6">
        <v>-0.82316714525222812</v>
      </c>
      <c r="I701" s="6">
        <v>1.1428289413452151</v>
      </c>
      <c r="J701" s="6">
        <v>1.1592003107070921</v>
      </c>
      <c r="K701" s="6">
        <v>0.45189389586448703</v>
      </c>
      <c r="L701" s="6">
        <v>3.00003981590271</v>
      </c>
      <c r="M701" s="6">
        <v>2.54918384552002</v>
      </c>
      <c r="N701" s="6">
        <v>2.3723240037521443</v>
      </c>
      <c r="O701" s="6">
        <v>3.5659237615982531</v>
      </c>
      <c r="P701" s="6">
        <v>2.3659647012425138</v>
      </c>
      <c r="Q701" s="6">
        <v>2.1550411849858828</v>
      </c>
      <c r="R701" s="6">
        <v>7.8305765250677384</v>
      </c>
      <c r="S701" s="6">
        <v>8.8444437863156793</v>
      </c>
      <c r="T701" s="6">
        <v>30.817909240722656</v>
      </c>
      <c r="U701" s="6">
        <f>_xll.BDP($A701,"TRAILING_12M_R&amp;D_%_SALES",$A$1,$A$2)</f>
        <v>0</v>
      </c>
      <c r="V701" s="6">
        <v>10</v>
      </c>
      <c r="W701" s="6">
        <v>101020</v>
      </c>
      <c r="X701" s="6">
        <v>10102020</v>
      </c>
      <c r="Y701" s="7" t="s">
        <v>505</v>
      </c>
      <c r="Z701" s="7" t="s">
        <v>556</v>
      </c>
      <c r="AA701" s="7" t="s">
        <v>776</v>
      </c>
      <c r="AB701" s="6">
        <v>65.043754577636719</v>
      </c>
      <c r="AC701" s="6">
        <v>0.75443278121535506</v>
      </c>
      <c r="AD701" s="6">
        <v>39.326790171872261</v>
      </c>
      <c r="AE701" s="6">
        <v>1932</v>
      </c>
      <c r="AF701" s="6">
        <v>3604</v>
      </c>
    </row>
    <row r="702" spans="1:32" s="4" customFormat="1" ht="12.75" x14ac:dyDescent="0.2">
      <c r="A702" s="7" t="s">
        <v>2279</v>
      </c>
      <c r="B702" s="7" t="s">
        <v>2280</v>
      </c>
      <c r="C702" s="7" t="s">
        <v>2281</v>
      </c>
      <c r="D702" s="6">
        <v>-6.660436838865301E-2</v>
      </c>
      <c r="E702" s="6">
        <v>-0.72785967588424705</v>
      </c>
      <c r="F702" s="6">
        <v>0.48800671100616505</v>
      </c>
      <c r="G702" s="6">
        <v>1.070321917533875</v>
      </c>
      <c r="H702" s="6">
        <v>-0.45192623138427701</v>
      </c>
      <c r="I702" s="6">
        <v>-2.1355609893798828</v>
      </c>
      <c r="J702" s="6">
        <v>-3.0384937301278003E-2</v>
      </c>
      <c r="K702" s="6">
        <v>-1.2315019033849002E-2</v>
      </c>
      <c r="L702" s="6">
        <v>-0.81727248430252109</v>
      </c>
      <c r="M702" s="6">
        <v>-0.65439379215240501</v>
      </c>
      <c r="N702" s="6">
        <v>3.059034137360368</v>
      </c>
      <c r="O702" s="6">
        <v>2.7005260981014079</v>
      </c>
      <c r="P702" s="6">
        <v>4.0312543791822879</v>
      </c>
      <c r="Q702" s="6">
        <v>3.3267214732723782</v>
      </c>
      <c r="R702" s="6">
        <v>26.150991146097624</v>
      </c>
      <c r="S702" s="6">
        <v>14.927668588292553</v>
      </c>
      <c r="T702" s="6">
        <v>10.856117248535156</v>
      </c>
      <c r="U702" s="6">
        <f>_xll.BDP($A702,"TRAILING_12M_R&amp;D_%_SALES",$A$1,$A$2)</f>
        <v>9.3688083781488825</v>
      </c>
      <c r="V702" s="6">
        <v>40</v>
      </c>
      <c r="W702" s="6">
        <v>402010</v>
      </c>
      <c r="X702" s="6">
        <v>40201060</v>
      </c>
      <c r="Y702" s="7" t="s">
        <v>53</v>
      </c>
      <c r="Z702" s="7" t="s">
        <v>344</v>
      </c>
      <c r="AA702" s="7" t="s">
        <v>579</v>
      </c>
      <c r="AB702" s="6">
        <v>53.244140625</v>
      </c>
      <c r="AC702" s="6">
        <v>1.40916650184101</v>
      </c>
      <c r="AD702" s="6">
        <v>-62.883052215784787</v>
      </c>
      <c r="AE702" s="6">
        <v>30900</v>
      </c>
      <c r="AF702" s="6">
        <v>18100</v>
      </c>
    </row>
    <row r="703" spans="1:32" s="4" customFormat="1" ht="12.75" x14ac:dyDescent="0.2">
      <c r="A703" s="7" t="s">
        <v>2282</v>
      </c>
      <c r="B703" s="7" t="s">
        <v>2283</v>
      </c>
      <c r="C703" s="7" t="s">
        <v>2284</v>
      </c>
      <c r="D703" s="6">
        <v>-0.89287000894546509</v>
      </c>
      <c r="E703" s="6">
        <v>-0.97975265979766812</v>
      </c>
      <c r="F703" s="6">
        <v>0.54579150676727306</v>
      </c>
      <c r="G703" s="6">
        <v>-0.65478318929672208</v>
      </c>
      <c r="H703" s="6">
        <v>-0.58226555585861206</v>
      </c>
      <c r="I703" s="6">
        <v>0.48858347535133406</v>
      </c>
      <c r="J703" s="6">
        <v>0.78343856334686302</v>
      </c>
      <c r="K703" s="6">
        <v>-0.34861946105957003</v>
      </c>
      <c r="L703" s="6">
        <v>0.20091693103313402</v>
      </c>
      <c r="M703" s="6">
        <v>-0.69313538074493408</v>
      </c>
      <c r="N703" s="6">
        <v>1.050153822246191</v>
      </c>
      <c r="O703" s="6">
        <v>0.89847966155860404</v>
      </c>
      <c r="P703" s="6">
        <v>1.5955347564550442</v>
      </c>
      <c r="Q703" s="6">
        <v>1.432282382614217</v>
      </c>
      <c r="R703" s="6">
        <v>31.097340546096095</v>
      </c>
      <c r="S703" s="6">
        <v>9.014802934330687</v>
      </c>
      <c r="T703" s="6">
        <v>5.3022880554199219</v>
      </c>
      <c r="U703" s="6" t="str">
        <f>_xll.BDP($A703,"TRAILING_12M_R&amp;D_%_SALES",$A$1,$A$2)</f>
        <v>#N/A N/A</v>
      </c>
      <c r="V703" s="6">
        <v>40</v>
      </c>
      <c r="W703" s="6">
        <v>403010</v>
      </c>
      <c r="X703" s="6">
        <v>40301040</v>
      </c>
      <c r="Y703" s="7" t="s">
        <v>53</v>
      </c>
      <c r="Z703" s="7" t="s">
        <v>54</v>
      </c>
      <c r="AA703" s="7" t="s">
        <v>125</v>
      </c>
      <c r="AB703" s="6">
        <v>51.876068115234375</v>
      </c>
      <c r="AC703" s="6">
        <v>0.35110344573258301</v>
      </c>
      <c r="AD703" s="6">
        <v>15.091536666228089</v>
      </c>
      <c r="AE703" s="6">
        <v>11651</v>
      </c>
      <c r="AF703" s="6">
        <v>14226</v>
      </c>
    </row>
    <row r="704" spans="1:32" s="4" customFormat="1" ht="12.75" x14ac:dyDescent="0.2">
      <c r="A704" s="7" t="s">
        <v>2285</v>
      </c>
      <c r="B704" s="7" t="s">
        <v>2286</v>
      </c>
      <c r="C704" s="7" t="s">
        <v>2287</v>
      </c>
      <c r="D704" s="6">
        <v>-0.89287000894546509</v>
      </c>
      <c r="E704" s="6">
        <v>-0.97975265979766812</v>
      </c>
      <c r="F704" s="6">
        <v>0.54579150676727306</v>
      </c>
      <c r="G704" s="6">
        <v>-0.65478318929672208</v>
      </c>
      <c r="H704" s="6">
        <v>-0.58226555585861206</v>
      </c>
      <c r="I704" s="6">
        <v>0.48858347535133406</v>
      </c>
      <c r="J704" s="6">
        <v>0.78343856334686302</v>
      </c>
      <c r="K704" s="6">
        <v>-0.34861946105957003</v>
      </c>
      <c r="L704" s="6">
        <v>0.20091693103313402</v>
      </c>
      <c r="M704" s="6">
        <v>-0.69313538074493408</v>
      </c>
      <c r="N704" s="6">
        <v>1.050153822246191</v>
      </c>
      <c r="O704" s="6"/>
      <c r="P704" s="6">
        <v>1.5955347564550442</v>
      </c>
      <c r="Q704" s="6"/>
      <c r="R704" s="6">
        <v>31.097340546096095</v>
      </c>
      <c r="S704" s="6"/>
      <c r="T704" s="6">
        <v>5.3022880554199219</v>
      </c>
      <c r="U704" s="6" t="str">
        <f>_xll.BDP($A704,"TRAILING_12M_R&amp;D_%_SALES",$A$1,$A$2)</f>
        <v>#N/A N/A</v>
      </c>
      <c r="V704" s="6">
        <v>40</v>
      </c>
      <c r="W704" s="6">
        <v>403010</v>
      </c>
      <c r="X704" s="6">
        <v>40301040</v>
      </c>
      <c r="Y704" s="7" t="s">
        <v>53</v>
      </c>
      <c r="Z704" s="7" t="s">
        <v>54</v>
      </c>
      <c r="AA704" s="7" t="s">
        <v>125</v>
      </c>
      <c r="AB704" s="6">
        <v>51.876068115234375</v>
      </c>
      <c r="AC704" s="6">
        <v>0.82921300724121305</v>
      </c>
      <c r="AD704" s="6">
        <v>10.008914653247825</v>
      </c>
      <c r="AE704" s="6">
        <v>11651</v>
      </c>
      <c r="AF704" s="6">
        <v>14226</v>
      </c>
    </row>
    <row r="705" spans="1:32" s="4" customFormat="1" ht="12.75" x14ac:dyDescent="0.2">
      <c r="A705" s="7" t="s">
        <v>2288</v>
      </c>
      <c r="B705" s="7" t="s">
        <v>2289</v>
      </c>
      <c r="C705" s="7" t="s">
        <v>2290</v>
      </c>
      <c r="D705" s="6">
        <v>5.6035246700048003E-2</v>
      </c>
      <c r="E705" s="6">
        <v>1.390776991844177</v>
      </c>
      <c r="F705" s="6">
        <v>-0.30466595292091403</v>
      </c>
      <c r="G705" s="6">
        <v>0.25508069992065402</v>
      </c>
      <c r="H705" s="6">
        <v>-0.11055520176887501</v>
      </c>
      <c r="I705" s="6">
        <v>-0.68389868736267101</v>
      </c>
      <c r="J705" s="6">
        <v>0.41880616545677202</v>
      </c>
      <c r="K705" s="6">
        <v>1.619126677513123</v>
      </c>
      <c r="L705" s="6">
        <v>0.54318708181381203</v>
      </c>
      <c r="M705" s="6">
        <v>1.607382655143738</v>
      </c>
      <c r="N705" s="6">
        <v>2.7938071462875893</v>
      </c>
      <c r="O705" s="6">
        <v>2.9455269989082482</v>
      </c>
      <c r="P705" s="6">
        <v>6.841877397214664</v>
      </c>
      <c r="Q705" s="6">
        <v>5.1099005883674424</v>
      </c>
      <c r="R705" s="6">
        <v>8.9980933958735339</v>
      </c>
      <c r="S705" s="6">
        <v>10.194319944123647</v>
      </c>
      <c r="T705" s="6">
        <v>92.522262573242188</v>
      </c>
      <c r="U705" s="6">
        <f>_xll.BDP($A705,"TRAILING_12M_R&amp;D_%_SALES",$A$1,$A$2)</f>
        <v>22.182086251382234</v>
      </c>
      <c r="V705" s="6">
        <v>45</v>
      </c>
      <c r="W705" s="6">
        <v>453010</v>
      </c>
      <c r="X705" s="6">
        <v>45301020</v>
      </c>
      <c r="Y705" s="7" t="s">
        <v>66</v>
      </c>
      <c r="Z705" s="7" t="s">
        <v>163</v>
      </c>
      <c r="AA705" s="7" t="s">
        <v>164</v>
      </c>
      <c r="AB705" s="6">
        <v>69.65093994140625</v>
      </c>
      <c r="AC705" s="6">
        <v>1.3460883022138019</v>
      </c>
      <c r="AD705" s="6">
        <v>-38.562946429485038</v>
      </c>
      <c r="AE705" s="6">
        <v>51000</v>
      </c>
      <c r="AF705" s="6">
        <v>33800</v>
      </c>
    </row>
    <row r="706" spans="1:32" s="4" customFormat="1" ht="12.75" x14ac:dyDescent="0.2">
      <c r="A706" s="7" t="s">
        <v>2291</v>
      </c>
      <c r="B706" s="7" t="s">
        <v>2292</v>
      </c>
      <c r="C706" s="7" t="s">
        <v>2293</v>
      </c>
      <c r="D706" s="6">
        <v>-0.99001717567443803</v>
      </c>
      <c r="E706" s="6">
        <v>-0.689941346645355</v>
      </c>
      <c r="F706" s="6">
        <v>-0.28824469447135903</v>
      </c>
      <c r="G706" s="6">
        <v>-0.92148882150650002</v>
      </c>
      <c r="H706" s="6">
        <v>-0.81329554319381703</v>
      </c>
      <c r="I706" s="6">
        <v>9.5196299254894007E-2</v>
      </c>
      <c r="J706" s="6">
        <v>0.88222086429595903</v>
      </c>
      <c r="K706" s="6">
        <v>-0.153154492378235</v>
      </c>
      <c r="L706" s="6">
        <v>3.000017404556274</v>
      </c>
      <c r="M706" s="6">
        <v>-0.149664416909218</v>
      </c>
      <c r="N706" s="6">
        <v>0.21553819100513202</v>
      </c>
      <c r="O706" s="6"/>
      <c r="P706" s="6">
        <v>1.700034246434039</v>
      </c>
      <c r="Q706" s="6"/>
      <c r="R706" s="6">
        <v>9.5279464898537363</v>
      </c>
      <c r="S706" s="6"/>
      <c r="T706" s="6">
        <v>18.66069221496582</v>
      </c>
      <c r="U706" s="6">
        <f>_xll.BDP($A706,"TRAILING_12M_R&amp;D_%_SALES",$A$1,$A$2)</f>
        <v>2.0459268630869265</v>
      </c>
      <c r="V706" s="6">
        <v>45</v>
      </c>
      <c r="W706" s="6">
        <v>452020</v>
      </c>
      <c r="X706" s="6">
        <v>45202030</v>
      </c>
      <c r="Y706" s="7" t="s">
        <v>66</v>
      </c>
      <c r="Z706" s="7" t="s">
        <v>67</v>
      </c>
      <c r="AA706" s="7" t="s">
        <v>67</v>
      </c>
      <c r="AB706" s="6">
        <v>61.160850524902344</v>
      </c>
      <c r="AC706" s="6"/>
      <c r="AD706" s="6"/>
      <c r="AE706" s="6">
        <v>91313</v>
      </c>
      <c r="AF706" s="6">
        <v>92698</v>
      </c>
    </row>
    <row r="707" spans="1:32" s="4" customFormat="1" ht="12.75" x14ac:dyDescent="0.2">
      <c r="A707" s="7" t="s">
        <v>2294</v>
      </c>
      <c r="B707" s="7" t="s">
        <v>2295</v>
      </c>
      <c r="C707" s="7" t="s">
        <v>2296</v>
      </c>
      <c r="D707" s="6">
        <v>-0.8057782053947451</v>
      </c>
      <c r="E707" s="6">
        <v>-0.73319226503372203</v>
      </c>
      <c r="F707" s="6">
        <v>3.0001339912414551</v>
      </c>
      <c r="G707" s="6">
        <v>-0.92169743776321411</v>
      </c>
      <c r="H707" s="6">
        <v>0.71808701753616311</v>
      </c>
      <c r="I707" s="6">
        <v>-0.77055132389068604</v>
      </c>
      <c r="J707" s="6">
        <v>3.000007152557373</v>
      </c>
      <c r="K707" s="6">
        <v>-1.5615638494491582</v>
      </c>
      <c r="L707" s="6">
        <v>0.10233800113201101</v>
      </c>
      <c r="M707" s="6">
        <v>-0.90675312280654907</v>
      </c>
      <c r="N707" s="6">
        <v>0.45224819076329403</v>
      </c>
      <c r="O707" s="6">
        <v>0.68392428331016908</v>
      </c>
      <c r="P707" s="6">
        <v>0.302106813951519</v>
      </c>
      <c r="Q707" s="6">
        <v>0.29194407565623404</v>
      </c>
      <c r="R707" s="6">
        <v>2.0295121793298492</v>
      </c>
      <c r="S707" s="6">
        <v>3.9951699822536932</v>
      </c>
      <c r="T707" s="6">
        <v>20.490943908691406</v>
      </c>
      <c r="U707" s="6" t="str">
        <f>_xll.BDP($A707,"TRAILING_12M_R&amp;D_%_SALES",$A$1,$A$2)</f>
        <v>#N/A N/A</v>
      </c>
      <c r="V707" s="6">
        <v>40</v>
      </c>
      <c r="W707" s="6">
        <v>401010</v>
      </c>
      <c r="X707" s="6">
        <v>40101010</v>
      </c>
      <c r="Y707" s="7" t="s">
        <v>53</v>
      </c>
      <c r="Z707" s="7" t="s">
        <v>76</v>
      </c>
      <c r="AA707" s="7" t="s">
        <v>77</v>
      </c>
      <c r="AB707" s="6">
        <v>55.628204345703125</v>
      </c>
      <c r="AC707" s="6">
        <v>0.53613746105124505</v>
      </c>
      <c r="AD707" s="6"/>
      <c r="AE707" s="6">
        <v>46185</v>
      </c>
      <c r="AF707" s="6">
        <v>48556</v>
      </c>
    </row>
    <row r="708" spans="1:32" s="4" customFormat="1" ht="12.75" x14ac:dyDescent="0.2">
      <c r="A708" s="7" t="s">
        <v>2297</v>
      </c>
      <c r="B708" s="7" t="s">
        <v>2298</v>
      </c>
      <c r="C708" s="7" t="s">
        <v>2299</v>
      </c>
      <c r="D708" s="6">
        <v>-0.8057782053947451</v>
      </c>
      <c r="E708" s="6">
        <v>-0.73319226503372203</v>
      </c>
      <c r="F708" s="6">
        <v>3.0001339912414551</v>
      </c>
      <c r="G708" s="6">
        <v>-0.92169743776321411</v>
      </c>
      <c r="H708" s="6">
        <v>0.71808701753616311</v>
      </c>
      <c r="I708" s="6">
        <v>-0.77055132389068604</v>
      </c>
      <c r="J708" s="6">
        <v>3.000007152557373</v>
      </c>
      <c r="K708" s="6">
        <v>-1.5615638494491582</v>
      </c>
      <c r="L708" s="6">
        <v>0.10233800113201101</v>
      </c>
      <c r="M708" s="6">
        <v>-0.90675312280654907</v>
      </c>
      <c r="N708" s="6">
        <v>0.45224819076329403</v>
      </c>
      <c r="O708" s="6"/>
      <c r="P708" s="6">
        <v>0.302106813951519</v>
      </c>
      <c r="Q708" s="6"/>
      <c r="R708" s="6">
        <v>2.0295121793298492</v>
      </c>
      <c r="S708" s="6"/>
      <c r="T708" s="6">
        <v>20.490943908691406</v>
      </c>
      <c r="U708" s="6" t="str">
        <f>_xll.BDP($A708,"TRAILING_12M_R&amp;D_%_SALES",$A$1,$A$2)</f>
        <v>#N/A N/A</v>
      </c>
      <c r="V708" s="6">
        <v>40</v>
      </c>
      <c r="W708" s="6">
        <v>401010</v>
      </c>
      <c r="X708" s="6">
        <v>40101010</v>
      </c>
      <c r="Y708" s="7" t="s">
        <v>53</v>
      </c>
      <c r="Z708" s="7" t="s">
        <v>76</v>
      </c>
      <c r="AA708" s="7" t="s">
        <v>77</v>
      </c>
      <c r="AB708" s="6">
        <v>55.628204345703125</v>
      </c>
      <c r="AC708" s="6">
        <v>0.82823987596815307</v>
      </c>
      <c r="AD708" s="6">
        <v>-44.833104363803209</v>
      </c>
      <c r="AE708" s="6">
        <v>46185</v>
      </c>
      <c r="AF708" s="6">
        <v>48556</v>
      </c>
    </row>
    <row r="709" spans="1:32" s="4" customFormat="1" ht="12.75" x14ac:dyDescent="0.2">
      <c r="A709" s="7" t="s">
        <v>2300</v>
      </c>
      <c r="B709" s="7" t="s">
        <v>2301</v>
      </c>
      <c r="C709" s="7" t="s">
        <v>2302</v>
      </c>
      <c r="D709" s="6">
        <v>0.24184127151966101</v>
      </c>
      <c r="E709" s="6">
        <v>-0.91328126192092907</v>
      </c>
      <c r="F709" s="6">
        <v>1.8370517492294312</v>
      </c>
      <c r="G709" s="6">
        <v>-0.99859738349914606</v>
      </c>
      <c r="H709" s="6">
        <v>-0.322082459926605</v>
      </c>
      <c r="I709" s="6">
        <v>0.82226288318634011</v>
      </c>
      <c r="J709" s="6">
        <v>0.32285729050636303</v>
      </c>
      <c r="K709" s="6">
        <v>-0.58094972372055109</v>
      </c>
      <c r="L709" s="6">
        <v>1.3309545516967769</v>
      </c>
      <c r="M709" s="6">
        <v>-0.88806039094924905</v>
      </c>
      <c r="N709" s="6">
        <v>1.8159337501141519</v>
      </c>
      <c r="O709" s="6">
        <v>1.7992945951887771</v>
      </c>
      <c r="P709" s="6">
        <v>0.82410642049579907</v>
      </c>
      <c r="Q709" s="6">
        <v>0.75063377637512307</v>
      </c>
      <c r="R709" s="6">
        <v>10.034425840192739</v>
      </c>
      <c r="S709" s="6">
        <v>6.0927650272218434</v>
      </c>
      <c r="T709" s="6">
        <v>7.5540509223937988</v>
      </c>
      <c r="U709" s="6" t="str">
        <f>_xll.BDP($A709,"TRAILING_12M_R&amp;D_%_SALES",$A$1,$A$2)</f>
        <v>#N/A N/A</v>
      </c>
      <c r="V709" s="6">
        <v>40</v>
      </c>
      <c r="W709" s="6">
        <v>401010</v>
      </c>
      <c r="X709" s="6">
        <v>40101010</v>
      </c>
      <c r="Y709" s="7" t="s">
        <v>53</v>
      </c>
      <c r="Z709" s="7" t="s">
        <v>76</v>
      </c>
      <c r="AA709" s="7" t="s">
        <v>77</v>
      </c>
      <c r="AB709" s="6">
        <v>57.750728607177734</v>
      </c>
      <c r="AC709" s="6">
        <v>0.516835240470774</v>
      </c>
      <c r="AD709" s="6">
        <v>11.102158300799303</v>
      </c>
      <c r="AE709" s="6">
        <v>57800</v>
      </c>
      <c r="AF709" s="6">
        <v>77800</v>
      </c>
    </row>
    <row r="710" spans="1:32" s="4" customFormat="1" ht="12.75" x14ac:dyDescent="0.2">
      <c r="A710" s="7" t="s">
        <v>2303</v>
      </c>
      <c r="B710" s="7" t="s">
        <v>2304</v>
      </c>
      <c r="C710" s="7" t="s">
        <v>2305</v>
      </c>
      <c r="D710" s="6">
        <v>-0.55975973606109608</v>
      </c>
      <c r="E710" s="6">
        <v>-0.22784103453159302</v>
      </c>
      <c r="F710" s="6">
        <v>1.1629723310470581</v>
      </c>
      <c r="G710" s="6">
        <v>-0.73860013484954801</v>
      </c>
      <c r="H710" s="6">
        <v>-1.091020822525024</v>
      </c>
      <c r="I710" s="6">
        <v>-0.96370148658752408</v>
      </c>
      <c r="J710" s="6">
        <v>-7.5451552867889002E-2</v>
      </c>
      <c r="K710" s="6">
        <v>-0.18925502896308902</v>
      </c>
      <c r="L710" s="6">
        <v>-0.56651872396469105</v>
      </c>
      <c r="M710" s="6">
        <v>-0.28920096158981301</v>
      </c>
      <c r="N710" s="6">
        <v>2.0976350637109129</v>
      </c>
      <c r="O710" s="6">
        <v>2.0431518088593852</v>
      </c>
      <c r="P710" s="6">
        <v>3.9103313452549471</v>
      </c>
      <c r="Q710" s="6">
        <v>3.6974714973932969</v>
      </c>
      <c r="R710" s="6">
        <v>22.45216094532644</v>
      </c>
      <c r="S710" s="6">
        <v>22.211416142285039</v>
      </c>
      <c r="T710" s="6">
        <v>20.238239288330078</v>
      </c>
      <c r="U710" s="6">
        <f>_xll.BDP($A710,"TRAILING_12M_R&amp;D_%_SALES",$A$1,$A$2)</f>
        <v>4.9103258105710443</v>
      </c>
      <c r="V710" s="6">
        <v>20</v>
      </c>
      <c r="W710" s="6">
        <v>202020</v>
      </c>
      <c r="X710" s="6">
        <v>20202010</v>
      </c>
      <c r="Y710" s="7" t="s">
        <v>43</v>
      </c>
      <c r="Z710" s="7" t="s">
        <v>173</v>
      </c>
      <c r="AA710" s="7" t="s">
        <v>174</v>
      </c>
      <c r="AB710" s="6">
        <v>50.950607299804688</v>
      </c>
      <c r="AC710" s="6">
        <v>0.7481855283042631</v>
      </c>
      <c r="AD710" s="6">
        <v>-47.221795833310296</v>
      </c>
      <c r="AE710" s="6">
        <v>51757</v>
      </c>
      <c r="AF710" s="6">
        <v>45688</v>
      </c>
    </row>
    <row r="711" spans="1:32" s="4" customFormat="1" ht="12.75" x14ac:dyDescent="0.2">
      <c r="A711" s="7" t="s">
        <v>2306</v>
      </c>
      <c r="B711" s="7" t="s">
        <v>2307</v>
      </c>
      <c r="C711" s="7" t="s">
        <v>2308</v>
      </c>
      <c r="D711" s="6">
        <v>-0.55975973606109608</v>
      </c>
      <c r="E711" s="6">
        <v>-0.22784103453159302</v>
      </c>
      <c r="F711" s="6">
        <v>1.1629723310470581</v>
      </c>
      <c r="G711" s="6">
        <v>-0.73860013484954801</v>
      </c>
      <c r="H711" s="6">
        <v>-1.091020822525024</v>
      </c>
      <c r="I711" s="6">
        <v>-0.96370148658752408</v>
      </c>
      <c r="J711" s="6">
        <v>-7.5451552867889002E-2</v>
      </c>
      <c r="K711" s="6">
        <v>-0.18925502896308902</v>
      </c>
      <c r="L711" s="6">
        <v>-0.56651872396469105</v>
      </c>
      <c r="M711" s="6">
        <v>-0.28920096158981301</v>
      </c>
      <c r="N711" s="6">
        <v>2.0976350637109129</v>
      </c>
      <c r="O711" s="6"/>
      <c r="P711" s="6">
        <v>3.9103313452549471</v>
      </c>
      <c r="Q711" s="6"/>
      <c r="R711" s="6">
        <v>22.45216094532644</v>
      </c>
      <c r="S711" s="6"/>
      <c r="T711" s="6">
        <v>20.238239288330078</v>
      </c>
      <c r="U711" s="6">
        <f>_xll.BDP($A711,"TRAILING_12M_R&amp;D_%_SALES",$A$1,$A$2)</f>
        <v>4.9103258105710443</v>
      </c>
      <c r="V711" s="6">
        <v>20</v>
      </c>
      <c r="W711" s="6">
        <v>202020</v>
      </c>
      <c r="X711" s="6">
        <v>20202010</v>
      </c>
      <c r="Y711" s="7" t="s">
        <v>43</v>
      </c>
      <c r="Z711" s="7" t="s">
        <v>173</v>
      </c>
      <c r="AA711" s="7" t="s">
        <v>174</v>
      </c>
      <c r="AB711" s="6">
        <v>50.950607299804688</v>
      </c>
      <c r="AC711" s="6">
        <v>1.0593000730688291</v>
      </c>
      <c r="AD711" s="6">
        <v>-48.737180218748286</v>
      </c>
      <c r="AE711" s="6">
        <v>51757</v>
      </c>
      <c r="AF711" s="6">
        <v>45688</v>
      </c>
    </row>
    <row r="712" spans="1:32" s="4" customFormat="1" ht="12.75" x14ac:dyDescent="0.2">
      <c r="A712" s="7" t="s">
        <v>2309</v>
      </c>
      <c r="B712" s="7" t="s">
        <v>2310</v>
      </c>
      <c r="C712" s="7" t="s">
        <v>2311</v>
      </c>
      <c r="D712" s="6">
        <v>-0.48565259575843805</v>
      </c>
      <c r="E712" s="6">
        <v>0.27577441930770902</v>
      </c>
      <c r="F712" s="6">
        <v>-1.376005291938782</v>
      </c>
      <c r="G712" s="6">
        <v>1.0883791372180001E-2</v>
      </c>
      <c r="H712" s="6">
        <v>-1.024676918983459</v>
      </c>
      <c r="I712" s="6">
        <v>0.61821305751800504</v>
      </c>
      <c r="J712" s="6">
        <v>3.6517281085253005E-2</v>
      </c>
      <c r="K712" s="6">
        <v>1.1692883968353269</v>
      </c>
      <c r="L712" s="6">
        <v>-0.81727248430252109</v>
      </c>
      <c r="M712" s="6">
        <v>1.6822377443313601</v>
      </c>
      <c r="N712" s="6">
        <v>5.6218764019168876</v>
      </c>
      <c r="O712" s="6">
        <v>6.2397423593737233</v>
      </c>
      <c r="P712" s="6">
        <v>3.6614974890279521</v>
      </c>
      <c r="Q712" s="6">
        <v>2.7349214189373479</v>
      </c>
      <c r="R712" s="6">
        <v>13.896406514014762</v>
      </c>
      <c r="S712" s="6">
        <v>17.20587583885802</v>
      </c>
      <c r="T712" s="6">
        <v>27.755783081054688</v>
      </c>
      <c r="U712" s="6">
        <f>_xll.BDP($A712,"TRAILING_12M_R&amp;D_%_SALES",$A$1,$A$2)</f>
        <v>36.135755527390508</v>
      </c>
      <c r="V712" s="6">
        <v>35</v>
      </c>
      <c r="W712" s="6">
        <v>352010</v>
      </c>
      <c r="X712" s="6">
        <v>35201010</v>
      </c>
      <c r="Y712" s="7" t="s">
        <v>86</v>
      </c>
      <c r="Z712" s="7" t="s">
        <v>87</v>
      </c>
      <c r="AA712" s="7" t="s">
        <v>87</v>
      </c>
      <c r="AB712" s="6">
        <v>61.221206665039063</v>
      </c>
      <c r="AC712" s="6">
        <v>0.72426799732764802</v>
      </c>
      <c r="AD712" s="6">
        <v>12.29241245557564</v>
      </c>
      <c r="AE712" s="6">
        <v>10368</v>
      </c>
      <c r="AF712" s="6">
        <v>5400</v>
      </c>
    </row>
    <row r="713" spans="1:32" s="4" customFormat="1" ht="12.75" x14ac:dyDescent="0.2">
      <c r="A713" s="7" t="s">
        <v>2312</v>
      </c>
      <c r="B713" s="7" t="s">
        <v>2313</v>
      </c>
      <c r="C713" s="7" t="s">
        <v>2314</v>
      </c>
      <c r="D713" s="6">
        <v>-0.29088363051414501</v>
      </c>
      <c r="E713" s="6">
        <v>-0.63275915384292603</v>
      </c>
      <c r="F713" s="6">
        <v>-0.23735977709293402</v>
      </c>
      <c r="G713" s="6">
        <v>-0.326155215501785</v>
      </c>
      <c r="H713" s="6">
        <v>-0.217715099453926</v>
      </c>
      <c r="I713" s="6">
        <v>1.3231379985809331</v>
      </c>
      <c r="J713" s="6">
        <v>2.6240165233612061</v>
      </c>
      <c r="K713" s="6">
        <v>-1.3516601324081421</v>
      </c>
      <c r="L713" s="6">
        <v>0.96995204687118508</v>
      </c>
      <c r="M713" s="6">
        <v>0.26864159107208302</v>
      </c>
      <c r="N713" s="6">
        <v>0.28396908153801403</v>
      </c>
      <c r="O713" s="6">
        <v>0.31724233395302903</v>
      </c>
      <c r="P713" s="6">
        <v>0.83980674367120112</v>
      </c>
      <c r="Q713" s="6">
        <v>0.67858947805109904</v>
      </c>
      <c r="R713" s="6">
        <v>5.6113967486076248</v>
      </c>
      <c r="S713" s="6">
        <v>4.8359627931149181</v>
      </c>
      <c r="T713" s="6">
        <v>17.36614990234375</v>
      </c>
      <c r="U713" s="6" t="str">
        <f>_xll.BDP($A713,"TRAILING_12M_R&amp;D_%_SALES",$A$1,$A$2)</f>
        <v>#N/A N/A</v>
      </c>
      <c r="V713" s="6">
        <v>10</v>
      </c>
      <c r="W713" s="6">
        <v>101020</v>
      </c>
      <c r="X713" s="6">
        <v>10102010</v>
      </c>
      <c r="Y713" s="7" t="s">
        <v>505</v>
      </c>
      <c r="Z713" s="7" t="s">
        <v>556</v>
      </c>
      <c r="AA713" s="7" t="s">
        <v>557</v>
      </c>
      <c r="AB713" s="6">
        <v>75.6060791015625</v>
      </c>
      <c r="AC713" s="6">
        <v>0.40887053931533202</v>
      </c>
      <c r="AD713" s="6">
        <v>47.060672942203666</v>
      </c>
      <c r="AE713" s="6">
        <v>23900</v>
      </c>
      <c r="AF713" s="6">
        <v>24535</v>
      </c>
    </row>
    <row r="714" spans="1:32" s="4" customFormat="1" ht="12.75" x14ac:dyDescent="0.2">
      <c r="A714" s="7" t="s">
        <v>2315</v>
      </c>
      <c r="B714" s="7" t="s">
        <v>2316</v>
      </c>
      <c r="C714" s="7" t="s">
        <v>2317</v>
      </c>
      <c r="D714" s="6">
        <v>-0.29088363051414501</v>
      </c>
      <c r="E714" s="6">
        <v>-0.63275915384292603</v>
      </c>
      <c r="F714" s="6">
        <v>-0.23735977709293402</v>
      </c>
      <c r="G714" s="6">
        <v>-0.326155215501785</v>
      </c>
      <c r="H714" s="6">
        <v>-0.217715099453926</v>
      </c>
      <c r="I714" s="6">
        <v>1.3231379985809331</v>
      </c>
      <c r="J714" s="6">
        <v>2.6240165233612061</v>
      </c>
      <c r="K714" s="6">
        <v>-1.3516601324081421</v>
      </c>
      <c r="L714" s="6">
        <v>0.96995204687118508</v>
      </c>
      <c r="M714" s="6">
        <v>0.26864159107208302</v>
      </c>
      <c r="N714" s="6">
        <v>0.28396908153801403</v>
      </c>
      <c r="O714" s="6">
        <v>0.31772432159387803</v>
      </c>
      <c r="P714" s="6">
        <v>0.83980674367120112</v>
      </c>
      <c r="Q714" s="6">
        <v>0.66892568556131404</v>
      </c>
      <c r="R714" s="6">
        <v>5.6113967486076248</v>
      </c>
      <c r="S714" s="6">
        <v>4.7670938488819479</v>
      </c>
      <c r="T714" s="6">
        <v>17.36614990234375</v>
      </c>
      <c r="U714" s="6" t="str">
        <f>_xll.BDP($A714,"TRAILING_12M_R&amp;D_%_SALES",$A$1,$A$2)</f>
        <v>#N/A N/A</v>
      </c>
      <c r="V714" s="6">
        <v>10</v>
      </c>
      <c r="W714" s="6">
        <v>101020</v>
      </c>
      <c r="X714" s="6">
        <v>10102010</v>
      </c>
      <c r="Y714" s="7" t="s">
        <v>505</v>
      </c>
      <c r="Z714" s="7" t="s">
        <v>556</v>
      </c>
      <c r="AA714" s="7" t="s">
        <v>557</v>
      </c>
      <c r="AB714" s="6">
        <v>75.6060791015625</v>
      </c>
      <c r="AC714" s="6">
        <v>0.72245444928787106</v>
      </c>
      <c r="AD714" s="6">
        <v>42.739342050179616</v>
      </c>
      <c r="AE714" s="6">
        <v>23900</v>
      </c>
      <c r="AF714" s="6">
        <v>24535</v>
      </c>
    </row>
    <row r="715" spans="1:32" s="4" customFormat="1" ht="12.75" x14ac:dyDescent="0.2">
      <c r="A715" s="7" t="s">
        <v>2318</v>
      </c>
      <c r="B715" s="7" t="s">
        <v>2319</v>
      </c>
      <c r="C715" s="7" t="s">
        <v>2320</v>
      </c>
      <c r="D715" s="6">
        <v>-0.58099859952926602</v>
      </c>
      <c r="E715" s="6">
        <v>-0.77408075332641602</v>
      </c>
      <c r="F715" s="6">
        <v>0.14717389643192302</v>
      </c>
      <c r="G715" s="6">
        <v>0.37294620275497403</v>
      </c>
      <c r="H715" s="6">
        <v>-0.98790603876113903</v>
      </c>
      <c r="I715" s="6">
        <v>0.15552970767021201</v>
      </c>
      <c r="J715" s="6">
        <v>0.85890376567840609</v>
      </c>
      <c r="K715" s="6">
        <v>-0.54835480451583907</v>
      </c>
      <c r="L715" s="6">
        <v>1.008965730667114</v>
      </c>
      <c r="M715" s="6">
        <v>-1.037707448005676</v>
      </c>
      <c r="N715" s="6">
        <v>2.709281978733669</v>
      </c>
      <c r="O715" s="6">
        <v>2.596743705807528</v>
      </c>
      <c r="P715" s="6">
        <v>1.5008836089298709</v>
      </c>
      <c r="Q715" s="6">
        <v>1.2771151576309889</v>
      </c>
      <c r="R715" s="6">
        <v>9.9726626890260288</v>
      </c>
      <c r="S715" s="6">
        <v>8.5712253496989579</v>
      </c>
      <c r="T715" s="6">
        <v>12.55036735534668</v>
      </c>
      <c r="U715" s="6" t="str">
        <f>_xll.BDP($A715,"TRAILING_12M_R&amp;D_%_SALES",$A$1,$A$2)</f>
        <v>#N/A N/A</v>
      </c>
      <c r="V715" s="6">
        <v>40</v>
      </c>
      <c r="W715" s="6">
        <v>401010</v>
      </c>
      <c r="X715" s="6">
        <v>40101015</v>
      </c>
      <c r="Y715" s="7" t="s">
        <v>53</v>
      </c>
      <c r="Z715" s="7" t="s">
        <v>76</v>
      </c>
      <c r="AA715" s="7" t="s">
        <v>675</v>
      </c>
      <c r="AB715" s="6">
        <v>59.541294097900391</v>
      </c>
      <c r="AC715" s="6">
        <v>0.97708955811150611</v>
      </c>
      <c r="AD715" s="6">
        <v>1.9884577312656142</v>
      </c>
      <c r="AE715" s="6">
        <v>19626</v>
      </c>
      <c r="AF715" s="6">
        <v>22166</v>
      </c>
    </row>
    <row r="716" spans="1:32" s="4" customFormat="1" ht="12.75" x14ac:dyDescent="0.2">
      <c r="A716" s="7" t="s">
        <v>2321</v>
      </c>
      <c r="B716" s="7" t="s">
        <v>2322</v>
      </c>
      <c r="C716" s="7" t="s">
        <v>2323</v>
      </c>
      <c r="D716" s="6">
        <v>-0.82437521219253507</v>
      </c>
      <c r="E716" s="6">
        <v>-0.80339515209198009</v>
      </c>
      <c r="F716" s="6">
        <v>0.44662156701088002</v>
      </c>
      <c r="G716" s="6">
        <v>-0.13399675488472002</v>
      </c>
      <c r="H716" s="6">
        <v>1.0373913682997001E-2</v>
      </c>
      <c r="I716" s="6">
        <v>1.039887428283691</v>
      </c>
      <c r="J716" s="6">
        <v>0.66305494308471702</v>
      </c>
      <c r="K716" s="6">
        <v>-0.71743232011795011</v>
      </c>
      <c r="L716" s="6">
        <v>0.28686189651489302</v>
      </c>
      <c r="M716" s="6">
        <v>-0.88505142927169811</v>
      </c>
      <c r="N716" s="6">
        <v>0.58702439814382701</v>
      </c>
      <c r="O716" s="6">
        <v>0.55193562428245002</v>
      </c>
      <c r="P716" s="6">
        <v>2.5993513910646273</v>
      </c>
      <c r="Q716" s="6">
        <v>2.1019207661914971</v>
      </c>
      <c r="R716" s="6">
        <v>12.646100889411295</v>
      </c>
      <c r="S716" s="6">
        <v>9.0176591642705866</v>
      </c>
      <c r="T716" s="6">
        <v>8.9732742309570313</v>
      </c>
      <c r="U716" s="6" t="str">
        <f>_xll.BDP($A716,"TRAILING_12M_R&amp;D_%_SALES",$A$1,$A$2)</f>
        <v>#N/A N/A</v>
      </c>
      <c r="V716" s="6">
        <v>40</v>
      </c>
      <c r="W716" s="6">
        <v>403010</v>
      </c>
      <c r="X716" s="6">
        <v>40301050</v>
      </c>
      <c r="Y716" s="7" t="s">
        <v>53</v>
      </c>
      <c r="Z716" s="7" t="s">
        <v>54</v>
      </c>
      <c r="AA716" s="7" t="s">
        <v>1090</v>
      </c>
      <c r="AB716" s="6">
        <v>45.780101776123047</v>
      </c>
      <c r="AC716" s="6">
        <v>0.80515609636887908</v>
      </c>
      <c r="AD716" s="6">
        <v>32.402808381122881</v>
      </c>
      <c r="AE716" s="6">
        <v>3500</v>
      </c>
      <c r="AF716" s="6">
        <v>2482</v>
      </c>
    </row>
    <row r="717" spans="1:32" s="4" customFormat="1" ht="12.75" x14ac:dyDescent="0.2">
      <c r="A717" s="7" t="s">
        <v>2324</v>
      </c>
      <c r="B717" s="7" t="s">
        <v>2325</v>
      </c>
      <c r="C717" s="7" t="s">
        <v>2326</v>
      </c>
      <c r="D717" s="6">
        <v>0.56479126214981101</v>
      </c>
      <c r="E717" s="6">
        <v>0.80122417211532604</v>
      </c>
      <c r="F717" s="6">
        <v>-0.35955345630645802</v>
      </c>
      <c r="G717" s="6">
        <v>-0.98499798774719205</v>
      </c>
      <c r="H717" s="6">
        <v>-0.163097739219666</v>
      </c>
      <c r="I717" s="6">
        <v>-0.21443243324756603</v>
      </c>
      <c r="J717" s="6">
        <v>5.5173650383949002E-2</v>
      </c>
      <c r="K717" s="6">
        <v>-0.56773906946182306</v>
      </c>
      <c r="L717" s="6">
        <v>0.72481578588485707</v>
      </c>
      <c r="M717" s="6">
        <v>-0.59651798009872403</v>
      </c>
      <c r="N717" s="6">
        <v>3.7125820503747691</v>
      </c>
      <c r="O717" s="6">
        <v>3.7986906069156792</v>
      </c>
      <c r="P717" s="6">
        <v>9.2329254366850684</v>
      </c>
      <c r="Q717" s="6">
        <v>7.1145477971279067</v>
      </c>
      <c r="R717" s="6">
        <v>16.236019233903725</v>
      </c>
      <c r="S717" s="6">
        <v>17.278938065822203</v>
      </c>
      <c r="T717" s="6">
        <v>46.527942657470703</v>
      </c>
      <c r="U717" s="6">
        <f>_xll.BDP($A717,"TRAILING_12M_R&amp;D_%_SALES",$A$1,$A$2)</f>
        <v>25.297958508967682</v>
      </c>
      <c r="V717" s="6">
        <v>35</v>
      </c>
      <c r="W717" s="6">
        <v>352020</v>
      </c>
      <c r="X717" s="6">
        <v>35202010</v>
      </c>
      <c r="Y717" s="7" t="s">
        <v>86</v>
      </c>
      <c r="Z717" s="7" t="s">
        <v>271</v>
      </c>
      <c r="AA717" s="7" t="s">
        <v>271</v>
      </c>
      <c r="AB717" s="6">
        <v>66.05975341796875</v>
      </c>
      <c r="AC717" s="6">
        <v>0.45722785618714501</v>
      </c>
      <c r="AD717" s="6">
        <v>-10.455429231602398</v>
      </c>
      <c r="AE717" s="6">
        <v>100920</v>
      </c>
      <c r="AF717" s="6">
        <v>94052</v>
      </c>
    </row>
    <row r="718" spans="1:32" s="4" customFormat="1" ht="12.75" x14ac:dyDescent="0.2">
      <c r="A718" s="7" t="s">
        <v>2327</v>
      </c>
      <c r="B718" s="7" t="s">
        <v>2328</v>
      </c>
      <c r="C718" s="7" t="s">
        <v>2329</v>
      </c>
      <c r="D718" s="6">
        <v>0.56479126214981101</v>
      </c>
      <c r="E718" s="6">
        <v>0.80122417211532604</v>
      </c>
      <c r="F718" s="6">
        <v>-0.35955345630645802</v>
      </c>
      <c r="G718" s="6">
        <v>-0.98499798774719205</v>
      </c>
      <c r="H718" s="6">
        <v>-0.163097739219666</v>
      </c>
      <c r="I718" s="6">
        <v>-0.21443243324756603</v>
      </c>
      <c r="J718" s="6">
        <v>5.5173650383949002E-2</v>
      </c>
      <c r="K718" s="6">
        <v>-0.56773906946182306</v>
      </c>
      <c r="L718" s="6">
        <v>0.72481578588485707</v>
      </c>
      <c r="M718" s="6">
        <v>-0.59651798009872403</v>
      </c>
      <c r="N718" s="6">
        <v>3.7125820503747691</v>
      </c>
      <c r="O718" s="6">
        <v>3.7792975335491961</v>
      </c>
      <c r="P718" s="6">
        <v>9.2329254366850684</v>
      </c>
      <c r="Q718" s="6">
        <v>5.7208635206467138</v>
      </c>
      <c r="R718" s="6">
        <v>16.236019233903725</v>
      </c>
      <c r="S718" s="6">
        <v>13.894129313599571</v>
      </c>
      <c r="T718" s="6">
        <v>46.527942657470703</v>
      </c>
      <c r="U718" s="6">
        <f>_xll.BDP($A718,"TRAILING_12M_R&amp;D_%_SALES",$A$1,$A$2)</f>
        <v>25.297958508967682</v>
      </c>
      <c r="V718" s="6">
        <v>35</v>
      </c>
      <c r="W718" s="6">
        <v>352020</v>
      </c>
      <c r="X718" s="6">
        <v>35202010</v>
      </c>
      <c r="Y718" s="7" t="s">
        <v>86</v>
      </c>
      <c r="Z718" s="7" t="s">
        <v>271</v>
      </c>
      <c r="AA718" s="7" t="s">
        <v>271</v>
      </c>
      <c r="AB718" s="6">
        <v>66.05975341796875</v>
      </c>
      <c r="AC718" s="6">
        <v>0.65170128744644606</v>
      </c>
      <c r="AD718" s="6">
        <v>-22.256759831856034</v>
      </c>
      <c r="AE718" s="6">
        <v>100920</v>
      </c>
      <c r="AF718" s="6">
        <v>94052</v>
      </c>
    </row>
    <row r="719" spans="1:32" s="4" customFormat="1" ht="12.75" x14ac:dyDescent="0.2">
      <c r="A719" s="7" t="s">
        <v>2330</v>
      </c>
      <c r="B719" s="7" t="s">
        <v>2331</v>
      </c>
      <c r="C719" s="7" t="s">
        <v>2332</v>
      </c>
      <c r="D719" s="6">
        <v>0.56479126214981101</v>
      </c>
      <c r="E719" s="6">
        <v>0.80122417211532604</v>
      </c>
      <c r="F719" s="6">
        <v>-0.35955345630645802</v>
      </c>
      <c r="G719" s="6">
        <v>-0.98499798774719205</v>
      </c>
      <c r="H719" s="6">
        <v>-0.163097739219666</v>
      </c>
      <c r="I719" s="6">
        <v>-0.21443243324756603</v>
      </c>
      <c r="J719" s="6">
        <v>5.5173650383949002E-2</v>
      </c>
      <c r="K719" s="6">
        <v>-0.56773906946182306</v>
      </c>
      <c r="L719" s="6">
        <v>0.72481578588485707</v>
      </c>
      <c r="M719" s="6">
        <v>-0.59651798009872403</v>
      </c>
      <c r="N719" s="6">
        <v>3.7125820503747691</v>
      </c>
      <c r="O719" s="6">
        <v>3.7986906069156792</v>
      </c>
      <c r="P719" s="6">
        <v>9.2329254366850684</v>
      </c>
      <c r="Q719" s="6">
        <v>5.6894481851395522</v>
      </c>
      <c r="R719" s="6">
        <v>16.236019233903725</v>
      </c>
      <c r="S719" s="6">
        <v>13.817831522534288</v>
      </c>
      <c r="T719" s="6">
        <v>46.527942657470703</v>
      </c>
      <c r="U719" s="6">
        <f>_xll.BDP($A719,"TRAILING_12M_R&amp;D_%_SALES",$A$1,$A$2)</f>
        <v>25.297958508967682</v>
      </c>
      <c r="V719" s="6">
        <v>35</v>
      </c>
      <c r="W719" s="6">
        <v>352020</v>
      </c>
      <c r="X719" s="6">
        <v>35202010</v>
      </c>
      <c r="Y719" s="7" t="s">
        <v>86</v>
      </c>
      <c r="Z719" s="7" t="s">
        <v>271</v>
      </c>
      <c r="AA719" s="7" t="s">
        <v>271</v>
      </c>
      <c r="AB719" s="6">
        <v>66.05975341796875</v>
      </c>
      <c r="AC719" s="6">
        <v>0.50508626282584701</v>
      </c>
      <c r="AD719" s="6">
        <v>-23.109971428156019</v>
      </c>
      <c r="AE719" s="6">
        <v>100920</v>
      </c>
      <c r="AF719" s="6">
        <v>94052</v>
      </c>
    </row>
    <row r="720" spans="1:32" s="4" customFormat="1" ht="12.75" x14ac:dyDescent="0.2">
      <c r="A720" s="7" t="s">
        <v>2333</v>
      </c>
      <c r="B720" s="7" t="s">
        <v>2334</v>
      </c>
      <c r="C720" s="7" t="s">
        <v>2335</v>
      </c>
      <c r="D720" s="6">
        <v>0.31434306502342202</v>
      </c>
      <c r="E720" s="6">
        <v>0.31368935108184803</v>
      </c>
      <c r="F720" s="6">
        <v>1.2257176637649541</v>
      </c>
      <c r="G720" s="6">
        <v>-0.91547083854675304</v>
      </c>
      <c r="H720" s="6">
        <v>-0.7674092054367071</v>
      </c>
      <c r="I720" s="6">
        <v>0.98463469743728604</v>
      </c>
      <c r="J720" s="6">
        <v>1.208757162094116</v>
      </c>
      <c r="K720" s="6">
        <v>-0.68130421638488803</v>
      </c>
      <c r="L720" s="6">
        <v>3.00003981590271</v>
      </c>
      <c r="M720" s="6">
        <v>0.12772037088871002</v>
      </c>
      <c r="N720" s="6">
        <v>1.8868399763086572</v>
      </c>
      <c r="O720" s="6">
        <v>2.415980863520923</v>
      </c>
      <c r="P720" s="6">
        <v>2.2084405052782889</v>
      </c>
      <c r="Q720" s="6">
        <v>2.0747340273389638</v>
      </c>
      <c r="R720" s="6">
        <v>6.4200965534530239</v>
      </c>
      <c r="S720" s="6">
        <v>10.161981910657737</v>
      </c>
      <c r="T720" s="6">
        <v>42.836544036865234</v>
      </c>
      <c r="U720" s="6" t="str">
        <f>_xll.BDP($A720,"TRAILING_12M_R&amp;D_%_SALES",$A$1,$A$2)</f>
        <v>#N/A N/A</v>
      </c>
      <c r="V720" s="6">
        <v>15</v>
      </c>
      <c r="W720" s="6">
        <v>151040</v>
      </c>
      <c r="X720" s="6">
        <v>15104020</v>
      </c>
      <c r="Y720" s="7" t="s">
        <v>38</v>
      </c>
      <c r="Z720" s="7" t="s">
        <v>71</v>
      </c>
      <c r="AA720" s="7" t="s">
        <v>72</v>
      </c>
      <c r="AB720" s="6">
        <v>74.308418273925781</v>
      </c>
      <c r="AC720" s="6">
        <v>0.79501794660038205</v>
      </c>
      <c r="AD720" s="6">
        <v>18.509368795841084</v>
      </c>
      <c r="AE720" s="6">
        <v>47474</v>
      </c>
      <c r="AF720" s="6">
        <v>54888</v>
      </c>
    </row>
    <row r="721" spans="1:32" s="4" customFormat="1" ht="12.75" x14ac:dyDescent="0.2">
      <c r="A721" s="7" t="s">
        <v>2336</v>
      </c>
      <c r="B721" s="7" t="s">
        <v>2337</v>
      </c>
      <c r="C721" s="7" t="s">
        <v>2338</v>
      </c>
      <c r="D721" s="6">
        <v>-0.62232053279876709</v>
      </c>
      <c r="E721" s="6">
        <v>-0.58796775341033902</v>
      </c>
      <c r="F721" s="6">
        <v>3.3513456583023002E-2</v>
      </c>
      <c r="G721" s="6">
        <v>-0.23305605351924902</v>
      </c>
      <c r="H721" s="6">
        <v>-0.67294389009475708</v>
      </c>
      <c r="I721" s="6">
        <v>0.61564761400222801</v>
      </c>
      <c r="J721" s="6">
        <v>0.17914642393589</v>
      </c>
      <c r="K721" s="6">
        <v>-4.3610122054815001E-2</v>
      </c>
      <c r="L721" s="6">
        <v>-5.0324641168118002E-2</v>
      </c>
      <c r="M721" s="6">
        <v>-0.43136209249496504</v>
      </c>
      <c r="N721" s="6">
        <v>1.9840325536171912</v>
      </c>
      <c r="O721" s="6">
        <v>1.8773651693592792</v>
      </c>
      <c r="P721" s="6">
        <v>2.461537907215861</v>
      </c>
      <c r="Q721" s="6">
        <v>2.0590470867413591</v>
      </c>
      <c r="R721" s="6">
        <v>14.863601305947236</v>
      </c>
      <c r="S721" s="6">
        <v>10.650639891276965</v>
      </c>
      <c r="T721" s="6">
        <v>17.107433319091797</v>
      </c>
      <c r="U721" s="6" t="str">
        <f>_xll.BDP($A721,"TRAILING_12M_R&amp;D_%_SALES",$A$1,$A$2)</f>
        <v>#N/A N/A</v>
      </c>
      <c r="V721" s="6">
        <v>40</v>
      </c>
      <c r="W721" s="6">
        <v>402030</v>
      </c>
      <c r="X721" s="6">
        <v>40203020</v>
      </c>
      <c r="Y721" s="7" t="s">
        <v>53</v>
      </c>
      <c r="Z721" s="7" t="s">
        <v>298</v>
      </c>
      <c r="AA721" s="7" t="s">
        <v>688</v>
      </c>
      <c r="AB721" s="6">
        <v>44.281257629394531</v>
      </c>
      <c r="AC721" s="6">
        <v>1.051201782089243</v>
      </c>
      <c r="AD721" s="6">
        <v>7.6458858606621494</v>
      </c>
      <c r="AE721" s="6">
        <v>17000</v>
      </c>
      <c r="AF721" s="6">
        <v>12700</v>
      </c>
    </row>
    <row r="722" spans="1:32" s="4" customFormat="1" ht="12.75" x14ac:dyDescent="0.2">
      <c r="A722" s="7" t="s">
        <v>2339</v>
      </c>
      <c r="B722" s="7" t="s">
        <v>2340</v>
      </c>
      <c r="C722" s="7" t="s">
        <v>2341</v>
      </c>
      <c r="D722" s="6">
        <v>-0.80418789386749301</v>
      </c>
      <c r="E722" s="6">
        <v>-2.3365647792816162</v>
      </c>
      <c r="F722" s="6">
        <v>-0.97503346204757713</v>
      </c>
      <c r="G722" s="6">
        <v>-8.3278007805347012E-2</v>
      </c>
      <c r="H722" s="6">
        <v>0.96857506036758412</v>
      </c>
      <c r="I722" s="6">
        <v>-1.2638177871704102</v>
      </c>
      <c r="J722" s="6">
        <v>-2.4118423461914063</v>
      </c>
      <c r="K722" s="6">
        <v>-1.03350841999054</v>
      </c>
      <c r="L722" s="6">
        <v>-0.591530442237854</v>
      </c>
      <c r="M722" s="6">
        <v>-0.54549211263656605</v>
      </c>
      <c r="N722" s="6">
        <v>0.51166593622913603</v>
      </c>
      <c r="O722" s="6">
        <v>0.42262086197930704</v>
      </c>
      <c r="P722" s="6">
        <v>1.4201310930871451</v>
      </c>
      <c r="Q722" s="6">
        <v>1.154557876547037</v>
      </c>
      <c r="R722" s="6"/>
      <c r="S722" s="6"/>
      <c r="T722" s="6">
        <v>-40.975467681884766</v>
      </c>
      <c r="U722" s="6" t="str">
        <f>_xll.BDP($A722,"TRAILING_12M_R&amp;D_%_SALES",$A$1,$A$2)</f>
        <v>#N/A N/A</v>
      </c>
      <c r="V722" s="6">
        <v>25</v>
      </c>
      <c r="W722" s="6">
        <v>255030</v>
      </c>
      <c r="X722" s="6">
        <v>25503030</v>
      </c>
      <c r="Y722" s="7" t="s">
        <v>108</v>
      </c>
      <c r="Z722" s="7" t="s">
        <v>313</v>
      </c>
      <c r="AA722" s="7" t="s">
        <v>313</v>
      </c>
      <c r="AB722" s="6">
        <v>42.420280456542969</v>
      </c>
      <c r="AC722" s="6">
        <v>0.57856230294746602</v>
      </c>
      <c r="AD722" s="6">
        <v>-55.55321153200984</v>
      </c>
      <c r="AE722" s="6">
        <v>28261</v>
      </c>
      <c r="AF722" s="6">
        <v>14134</v>
      </c>
    </row>
    <row r="723" spans="1:32" s="4" customFormat="1" ht="12.75" x14ac:dyDescent="0.2">
      <c r="A723" s="7" t="s">
        <v>2342</v>
      </c>
      <c r="B723" s="7" t="s">
        <v>2343</v>
      </c>
      <c r="C723" s="7" t="s">
        <v>2344</v>
      </c>
      <c r="D723" s="6">
        <v>-0.80418789386749301</v>
      </c>
      <c r="E723" s="6">
        <v>-2.3365647792816162</v>
      </c>
      <c r="F723" s="6">
        <v>-0.97503346204757713</v>
      </c>
      <c r="G723" s="6">
        <v>-8.3278007805347012E-2</v>
      </c>
      <c r="H723" s="6">
        <v>0.96857506036758412</v>
      </c>
      <c r="I723" s="6">
        <v>-1.2638177871704102</v>
      </c>
      <c r="J723" s="6">
        <v>-2.4118423461914063</v>
      </c>
      <c r="K723" s="6">
        <v>-1.03350841999054</v>
      </c>
      <c r="L723" s="6">
        <v>-0.591530442237854</v>
      </c>
      <c r="M723" s="6">
        <v>-0.54549211263656605</v>
      </c>
      <c r="N723" s="6">
        <v>0.51166593622913603</v>
      </c>
      <c r="O723" s="6"/>
      <c r="P723" s="6">
        <v>1.4201310930871451</v>
      </c>
      <c r="Q723" s="6"/>
      <c r="R723" s="6"/>
      <c r="S723" s="6"/>
      <c r="T723" s="6">
        <v>-40.975467681884766</v>
      </c>
      <c r="U723" s="6" t="str">
        <f>_xll.BDP($A723,"TRAILING_12M_R&amp;D_%_SALES",$A$1,$A$2)</f>
        <v>#N/A N/A</v>
      </c>
      <c r="V723" s="6">
        <v>25</v>
      </c>
      <c r="W723" s="6">
        <v>255030</v>
      </c>
      <c r="X723" s="6">
        <v>25503030</v>
      </c>
      <c r="Y723" s="7" t="s">
        <v>108</v>
      </c>
      <c r="Z723" s="7" t="s">
        <v>313</v>
      </c>
      <c r="AA723" s="7" t="s">
        <v>313</v>
      </c>
      <c r="AB723" s="6">
        <v>42.420280456542969</v>
      </c>
      <c r="AC723" s="6">
        <v>0.75013539232133208</v>
      </c>
      <c r="AD723" s="6">
        <v>-55.165221341646856</v>
      </c>
      <c r="AE723" s="6">
        <v>28261</v>
      </c>
      <c r="AF723" s="6">
        <v>14134</v>
      </c>
    </row>
    <row r="724" spans="1:32" s="4" customFormat="1" ht="12.75" x14ac:dyDescent="0.2">
      <c r="A724" s="7" t="s">
        <v>2345</v>
      </c>
      <c r="B724" s="7" t="s">
        <v>2346</v>
      </c>
      <c r="C724" s="7" t="s">
        <v>2347</v>
      </c>
      <c r="D724" s="6">
        <v>-0.48202303051948503</v>
      </c>
      <c r="E724" s="6">
        <v>-0.97425758838653609</v>
      </c>
      <c r="F724" s="6">
        <v>1.395006060600281</v>
      </c>
      <c r="G724" s="6">
        <v>-0.25299328565597501</v>
      </c>
      <c r="H724" s="6">
        <v>1.4056670665740971</v>
      </c>
      <c r="I724" s="6">
        <v>0.74864733219146706</v>
      </c>
      <c r="J724" s="6">
        <v>2.4676141738891602</v>
      </c>
      <c r="K724" s="6">
        <v>-1.0746815204620359</v>
      </c>
      <c r="L724" s="6">
        <v>-0.81727248430252109</v>
      </c>
      <c r="M724" s="6">
        <v>-0.45543274283409102</v>
      </c>
      <c r="N724" s="6">
        <v>0.19356082111843501</v>
      </c>
      <c r="O724" s="6"/>
      <c r="P724" s="6">
        <v>0.33330322911541704</v>
      </c>
      <c r="Q724" s="6"/>
      <c r="R724" s="6">
        <v>5.6777396497038941</v>
      </c>
      <c r="S724" s="6"/>
      <c r="T724" s="6">
        <v>-3.081703901290894</v>
      </c>
      <c r="U724" s="6">
        <f>_xll.BDP($A724,"TRAILING_12M_R&amp;D_%_SALES",$A$1,$A$2)</f>
        <v>4.7446293925167167</v>
      </c>
      <c r="V724" s="6">
        <v>25</v>
      </c>
      <c r="W724" s="6">
        <v>251020</v>
      </c>
      <c r="X724" s="6">
        <v>25102010</v>
      </c>
      <c r="Y724" s="7" t="s">
        <v>108</v>
      </c>
      <c r="Z724" s="7" t="s">
        <v>422</v>
      </c>
      <c r="AA724" s="7" t="s">
        <v>423</v>
      </c>
      <c r="AB724" s="6">
        <v>63.786338806152344</v>
      </c>
      <c r="AC724" s="6">
        <v>1.2533894823075951</v>
      </c>
      <c r="AD724" s="6">
        <v>-1.925927621346935</v>
      </c>
      <c r="AE724" s="6">
        <v>156466</v>
      </c>
      <c r="AF724" s="6">
        <v>124849</v>
      </c>
    </row>
    <row r="725" spans="1:32" s="4" customFormat="1" ht="12.75" x14ac:dyDescent="0.2">
      <c r="A725" s="7" t="s">
        <v>2348</v>
      </c>
      <c r="B725" s="7" t="s">
        <v>2349</v>
      </c>
      <c r="C725" s="7" t="s">
        <v>2350</v>
      </c>
      <c r="D725" s="6">
        <v>-0.48202303051948503</v>
      </c>
      <c r="E725" s="6">
        <v>-0.97425758838653609</v>
      </c>
      <c r="F725" s="6">
        <v>1.395006060600281</v>
      </c>
      <c r="G725" s="6">
        <v>-0.25299328565597501</v>
      </c>
      <c r="H725" s="6">
        <v>1.4056670665740971</v>
      </c>
      <c r="I725" s="6">
        <v>0.74864733219146706</v>
      </c>
      <c r="J725" s="6">
        <v>2.4676141738891602</v>
      </c>
      <c r="K725" s="6">
        <v>-1.0746815204620359</v>
      </c>
      <c r="L725" s="6">
        <v>-0.81727248430252109</v>
      </c>
      <c r="M725" s="6">
        <v>-0.45543274283409102</v>
      </c>
      <c r="N725" s="6">
        <v>0.19356082111843501</v>
      </c>
      <c r="O725" s="6">
        <v>0.19044461343444802</v>
      </c>
      <c r="P725" s="6">
        <v>0.33330322911541704</v>
      </c>
      <c r="Q725" s="6">
        <v>0.28180537760936103</v>
      </c>
      <c r="R725" s="6">
        <v>5.6777396497038941</v>
      </c>
      <c r="S725" s="6">
        <v>3.6159991156267881</v>
      </c>
      <c r="T725" s="6">
        <v>-3.081703901290894</v>
      </c>
      <c r="U725" s="6">
        <f>_xll.BDP($A725,"TRAILING_12M_R&amp;D_%_SALES",$A$1,$A$2)</f>
        <v>4.7446293925167167</v>
      </c>
      <c r="V725" s="6">
        <v>25</v>
      </c>
      <c r="W725" s="6">
        <v>251020</v>
      </c>
      <c r="X725" s="6">
        <v>25102010</v>
      </c>
      <c r="Y725" s="7" t="s">
        <v>108</v>
      </c>
      <c r="Z725" s="7" t="s">
        <v>422</v>
      </c>
      <c r="AA725" s="7" t="s">
        <v>423</v>
      </c>
      <c r="AB725" s="6">
        <v>63.786338806152344</v>
      </c>
      <c r="AC725" s="6">
        <v>0.33123653786607005</v>
      </c>
      <c r="AD725" s="6">
        <v>0.26903471013082203</v>
      </c>
      <c r="AE725" s="6">
        <v>156466</v>
      </c>
      <c r="AF725" s="6">
        <v>124849</v>
      </c>
    </row>
    <row r="726" spans="1:32" s="4" customFormat="1" ht="12.75" x14ac:dyDescent="0.2">
      <c r="A726" s="7" t="s">
        <v>2351</v>
      </c>
      <c r="B726" s="7" t="s">
        <v>2352</v>
      </c>
      <c r="C726" s="7" t="s">
        <v>2353</v>
      </c>
      <c r="D726" s="6">
        <v>-0.87760955095291104</v>
      </c>
      <c r="E726" s="6">
        <v>-5.4063696414232004E-2</v>
      </c>
      <c r="F726" s="6">
        <v>-1.0728821754455571</v>
      </c>
      <c r="G726" s="6">
        <v>-0.37663418054580705</v>
      </c>
      <c r="H726" s="6">
        <v>-0.35542887449264504</v>
      </c>
      <c r="I726" s="6">
        <v>1.5709854662418001E-2</v>
      </c>
      <c r="J726" s="6">
        <v>-0.38275101780891402</v>
      </c>
      <c r="K726" s="6">
        <v>-0.14296762645244601</v>
      </c>
      <c r="L726" s="6">
        <v>-0.50653332471847501</v>
      </c>
      <c r="M726" s="6">
        <v>-0.73172473907470703</v>
      </c>
      <c r="N726" s="6">
        <v>8.0154071299921483</v>
      </c>
      <c r="O726" s="6">
        <v>7.7425483247007065</v>
      </c>
      <c r="P726" s="6">
        <v>3.301991133028936</v>
      </c>
      <c r="Q726" s="6">
        <v>3.136390105120928</v>
      </c>
      <c r="R726" s="6">
        <v>40.0307723632124</v>
      </c>
      <c r="S726" s="6">
        <v>28.023347458850413</v>
      </c>
      <c r="T726" s="6">
        <v>23.048320770263672</v>
      </c>
      <c r="U726" s="6" t="str">
        <f>_xll.BDP($A726,"TRAILING_12M_R&amp;D_%_SALES",$A$1,$A$2)</f>
        <v>#N/A N/A</v>
      </c>
      <c r="V726" s="6">
        <v>45</v>
      </c>
      <c r="W726" s="6">
        <v>451030</v>
      </c>
      <c r="X726" s="6">
        <v>45103010</v>
      </c>
      <c r="Y726" s="7" t="s">
        <v>66</v>
      </c>
      <c r="Z726" s="7" t="s">
        <v>150</v>
      </c>
      <c r="AA726" s="7" t="s">
        <v>151</v>
      </c>
      <c r="AB726" s="6">
        <v>44.361732482910156</v>
      </c>
      <c r="AC726" s="6">
        <v>0.8520388959496431</v>
      </c>
      <c r="AD726" s="6">
        <v>-11.153287119260536</v>
      </c>
      <c r="AE726" s="6">
        <v>19300</v>
      </c>
      <c r="AF726" s="6">
        <v>14155</v>
      </c>
    </row>
    <row r="727" spans="1:32" s="4" customFormat="1" ht="12.75" x14ac:dyDescent="0.2">
      <c r="A727" s="7" t="s">
        <v>2354</v>
      </c>
      <c r="B727" s="7" t="s">
        <v>2355</v>
      </c>
      <c r="C727" s="7" t="s">
        <v>2356</v>
      </c>
      <c r="D727" s="6">
        <v>-0.84524768590927102</v>
      </c>
      <c r="E727" s="6">
        <v>-0.30277752876281705</v>
      </c>
      <c r="F727" s="6">
        <v>0.70295524597168002</v>
      </c>
      <c r="G727" s="6">
        <v>0.14010939002037001</v>
      </c>
      <c r="H727" s="6">
        <v>0.22401052713394201</v>
      </c>
      <c r="I727" s="6">
        <v>0.49196982383728005</v>
      </c>
      <c r="J727" s="6">
        <v>-0.341297447681427</v>
      </c>
      <c r="K727" s="6">
        <v>2.9380336403847001E-2</v>
      </c>
      <c r="L727" s="6">
        <v>-0.29096466302871704</v>
      </c>
      <c r="M727" s="6">
        <v>0.19844025373458901</v>
      </c>
      <c r="N727" s="6">
        <v>2.1694513387659242</v>
      </c>
      <c r="O727" s="6">
        <v>2.0327444164271209</v>
      </c>
      <c r="P727" s="6">
        <v>9.6507991384804903</v>
      </c>
      <c r="Q727" s="6">
        <v>8.5515358594898494</v>
      </c>
      <c r="R727" s="6">
        <v>28.172329990409729</v>
      </c>
      <c r="S727" s="6">
        <v>23.455801120052588</v>
      </c>
      <c r="T727" s="6">
        <v>35.222183227539063</v>
      </c>
      <c r="U727" s="6">
        <f>_xll.BDP($A727,"TRAILING_12M_R&amp;D_%_SALES",$A$1,$A$2)</f>
        <v>0</v>
      </c>
      <c r="V727" s="6">
        <v>25</v>
      </c>
      <c r="W727" s="6">
        <v>255040</v>
      </c>
      <c r="X727" s="6">
        <v>25504010</v>
      </c>
      <c r="Y727" s="7" t="s">
        <v>108</v>
      </c>
      <c r="Z727" s="7" t="s">
        <v>388</v>
      </c>
      <c r="AA727" s="7" t="s">
        <v>1247</v>
      </c>
      <c r="AB727" s="6">
        <v>49.904434204101563</v>
      </c>
      <c r="AC727" s="6">
        <v>1.0864381347037491</v>
      </c>
      <c r="AD727" s="6">
        <v>2.965211444288673</v>
      </c>
      <c r="AE727" s="6">
        <v>100000</v>
      </c>
      <c r="AF727" s="6">
        <v>78600</v>
      </c>
    </row>
    <row r="728" spans="1:32" s="4" customFormat="1" ht="12.75" x14ac:dyDescent="0.2">
      <c r="A728" s="7" t="s">
        <v>2357</v>
      </c>
      <c r="B728" s="7" t="s">
        <v>2358</v>
      </c>
      <c r="C728" s="7" t="s">
        <v>2359</v>
      </c>
      <c r="D728" s="6">
        <v>-0.69575768709182706</v>
      </c>
      <c r="E728" s="6">
        <v>-0.56336808204650901</v>
      </c>
      <c r="F728" s="6">
        <v>-0.39631554484367404</v>
      </c>
      <c r="G728" s="6">
        <v>-0.57549023628234908</v>
      </c>
      <c r="H728" s="6">
        <v>0.49887305498123202</v>
      </c>
      <c r="I728" s="6">
        <v>0.23540961742401101</v>
      </c>
      <c r="J728" s="6">
        <v>-0.15707483887672402</v>
      </c>
      <c r="K728" s="6">
        <v>-0.42272344231605502</v>
      </c>
      <c r="L728" s="6">
        <v>-7.5067713856696999E-2</v>
      </c>
      <c r="M728" s="6">
        <v>-0.79621440172195401</v>
      </c>
      <c r="N728" s="6">
        <v>3.159382549854604</v>
      </c>
      <c r="O728" s="6">
        <v>2.798031184841169</v>
      </c>
      <c r="P728" s="6">
        <v>4.2951815060782526</v>
      </c>
      <c r="Q728" s="6">
        <v>3.868882429551173</v>
      </c>
      <c r="R728" s="6">
        <v>26.719680444406691</v>
      </c>
      <c r="S728" s="6">
        <v>25.644407109788979</v>
      </c>
      <c r="T728" s="6">
        <v>15.834931373596191</v>
      </c>
      <c r="U728" s="6" t="str">
        <f>_xll.BDP($A728,"TRAILING_12M_R&amp;D_%_SALES",$A$1,$A$2)</f>
        <v>#N/A N/A</v>
      </c>
      <c r="V728" s="6">
        <v>20</v>
      </c>
      <c r="W728" s="6">
        <v>202010</v>
      </c>
      <c r="X728" s="6">
        <v>20201050</v>
      </c>
      <c r="Y728" s="7" t="s">
        <v>43</v>
      </c>
      <c r="Z728" s="7" t="s">
        <v>2360</v>
      </c>
      <c r="AA728" s="7" t="s">
        <v>2361</v>
      </c>
      <c r="AB728" s="6">
        <v>70.586456298828125</v>
      </c>
      <c r="AC728" s="6">
        <v>0.70625953716907608</v>
      </c>
      <c r="AD728" s="6">
        <v>-5.2551702881800004</v>
      </c>
      <c r="AE728" s="6">
        <v>35000</v>
      </c>
      <c r="AF728" s="6">
        <v>33000</v>
      </c>
    </row>
    <row r="729" spans="1:32" s="4" customFormat="1" ht="12.75" x14ac:dyDescent="0.2">
      <c r="A729" s="7" t="s">
        <v>2362</v>
      </c>
      <c r="B729" s="7" t="s">
        <v>2363</v>
      </c>
      <c r="C729" s="7" t="s">
        <v>2364</v>
      </c>
      <c r="D729" s="6">
        <v>0.31434306502342202</v>
      </c>
      <c r="E729" s="6">
        <v>0.31368935108184803</v>
      </c>
      <c r="F729" s="6">
        <v>1.2257176637649541</v>
      </c>
      <c r="G729" s="6">
        <v>-0.91547083854675304</v>
      </c>
      <c r="H729" s="6">
        <v>-0.7674092054367071</v>
      </c>
      <c r="I729" s="6">
        <v>0.98463469743728604</v>
      </c>
      <c r="J729" s="6">
        <v>1.208757162094116</v>
      </c>
      <c r="K729" s="6">
        <v>-0.68130421638488803</v>
      </c>
      <c r="L729" s="6">
        <v>3.00003981590271</v>
      </c>
      <c r="M729" s="6">
        <v>0.12772037088871002</v>
      </c>
      <c r="N729" s="6">
        <v>1.8868399763086572</v>
      </c>
      <c r="O729" s="6">
        <v>2.3890682693148162</v>
      </c>
      <c r="P729" s="6">
        <v>2.2084405052782889</v>
      </c>
      <c r="Q729" s="6">
        <v>2.0438462029292328</v>
      </c>
      <c r="R729" s="6">
        <v>6.4200965534530239</v>
      </c>
      <c r="S729" s="6">
        <v>10.010694319682118</v>
      </c>
      <c r="T729" s="6">
        <v>42.836544036865234</v>
      </c>
      <c r="U729" s="6" t="str">
        <f>_xll.BDP($A729,"TRAILING_12M_R&amp;D_%_SALES",$A$1,$A$2)</f>
        <v>#N/A N/A</v>
      </c>
      <c r="V729" s="6">
        <v>15</v>
      </c>
      <c r="W729" s="6">
        <v>151040</v>
      </c>
      <c r="X729" s="6">
        <v>15104020</v>
      </c>
      <c r="Y729" s="7" t="s">
        <v>38</v>
      </c>
      <c r="Z729" s="7" t="s">
        <v>71</v>
      </c>
      <c r="AA729" s="7" t="s">
        <v>72</v>
      </c>
      <c r="AB729" s="6">
        <v>74.308418273925781</v>
      </c>
      <c r="AC729" s="6">
        <v>0.56686669593412709</v>
      </c>
      <c r="AD729" s="6">
        <v>19.137199722003384</v>
      </c>
      <c r="AE729" s="6">
        <v>47474</v>
      </c>
      <c r="AF729" s="6">
        <v>54888</v>
      </c>
    </row>
    <row r="730" spans="1:32" s="4" customFormat="1" ht="12.75" x14ac:dyDescent="0.2">
      <c r="A730" s="7" t="s">
        <v>2365</v>
      </c>
      <c r="B730" s="7" t="s">
        <v>2366</v>
      </c>
      <c r="C730" s="7" t="s">
        <v>2367</v>
      </c>
      <c r="D730" s="6">
        <v>0.52447050809860207</v>
      </c>
      <c r="E730" s="6">
        <v>-0.74937522411346402</v>
      </c>
      <c r="F730" s="6">
        <v>0.12152633070945701</v>
      </c>
      <c r="G730" s="6">
        <v>-0.62280678749084506</v>
      </c>
      <c r="H730" s="6">
        <v>-0.27112025022506703</v>
      </c>
      <c r="I730" s="6">
        <v>0.6344302296638491</v>
      </c>
      <c r="J730" s="6">
        <v>-9.6594706177711001E-2</v>
      </c>
      <c r="K730" s="6">
        <v>-0.55942416191101108</v>
      </c>
      <c r="L730" s="6">
        <v>0.25919312238693204</v>
      </c>
      <c r="M730" s="6">
        <v>-0.81590056419372603</v>
      </c>
      <c r="N730" s="6">
        <v>2.2645632320777449</v>
      </c>
      <c r="O730" s="6">
        <v>2.048129922140121</v>
      </c>
      <c r="P730" s="6">
        <v>2.1137607765112438</v>
      </c>
      <c r="Q730" s="6">
        <v>2.1119791626956128</v>
      </c>
      <c r="R730" s="6">
        <v>21.341940915492899</v>
      </c>
      <c r="S730" s="6">
        <v>20.131598755681306</v>
      </c>
      <c r="T730" s="6">
        <v>6.3055229187011719</v>
      </c>
      <c r="U730" s="6">
        <f>_xll.BDP($A730,"TRAILING_12M_R&amp;D_%_SALES",$A$1,$A$2)</f>
        <v>3.6339765661770169</v>
      </c>
      <c r="V730" s="6">
        <v>20</v>
      </c>
      <c r="W730" s="6">
        <v>201010</v>
      </c>
      <c r="X730" s="6">
        <v>20101010</v>
      </c>
      <c r="Y730" s="7" t="s">
        <v>43</v>
      </c>
      <c r="Z730" s="7" t="s">
        <v>393</v>
      </c>
      <c r="AA730" s="7" t="s">
        <v>393</v>
      </c>
      <c r="AB730" s="6">
        <v>59.722362518310547</v>
      </c>
      <c r="AC730" s="6">
        <v>0.77180311731974904</v>
      </c>
      <c r="AD730" s="6">
        <v>20.366740497284287</v>
      </c>
      <c r="AE730" s="6">
        <v>174000</v>
      </c>
      <c r="AF730" s="6">
        <v>201600</v>
      </c>
    </row>
    <row r="731" spans="1:32" s="4" customFormat="1" ht="12.75" x14ac:dyDescent="0.2">
      <c r="A731" s="7" t="s">
        <v>2368</v>
      </c>
      <c r="B731" s="7" t="s">
        <v>2369</v>
      </c>
      <c r="C731" s="7" t="s">
        <v>2370</v>
      </c>
      <c r="D731" s="6">
        <v>3.3669990953060004E-3</v>
      </c>
      <c r="E731" s="6">
        <v>-1.217557549476624</v>
      </c>
      <c r="F731" s="6">
        <v>-0.27638825774192805</v>
      </c>
      <c r="G731" s="6">
        <v>-0.63533616065979004</v>
      </c>
      <c r="H731" s="6">
        <v>0.86578738689422607</v>
      </c>
      <c r="I731" s="6">
        <v>0.82991814613342307</v>
      </c>
      <c r="J731" s="6">
        <v>-0.13591681420803101</v>
      </c>
      <c r="K731" s="6">
        <v>-5.7260792702436003E-2</v>
      </c>
      <c r="L731" s="6">
        <v>0.24085903167724601</v>
      </c>
      <c r="M731" s="6">
        <v>-0.23079784214496601</v>
      </c>
      <c r="N731" s="6">
        <v>0.73613376922664708</v>
      </c>
      <c r="O731" s="6">
        <v>0.79492466301398701</v>
      </c>
      <c r="P731" s="6"/>
      <c r="Q731" s="6"/>
      <c r="R731" s="6">
        <v>1752.9188590718625</v>
      </c>
      <c r="S731" s="6">
        <v>8.0042483042864507</v>
      </c>
      <c r="T731" s="6"/>
      <c r="U731" s="6" t="str">
        <f>_xll.BDP($A731,"TRAILING_12M_R&amp;D_%_SALES",$A$1,$A$2)</f>
        <v>#N/A N/A</v>
      </c>
      <c r="V731" s="6">
        <v>55</v>
      </c>
      <c r="W731" s="6">
        <v>551050</v>
      </c>
      <c r="X731" s="6">
        <v>55105010</v>
      </c>
      <c r="Y731" s="7" t="s">
        <v>181</v>
      </c>
      <c r="Z731" s="7" t="s">
        <v>193</v>
      </c>
      <c r="AA731" s="7" t="s">
        <v>194</v>
      </c>
      <c r="AB731" s="6">
        <v>69.067497253417969</v>
      </c>
      <c r="AC731" s="6">
        <v>0.85265778839265005</v>
      </c>
      <c r="AD731" s="6">
        <v>12.053626540828489</v>
      </c>
      <c r="AE731" s="6">
        <v>18246</v>
      </c>
      <c r="AF731" s="6">
        <v>58652</v>
      </c>
    </row>
    <row r="732" spans="1:32" s="4" customFormat="1" ht="12.75" x14ac:dyDescent="0.2">
      <c r="A732" s="7" t="s">
        <v>2371</v>
      </c>
      <c r="B732" s="7" t="s">
        <v>2372</v>
      </c>
      <c r="C732" s="7" t="s">
        <v>2373</v>
      </c>
      <c r="D732" s="6">
        <v>3.3669990953060004E-3</v>
      </c>
      <c r="E732" s="6">
        <v>-1.217557549476624</v>
      </c>
      <c r="F732" s="6">
        <v>-0.27638825774192805</v>
      </c>
      <c r="G732" s="6">
        <v>-0.63533616065979004</v>
      </c>
      <c r="H732" s="6">
        <v>0.86578738689422607</v>
      </c>
      <c r="I732" s="6">
        <v>0.82991814613342307</v>
      </c>
      <c r="J732" s="6">
        <v>-0.13591681420803101</v>
      </c>
      <c r="K732" s="6">
        <v>-5.7260792702436003E-2</v>
      </c>
      <c r="L732" s="6">
        <v>0.24085903167724601</v>
      </c>
      <c r="M732" s="6">
        <v>-0.23079784214496601</v>
      </c>
      <c r="N732" s="6">
        <v>0.73613376922664708</v>
      </c>
      <c r="O732" s="6">
        <v>0.8886257849218151</v>
      </c>
      <c r="P732" s="6"/>
      <c r="Q732" s="6">
        <v>1.4820304674202831</v>
      </c>
      <c r="R732" s="6">
        <v>1752.9188590718625</v>
      </c>
      <c r="S732" s="6">
        <v>12.546076507180581</v>
      </c>
      <c r="T732" s="6"/>
      <c r="U732" s="6" t="str">
        <f>_xll.BDP($A732,"TRAILING_12M_R&amp;D_%_SALES",$A$1,$A$2)</f>
        <v>#N/A N/A</v>
      </c>
      <c r="V732" s="6">
        <v>55</v>
      </c>
      <c r="W732" s="6">
        <v>551050</v>
      </c>
      <c r="X732" s="6">
        <v>55105010</v>
      </c>
      <c r="Y732" s="7" t="s">
        <v>181</v>
      </c>
      <c r="Z732" s="7" t="s">
        <v>193</v>
      </c>
      <c r="AA732" s="7" t="s">
        <v>194</v>
      </c>
      <c r="AB732" s="6">
        <v>69.067497253417969</v>
      </c>
      <c r="AC732" s="6">
        <v>0.53369522171796702</v>
      </c>
      <c r="AD732" s="6">
        <v>14.907333808292943</v>
      </c>
      <c r="AE732" s="6">
        <v>18246</v>
      </c>
      <c r="AF732" s="6">
        <v>58652</v>
      </c>
    </row>
    <row r="733" spans="1:32" s="4" customFormat="1" ht="12.75" x14ac:dyDescent="0.2">
      <c r="A733" s="7" t="s">
        <v>2374</v>
      </c>
      <c r="B733" s="7" t="s">
        <v>2375</v>
      </c>
      <c r="C733" s="7" t="s">
        <v>2376</v>
      </c>
      <c r="D733" s="6">
        <v>1.0388529300689699</v>
      </c>
      <c r="E733" s="6">
        <v>-0.77783894538879406</v>
      </c>
      <c r="F733" s="6">
        <v>-5.3751808591190001E-3</v>
      </c>
      <c r="G733" s="6">
        <v>-0.60448879003524802</v>
      </c>
      <c r="H733" s="6">
        <v>-1.173225402832031</v>
      </c>
      <c r="I733" s="6">
        <v>0.26288416981697105</v>
      </c>
      <c r="J733" s="6">
        <v>0.54748177528381303</v>
      </c>
      <c r="K733" s="6">
        <v>-0.568392693996429</v>
      </c>
      <c r="L733" s="6">
        <v>1.1882864236831669</v>
      </c>
      <c r="M733" s="6">
        <v>-0.9809239506721501</v>
      </c>
      <c r="N733" s="6">
        <v>2.666129354474768</v>
      </c>
      <c r="O733" s="6">
        <v>3.1968972357032341</v>
      </c>
      <c r="P733" s="6">
        <v>1.7474100095887559</v>
      </c>
      <c r="Q733" s="6">
        <v>1.6021677676091879</v>
      </c>
      <c r="R733" s="6">
        <v>11.57492776603066</v>
      </c>
      <c r="S733" s="6">
        <v>10.735137532143504</v>
      </c>
      <c r="T733" s="6">
        <v>16.133535385131836</v>
      </c>
      <c r="U733" s="6" t="str">
        <f>_xll.BDP($A733,"TRAILING_12M_R&amp;D_%_SALES",$A$1,$A$2)</f>
        <v>#N/A N/A</v>
      </c>
      <c r="V733" s="6">
        <v>40</v>
      </c>
      <c r="W733" s="6">
        <v>401010</v>
      </c>
      <c r="X733" s="6">
        <v>40101010</v>
      </c>
      <c r="Y733" s="7" t="s">
        <v>53</v>
      </c>
      <c r="Z733" s="7" t="s">
        <v>76</v>
      </c>
      <c r="AA733" s="7" t="s">
        <v>77</v>
      </c>
      <c r="AB733" s="6">
        <v>53.837642669677734</v>
      </c>
      <c r="AC733" s="6">
        <v>0.77003528745822003</v>
      </c>
      <c r="AD733" s="6">
        <v>-7.4168393108177693</v>
      </c>
      <c r="AE733" s="6">
        <v>91427</v>
      </c>
      <c r="AF733" s="6">
        <v>78210</v>
      </c>
    </row>
    <row r="734" spans="1:32" s="4" customFormat="1" ht="12.75" x14ac:dyDescent="0.2">
      <c r="A734" s="7" t="s">
        <v>2377</v>
      </c>
      <c r="B734" s="7" t="s">
        <v>2378</v>
      </c>
      <c r="C734" s="7" t="s">
        <v>2379</v>
      </c>
      <c r="D734" s="6">
        <v>-0.92794883251190208</v>
      </c>
      <c r="E734" s="6">
        <v>-1.6796984672546391</v>
      </c>
      <c r="F734" s="6">
        <v>0.77076512575149503</v>
      </c>
      <c r="G734" s="6">
        <v>-0.52298963069915805</v>
      </c>
      <c r="H734" s="6">
        <v>5.0485722720623002E-2</v>
      </c>
      <c r="I734" s="6">
        <v>-1.689154744148254</v>
      </c>
      <c r="J734" s="6">
        <v>-3.4348662942648003E-2</v>
      </c>
      <c r="K734" s="6">
        <v>-0.90128636360168513</v>
      </c>
      <c r="L734" s="6">
        <v>2.1321578025817871</v>
      </c>
      <c r="M734" s="6">
        <v>-0.19838391244411502</v>
      </c>
      <c r="N734" s="6">
        <v>0.72584029589483801</v>
      </c>
      <c r="O734" s="6">
        <v>0.67828795837936706</v>
      </c>
      <c r="P734" s="6">
        <v>0.84185269006307906</v>
      </c>
      <c r="Q734" s="6">
        <v>0.97220749019389907</v>
      </c>
      <c r="R734" s="6">
        <v>31.699320476241056</v>
      </c>
      <c r="S734" s="6">
        <v>12.869502835375314</v>
      </c>
      <c r="T734" s="6">
        <v>22.159751892089844</v>
      </c>
      <c r="U734" s="6">
        <f>_xll.BDP($A734,"TRAILING_12M_R&amp;D_%_SALES",$A$1,$A$2)</f>
        <v>9.6942456023528099</v>
      </c>
      <c r="V734" s="6">
        <v>35</v>
      </c>
      <c r="W734" s="6">
        <v>351010</v>
      </c>
      <c r="X734" s="6">
        <v>35101010</v>
      </c>
      <c r="Y734" s="7" t="s">
        <v>86</v>
      </c>
      <c r="Z734" s="7" t="s">
        <v>114</v>
      </c>
      <c r="AA734" s="7" t="s">
        <v>115</v>
      </c>
      <c r="AB734" s="6">
        <v>59.521175384521484</v>
      </c>
      <c r="AC734" s="6">
        <v>0.79407709054103204</v>
      </c>
      <c r="AD734" s="6">
        <v>-58.03951031566347</v>
      </c>
      <c r="AE734" s="6">
        <v>78189</v>
      </c>
      <c r="AF734" s="6">
        <v>114731</v>
      </c>
    </row>
    <row r="735" spans="1:32" s="4" customFormat="1" ht="12.75" x14ac:dyDescent="0.2">
      <c r="A735" s="7" t="s">
        <v>2380</v>
      </c>
      <c r="B735" s="7" t="s">
        <v>2381</v>
      </c>
      <c r="C735" s="7" t="s">
        <v>2382</v>
      </c>
      <c r="D735" s="6">
        <v>-0.92526340484619107</v>
      </c>
      <c r="E735" s="6">
        <v>-2.5278666019439702</v>
      </c>
      <c r="F735" s="6">
        <v>6.1506196856499003E-2</v>
      </c>
      <c r="G735" s="6">
        <v>1.199790954589844</v>
      </c>
      <c r="H735" s="6">
        <v>1.213368892669678</v>
      </c>
      <c r="I735" s="6">
        <v>-2.2152073383331299</v>
      </c>
      <c r="J735" s="6">
        <v>-0.85780012607574507</v>
      </c>
      <c r="K735" s="6">
        <v>-0.77884888648986805</v>
      </c>
      <c r="L735" s="6">
        <v>-1.0281074047088621</v>
      </c>
      <c r="M735" s="6">
        <v>0.10586340725421901</v>
      </c>
      <c r="N735" s="6">
        <v>9.0521608240800005E-3</v>
      </c>
      <c r="O735" s="6"/>
      <c r="P735" s="6">
        <v>1.135212664625926</v>
      </c>
      <c r="Q735" s="6"/>
      <c r="R735" s="6"/>
      <c r="S735" s="6"/>
      <c r="T735" s="6">
        <v>-79.93536376953125</v>
      </c>
      <c r="U735" s="6">
        <f>_xll.BDP($A735,"TRAILING_12M_R&amp;D_%_SALES",$A$1,$A$2)</f>
        <v>0.22681971269503057</v>
      </c>
      <c r="V735" s="6">
        <v>10</v>
      </c>
      <c r="W735" s="6">
        <v>101010</v>
      </c>
      <c r="X735" s="6">
        <v>10101020</v>
      </c>
      <c r="Y735" s="7" t="s">
        <v>505</v>
      </c>
      <c r="Z735" s="7" t="s">
        <v>506</v>
      </c>
      <c r="AA735" s="7" t="s">
        <v>507</v>
      </c>
      <c r="AB735" s="6">
        <v>80.635749816894531</v>
      </c>
      <c r="AC735" s="6"/>
      <c r="AD735" s="6"/>
      <c r="AE735" s="6">
        <v>32041</v>
      </c>
      <c r="AF735" s="6">
        <v>36859</v>
      </c>
    </row>
    <row r="736" spans="1:32" s="4" customFormat="1" ht="12.75" x14ac:dyDescent="0.2">
      <c r="A736" s="7" t="s">
        <v>2383</v>
      </c>
      <c r="B736" s="7" t="s">
        <v>2384</v>
      </c>
      <c r="C736" s="7" t="s">
        <v>2385</v>
      </c>
      <c r="D736" s="6">
        <v>-0.37896811962127702</v>
      </c>
      <c r="E736" s="6">
        <v>-2.0498087406158452</v>
      </c>
      <c r="F736" s="6">
        <v>-0.38629186153411904</v>
      </c>
      <c r="G736" s="6">
        <v>-0.93032294511795011</v>
      </c>
      <c r="H736" s="6">
        <v>-0.48131832480430603</v>
      </c>
      <c r="I736" s="6">
        <v>0.52068763971328702</v>
      </c>
      <c r="J736" s="6">
        <v>-0.49615821242332503</v>
      </c>
      <c r="K736" s="6">
        <v>-0.84983199834823608</v>
      </c>
      <c r="L736" s="6">
        <v>-0.6116890907287601</v>
      </c>
      <c r="M736" s="6">
        <v>-0.23474510014057201</v>
      </c>
      <c r="N736" s="6">
        <v>2.9283648828107109</v>
      </c>
      <c r="O736" s="6">
        <v>2.260147137026173</v>
      </c>
      <c r="P736" s="6">
        <v>5.1951605993358134</v>
      </c>
      <c r="Q736" s="6">
        <v>3.679442101605376</v>
      </c>
      <c r="R736" s="6"/>
      <c r="S736" s="6">
        <v>23.364311886092295</v>
      </c>
      <c r="T736" s="6">
        <v>-38.800563812255859</v>
      </c>
      <c r="U736" s="6">
        <f>_xll.BDP($A736,"TRAILING_12M_R&amp;D_%_SALES",$A$1,$A$2)</f>
        <v>5.4445085870977055</v>
      </c>
      <c r="V736" s="6">
        <v>20</v>
      </c>
      <c r="W736" s="6">
        <v>201010</v>
      </c>
      <c r="X736" s="6">
        <v>20101010</v>
      </c>
      <c r="Y736" s="7" t="s">
        <v>43</v>
      </c>
      <c r="Z736" s="7" t="s">
        <v>393</v>
      </c>
      <c r="AA736" s="7" t="s">
        <v>393</v>
      </c>
      <c r="AB736" s="6">
        <v>55.678501129150391</v>
      </c>
      <c r="AC736" s="6">
        <v>0.74811248492481408</v>
      </c>
      <c r="AD736" s="6">
        <v>1.824341773854776</v>
      </c>
      <c r="AE736" s="6">
        <v>77008</v>
      </c>
      <c r="AF736" s="6">
        <v>57542</v>
      </c>
    </row>
    <row r="737" spans="1:32" s="4" customFormat="1" ht="12.75" x14ac:dyDescent="0.2">
      <c r="A737" s="7" t="s">
        <v>2386</v>
      </c>
      <c r="B737" s="7" t="s">
        <v>2387</v>
      </c>
      <c r="C737" s="7" t="s">
        <v>2388</v>
      </c>
      <c r="D737" s="6">
        <v>-0.37896811962127702</v>
      </c>
      <c r="E737" s="6">
        <v>-2.0498087406158452</v>
      </c>
      <c r="F737" s="6">
        <v>-0.38629186153411904</v>
      </c>
      <c r="G737" s="6">
        <v>-0.93032294511795011</v>
      </c>
      <c r="H737" s="6">
        <v>-0.48131832480430603</v>
      </c>
      <c r="I737" s="6">
        <v>0.52068763971328702</v>
      </c>
      <c r="J737" s="6">
        <v>-0.49615821242332503</v>
      </c>
      <c r="K737" s="6">
        <v>-0.84983199834823608</v>
      </c>
      <c r="L737" s="6">
        <v>-0.6116890907287601</v>
      </c>
      <c r="M737" s="6">
        <v>-0.23474510014057201</v>
      </c>
      <c r="N737" s="6">
        <v>2.9283648828107109</v>
      </c>
      <c r="O737" s="6">
        <v>2.175812903393548</v>
      </c>
      <c r="P737" s="6">
        <v>5.1951605993358134</v>
      </c>
      <c r="Q737" s="6"/>
      <c r="R737" s="6"/>
      <c r="S737" s="6">
        <v>20.124407208980685</v>
      </c>
      <c r="T737" s="6">
        <v>-38.800563812255859</v>
      </c>
      <c r="U737" s="6">
        <f>_xll.BDP($A737,"TRAILING_12M_R&amp;D_%_SALES",$A$1,$A$2)</f>
        <v>5.4445085870977055</v>
      </c>
      <c r="V737" s="6">
        <v>20</v>
      </c>
      <c r="W737" s="6">
        <v>201010</v>
      </c>
      <c r="X737" s="6">
        <v>20101010</v>
      </c>
      <c r="Y737" s="7" t="s">
        <v>43</v>
      </c>
      <c r="Z737" s="7" t="s">
        <v>393</v>
      </c>
      <c r="AA737" s="7" t="s">
        <v>393</v>
      </c>
      <c r="AB737" s="6">
        <v>55.678501129150391</v>
      </c>
      <c r="AC737" s="6">
        <v>0.99402008101832007</v>
      </c>
      <c r="AD737" s="6">
        <v>4.1185508267723048</v>
      </c>
      <c r="AE737" s="6">
        <v>77008</v>
      </c>
      <c r="AF737" s="6">
        <v>57542</v>
      </c>
    </row>
    <row r="738" spans="1:32" s="4" customFormat="1" ht="12.75" x14ac:dyDescent="0.2">
      <c r="A738" s="7" t="s">
        <v>2389</v>
      </c>
      <c r="B738" s="7" t="s">
        <v>2390</v>
      </c>
      <c r="C738" s="7" t="s">
        <v>2391</v>
      </c>
      <c r="D738" s="6">
        <v>0.89402288198471103</v>
      </c>
      <c r="E738" s="6">
        <v>-0.87952679395675704</v>
      </c>
      <c r="F738" s="6">
        <v>1.6402326822280879</v>
      </c>
      <c r="G738" s="6">
        <v>-0.69148617982864402</v>
      </c>
      <c r="H738" s="6">
        <v>1.3275095224380491</v>
      </c>
      <c r="I738" s="6">
        <v>0.44126293063163802</v>
      </c>
      <c r="J738" s="6">
        <v>2.7681210041046143</v>
      </c>
      <c r="K738" s="6">
        <v>-0.73701322078704801</v>
      </c>
      <c r="L738" s="6">
        <v>0.7246623635292051</v>
      </c>
      <c r="M738" s="6">
        <v>-0.84810894727706909</v>
      </c>
      <c r="N738" s="6">
        <v>0.64131858986300805</v>
      </c>
      <c r="O738" s="6">
        <v>0.83205637786028008</v>
      </c>
      <c r="P738" s="6">
        <v>0.51641690522508799</v>
      </c>
      <c r="Q738" s="6">
        <v>0.45601334201708105</v>
      </c>
      <c r="R738" s="6">
        <v>5.1857335864501879</v>
      </c>
      <c r="S738" s="6">
        <v>5.2208102388926214</v>
      </c>
      <c r="T738" s="6">
        <v>9.7090902328491211</v>
      </c>
      <c r="U738" s="6" t="str">
        <f>_xll.BDP($A738,"TRAILING_12M_R&amp;D_%_SALES",$A$1,$A$2)</f>
        <v>#N/A N/A</v>
      </c>
      <c r="V738" s="6">
        <v>40</v>
      </c>
      <c r="W738" s="6">
        <v>401010</v>
      </c>
      <c r="X738" s="6">
        <v>40101010</v>
      </c>
      <c r="Y738" s="7" t="s">
        <v>53</v>
      </c>
      <c r="Z738" s="7" t="s">
        <v>76</v>
      </c>
      <c r="AA738" s="7" t="s">
        <v>77</v>
      </c>
      <c r="AB738" s="6">
        <v>61.341915130615234</v>
      </c>
      <c r="AC738" s="6">
        <v>1.0097787307720769</v>
      </c>
      <c r="AD738" s="6">
        <v>-6.9369561129705488</v>
      </c>
      <c r="AE738" s="6">
        <v>197070</v>
      </c>
      <c r="AF738" s="6">
        <v>188492</v>
      </c>
    </row>
    <row r="739" spans="1:32" s="4" customFormat="1" ht="12.75" x14ac:dyDescent="0.2">
      <c r="A739" s="7" t="s">
        <v>2392</v>
      </c>
      <c r="B739" s="7" t="s">
        <v>2393</v>
      </c>
      <c r="C739" s="7" t="s">
        <v>2394</v>
      </c>
      <c r="D739" s="6">
        <v>0.13113646209240001</v>
      </c>
      <c r="E739" s="6">
        <v>-0.37144896388053905</v>
      </c>
      <c r="F739" s="6">
        <v>-0.15729209780693101</v>
      </c>
      <c r="G739" s="6">
        <v>-0.93262320756912209</v>
      </c>
      <c r="H739" s="6">
        <v>-0.81677407026290905</v>
      </c>
      <c r="I739" s="6">
        <v>-6.9918908178806E-2</v>
      </c>
      <c r="J739" s="6">
        <v>-0.184726983308792</v>
      </c>
      <c r="K739" s="6">
        <v>-0.46184939146041903</v>
      </c>
      <c r="L739" s="6">
        <v>0.16807578504085502</v>
      </c>
      <c r="M739" s="6">
        <v>-0.7134650945663451</v>
      </c>
      <c r="N739" s="6">
        <v>3.720480909445457</v>
      </c>
      <c r="O739" s="6">
        <v>3.5525623254763961</v>
      </c>
      <c r="P739" s="6">
        <v>2.7570457912052331</v>
      </c>
      <c r="Q739" s="6"/>
      <c r="R739" s="6">
        <v>35.471027952885237</v>
      </c>
      <c r="S739" s="6">
        <v>17.47292579007863</v>
      </c>
      <c r="T739" s="6">
        <v>8.1814918518066406</v>
      </c>
      <c r="U739" s="6">
        <f>_xll.BDP($A739,"TRAILING_12M_R&amp;D_%_SALES",$A$1,$A$2)</f>
        <v>19.060716898317484</v>
      </c>
      <c r="V739" s="6">
        <v>45</v>
      </c>
      <c r="W739" s="6">
        <v>451030</v>
      </c>
      <c r="X739" s="6">
        <v>45103010</v>
      </c>
      <c r="Y739" s="7" t="s">
        <v>66</v>
      </c>
      <c r="Z739" s="7" t="s">
        <v>150</v>
      </c>
      <c r="AA739" s="7" t="s">
        <v>151</v>
      </c>
      <c r="AB739" s="6">
        <v>51.735237121582031</v>
      </c>
      <c r="AC739" s="6">
        <v>1.01231135309455</v>
      </c>
      <c r="AD739" s="6">
        <v>-24.492180757143789</v>
      </c>
      <c r="AE739" s="6">
        <v>107415</v>
      </c>
      <c r="AF739" s="6">
        <v>84183</v>
      </c>
    </row>
    <row r="740" spans="1:32" s="4" customFormat="1" ht="12.75" x14ac:dyDescent="0.2">
      <c r="A740" s="7" t="s">
        <v>2395</v>
      </c>
      <c r="B740" s="7" t="s">
        <v>2396</v>
      </c>
      <c r="C740" s="7" t="s">
        <v>2397</v>
      </c>
      <c r="D740" s="6">
        <v>0.13113646209240001</v>
      </c>
      <c r="E740" s="6">
        <v>-0.37144896388053905</v>
      </c>
      <c r="F740" s="6">
        <v>-0.15729209780693101</v>
      </c>
      <c r="G740" s="6">
        <v>-0.93262320756912209</v>
      </c>
      <c r="H740" s="6">
        <v>-0.81677407026290905</v>
      </c>
      <c r="I740" s="6">
        <v>-6.9918908178806E-2</v>
      </c>
      <c r="J740" s="6">
        <v>-0.184726983308792</v>
      </c>
      <c r="K740" s="6">
        <v>-0.46184939146041903</v>
      </c>
      <c r="L740" s="6">
        <v>0.16807578504085502</v>
      </c>
      <c r="M740" s="6">
        <v>-0.7134650945663451</v>
      </c>
      <c r="N740" s="6">
        <v>3.720480909445457</v>
      </c>
      <c r="O740" s="6">
        <v>3.6018375180657451</v>
      </c>
      <c r="P740" s="6">
        <v>2.7570457912052331</v>
      </c>
      <c r="Q740" s="6">
        <v>2.581072573717778</v>
      </c>
      <c r="R740" s="6">
        <v>35.471027952885237</v>
      </c>
      <c r="S740" s="6">
        <v>18.152871097313021</v>
      </c>
      <c r="T740" s="6">
        <v>8.1814918518066406</v>
      </c>
      <c r="U740" s="6">
        <f>_xll.BDP($A740,"TRAILING_12M_R&amp;D_%_SALES",$A$1,$A$2)</f>
        <v>19.060716898317484</v>
      </c>
      <c r="V740" s="6">
        <v>45</v>
      </c>
      <c r="W740" s="6">
        <v>451030</v>
      </c>
      <c r="X740" s="6">
        <v>45103010</v>
      </c>
      <c r="Y740" s="7" t="s">
        <v>66</v>
      </c>
      <c r="Z740" s="7" t="s">
        <v>150</v>
      </c>
      <c r="AA740" s="7" t="s">
        <v>151</v>
      </c>
      <c r="AB740" s="6">
        <v>51.735237121582031</v>
      </c>
      <c r="AC740" s="6">
        <v>0.84982192075584606</v>
      </c>
      <c r="AD740" s="6">
        <v>-25.000974363690819</v>
      </c>
      <c r="AE740" s="6">
        <v>107415</v>
      </c>
      <c r="AF740" s="6">
        <v>84183</v>
      </c>
    </row>
    <row r="741" spans="1:32" s="4" customFormat="1" ht="12.75" x14ac:dyDescent="0.2">
      <c r="A741" s="7" t="s">
        <v>2398</v>
      </c>
      <c r="B741" s="7" t="s">
        <v>2399</v>
      </c>
      <c r="C741" s="7" t="s">
        <v>2400</v>
      </c>
      <c r="D741" s="6">
        <v>-0.70502346754074108</v>
      </c>
      <c r="E741" s="6">
        <v>-0.32102814316749601</v>
      </c>
      <c r="F741" s="6">
        <v>0.92608898878097512</v>
      </c>
      <c r="G741" s="6">
        <v>-0.94174283742904707</v>
      </c>
      <c r="H741" s="6">
        <v>-0.68068170547485407</v>
      </c>
      <c r="I741" s="6">
        <v>0.72757464647293102</v>
      </c>
      <c r="J741" s="6">
        <v>-4.3337374925613001E-2</v>
      </c>
      <c r="K741" s="6">
        <v>-0.38584962487220803</v>
      </c>
      <c r="L741" s="6">
        <v>1.2494722604751591</v>
      </c>
      <c r="M741" s="6">
        <v>-0.73192077875137307</v>
      </c>
      <c r="N741" s="6">
        <v>2.8188978758354608</v>
      </c>
      <c r="O741" s="6">
        <v>2.480112989074331</v>
      </c>
      <c r="P741" s="6">
        <v>2.8331418983948131</v>
      </c>
      <c r="Q741" s="6">
        <v>2.8317168725303503</v>
      </c>
      <c r="R741" s="6">
        <v>11.965686248657635</v>
      </c>
      <c r="S741" s="6">
        <v>18.698152923246653</v>
      </c>
      <c r="T741" s="6">
        <v>28.091930389404297</v>
      </c>
      <c r="U741" s="6" t="str">
        <f>_xll.BDP($A741,"TRAILING_12M_R&amp;D_%_SALES",$A$1,$A$2)</f>
        <v>#N/A N/A</v>
      </c>
      <c r="V741" s="6">
        <v>40</v>
      </c>
      <c r="W741" s="6">
        <v>403010</v>
      </c>
      <c r="X741" s="6">
        <v>40301040</v>
      </c>
      <c r="Y741" s="7" t="s">
        <v>53</v>
      </c>
      <c r="Z741" s="7" t="s">
        <v>54</v>
      </c>
      <c r="AA741" s="7" t="s">
        <v>125</v>
      </c>
      <c r="AB741" s="6">
        <v>59.169097900390625</v>
      </c>
      <c r="AC741" s="6">
        <v>0.46486381137722904</v>
      </c>
      <c r="AD741" s="6">
        <v>16.731998000819857</v>
      </c>
      <c r="AE741" s="6">
        <v>13340</v>
      </c>
      <c r="AF741" s="6">
        <v>6780</v>
      </c>
    </row>
    <row r="742" spans="1:32" s="4" customFormat="1" ht="12.75" x14ac:dyDescent="0.2">
      <c r="A742" s="7" t="s">
        <v>2401</v>
      </c>
      <c r="B742" s="7" t="s">
        <v>2402</v>
      </c>
      <c r="C742" s="7" t="s">
        <v>2403</v>
      </c>
      <c r="D742" s="6">
        <v>-0.70502346754074108</v>
      </c>
      <c r="E742" s="6">
        <v>-0.32102814316749601</v>
      </c>
      <c r="F742" s="6">
        <v>0.92608898878097512</v>
      </c>
      <c r="G742" s="6">
        <v>-0.94174283742904707</v>
      </c>
      <c r="H742" s="6">
        <v>-0.68068170547485407</v>
      </c>
      <c r="I742" s="6">
        <v>0.72757464647293102</v>
      </c>
      <c r="J742" s="6">
        <v>-4.3337374925613001E-2</v>
      </c>
      <c r="K742" s="6">
        <v>-0.38584962487220803</v>
      </c>
      <c r="L742" s="6">
        <v>1.2494722604751591</v>
      </c>
      <c r="M742" s="6">
        <v>-0.73192077875137307</v>
      </c>
      <c r="N742" s="6">
        <v>2.8188978758354608</v>
      </c>
      <c r="O742" s="6"/>
      <c r="P742" s="6">
        <v>2.8331418983948131</v>
      </c>
      <c r="Q742" s="6"/>
      <c r="R742" s="6">
        <v>11.965686248657635</v>
      </c>
      <c r="S742" s="6"/>
      <c r="T742" s="6">
        <v>28.091930389404297</v>
      </c>
      <c r="U742" s="6" t="str">
        <f>_xll.BDP($A742,"TRAILING_12M_R&amp;D_%_SALES",$A$1,$A$2)</f>
        <v>#N/A N/A</v>
      </c>
      <c r="V742" s="6">
        <v>40</v>
      </c>
      <c r="W742" s="6">
        <v>403010</v>
      </c>
      <c r="X742" s="6">
        <v>40301040</v>
      </c>
      <c r="Y742" s="7" t="s">
        <v>53</v>
      </c>
      <c r="Z742" s="7" t="s">
        <v>54</v>
      </c>
      <c r="AA742" s="7" t="s">
        <v>125</v>
      </c>
      <c r="AB742" s="6">
        <v>59.169097900390625</v>
      </c>
      <c r="AC742" s="6">
        <v>0.7188864563200581</v>
      </c>
      <c r="AD742" s="6">
        <v>15.082823270657975</v>
      </c>
      <c r="AE742" s="6">
        <v>13340</v>
      </c>
      <c r="AF742" s="6">
        <v>6780</v>
      </c>
    </row>
    <row r="743" spans="1:32" s="4" customFormat="1" ht="12.75" x14ac:dyDescent="0.2">
      <c r="A743" s="7" t="s">
        <v>2404</v>
      </c>
      <c r="B743" s="7" t="s">
        <v>2405</v>
      </c>
      <c r="C743" s="7" t="s">
        <v>2406</v>
      </c>
      <c r="D743" s="6">
        <v>-0.571458399295807</v>
      </c>
      <c r="E743" s="6">
        <v>-0.75981628894805908</v>
      </c>
      <c r="F743" s="6">
        <v>1.6655921936035161</v>
      </c>
      <c r="G743" s="6">
        <v>-0.86181789636611905</v>
      </c>
      <c r="H743" s="6">
        <v>-1.0397335290908809</v>
      </c>
      <c r="I743" s="6">
        <v>0.94051241874694802</v>
      </c>
      <c r="J743" s="6">
        <v>0.94803106784820612</v>
      </c>
      <c r="K743" s="6">
        <v>-0.54812443256378207</v>
      </c>
      <c r="L743" s="6">
        <v>2.090743780136108</v>
      </c>
      <c r="M743" s="6">
        <v>-0.99117118120193504</v>
      </c>
      <c r="N743" s="6">
        <v>2.079116394732746</v>
      </c>
      <c r="O743" s="6">
        <v>2.096034724298002</v>
      </c>
      <c r="P743" s="6">
        <v>1.318955619665122</v>
      </c>
      <c r="Q743" s="6">
        <v>1.240449635141132</v>
      </c>
      <c r="R743" s="6">
        <v>9.3842286057596276</v>
      </c>
      <c r="S743" s="6">
        <v>7.9423361188650619</v>
      </c>
      <c r="T743" s="6">
        <v>14.839479446411133</v>
      </c>
      <c r="U743" s="6" t="str">
        <f>_xll.BDP($A743,"TRAILING_12M_R&amp;D_%_SALES",$A$1,$A$2)</f>
        <v>#N/A N/A</v>
      </c>
      <c r="V743" s="6">
        <v>40</v>
      </c>
      <c r="W743" s="6">
        <v>401010</v>
      </c>
      <c r="X743" s="6">
        <v>40101010</v>
      </c>
      <c r="Y743" s="7" t="s">
        <v>53</v>
      </c>
      <c r="Z743" s="7" t="s">
        <v>76</v>
      </c>
      <c r="AA743" s="7" t="s">
        <v>77</v>
      </c>
      <c r="AB743" s="6">
        <v>60.426517486572266</v>
      </c>
      <c r="AC743" s="6">
        <v>0.21911486543326902</v>
      </c>
      <c r="AD743" s="6"/>
      <c r="AE743" s="6">
        <v>43607</v>
      </c>
      <c r="AF743" s="6">
        <v>48622</v>
      </c>
    </row>
    <row r="744" spans="1:32" s="4" customFormat="1" ht="12.75" x14ac:dyDescent="0.2">
      <c r="A744" s="7" t="s">
        <v>2407</v>
      </c>
      <c r="B744" s="7" t="s">
        <v>2408</v>
      </c>
      <c r="C744" s="7" t="s">
        <v>2409</v>
      </c>
      <c r="D744" s="6">
        <v>-5.3097408264875003E-2</v>
      </c>
      <c r="E744" s="6">
        <v>-4.1026178747416001E-2</v>
      </c>
      <c r="F744" s="6">
        <v>0.62006300687789906</v>
      </c>
      <c r="G744" s="6">
        <v>-0.96623057126998912</v>
      </c>
      <c r="H744" s="6">
        <v>-0.58300745487213101</v>
      </c>
      <c r="I744" s="6">
        <v>-0.142192482948303</v>
      </c>
      <c r="J744" s="6">
        <v>-3.2925780862570003E-2</v>
      </c>
      <c r="K744" s="6">
        <v>-0.57301098108291604</v>
      </c>
      <c r="L744" s="6">
        <v>0.24992078542709403</v>
      </c>
      <c r="M744" s="6">
        <v>-0.73844385147094704</v>
      </c>
      <c r="N744" s="6">
        <v>2.3262413812555969</v>
      </c>
      <c r="O744" s="6">
        <v>2.1653929726905918</v>
      </c>
      <c r="P744" s="6">
        <v>2.847134454928653</v>
      </c>
      <c r="Q744" s="6">
        <v>2.5704923913113529</v>
      </c>
      <c r="R744" s="6">
        <v>22.736091908512968</v>
      </c>
      <c r="S744" s="6">
        <v>17.165289272566554</v>
      </c>
      <c r="T744" s="6">
        <v>13.248828887939453</v>
      </c>
      <c r="U744" s="6">
        <f>_xll.BDP($A744,"TRAILING_12M_R&amp;D_%_SALES",$A$1,$A$2)</f>
        <v>5.923518465127251</v>
      </c>
      <c r="V744" s="6">
        <v>20</v>
      </c>
      <c r="W744" s="6">
        <v>201040</v>
      </c>
      <c r="X744" s="6">
        <v>20104010</v>
      </c>
      <c r="Y744" s="7" t="s">
        <v>43</v>
      </c>
      <c r="Z744" s="7" t="s">
        <v>81</v>
      </c>
      <c r="AA744" s="7" t="s">
        <v>82</v>
      </c>
      <c r="AB744" s="6">
        <v>73.040939331054688</v>
      </c>
      <c r="AC744" s="6">
        <v>0.93823589884746106</v>
      </c>
      <c r="AD744" s="6">
        <v>-27.125295411626027</v>
      </c>
      <c r="AE744" s="6">
        <v>166025</v>
      </c>
      <c r="AF744" s="6">
        <v>170866</v>
      </c>
    </row>
    <row r="745" spans="1:32" s="4" customFormat="1" ht="12.75" x14ac:dyDescent="0.2">
      <c r="A745" s="7" t="s">
        <v>2410</v>
      </c>
      <c r="B745" s="7" t="s">
        <v>2411</v>
      </c>
      <c r="C745" s="7" t="s">
        <v>2412</v>
      </c>
      <c r="D745" s="6">
        <v>-5.3097408264875003E-2</v>
      </c>
      <c r="E745" s="6">
        <v>-4.1026178747416001E-2</v>
      </c>
      <c r="F745" s="6">
        <v>0.62006300687789906</v>
      </c>
      <c r="G745" s="6">
        <v>-0.96623057126998912</v>
      </c>
      <c r="H745" s="6">
        <v>-0.58300745487213101</v>
      </c>
      <c r="I745" s="6">
        <v>-0.142192482948303</v>
      </c>
      <c r="J745" s="6">
        <v>-3.2925780862570003E-2</v>
      </c>
      <c r="K745" s="6">
        <v>-0.57301098108291604</v>
      </c>
      <c r="L745" s="6">
        <v>0.24992078542709403</v>
      </c>
      <c r="M745" s="6">
        <v>-0.73844385147094704</v>
      </c>
      <c r="N745" s="6">
        <v>2.3262413812555969</v>
      </c>
      <c r="O745" s="6">
        <v>2.1134078121606099</v>
      </c>
      <c r="P745" s="6">
        <v>2.847134454928653</v>
      </c>
      <c r="Q745" s="6"/>
      <c r="R745" s="6">
        <v>22.736091908512968</v>
      </c>
      <c r="S745" s="6">
        <v>18.039457356337309</v>
      </c>
      <c r="T745" s="6">
        <v>13.248828887939453</v>
      </c>
      <c r="U745" s="6">
        <f>_xll.BDP($A745,"TRAILING_12M_R&amp;D_%_SALES",$A$1,$A$2)</f>
        <v>5.923518465127251</v>
      </c>
      <c r="V745" s="6">
        <v>20</v>
      </c>
      <c r="W745" s="6">
        <v>201040</v>
      </c>
      <c r="X745" s="6">
        <v>20104010</v>
      </c>
      <c r="Y745" s="7" t="s">
        <v>43</v>
      </c>
      <c r="Z745" s="7" t="s">
        <v>81</v>
      </c>
      <c r="AA745" s="7" t="s">
        <v>82</v>
      </c>
      <c r="AB745" s="6">
        <v>73.040939331054688</v>
      </c>
      <c r="AC745" s="6">
        <v>1.108984040938892</v>
      </c>
      <c r="AD745" s="6">
        <v>-26.607735603260707</v>
      </c>
      <c r="AE745" s="6">
        <v>166025</v>
      </c>
      <c r="AF745" s="6">
        <v>170866</v>
      </c>
    </row>
    <row r="746" spans="1:32" s="4" customFormat="1" ht="12.75" x14ac:dyDescent="0.2">
      <c r="A746" s="7" t="s">
        <v>2413</v>
      </c>
      <c r="B746" s="7" t="s">
        <v>2414</v>
      </c>
      <c r="C746" s="7" t="s">
        <v>2415</v>
      </c>
      <c r="D746" s="6">
        <v>0.55067193508148204</v>
      </c>
      <c r="E746" s="6">
        <v>-0.94736361503601108</v>
      </c>
      <c r="F746" s="6">
        <v>0.85080623626709007</v>
      </c>
      <c r="G746" s="6">
        <v>-0.58563256263732899</v>
      </c>
      <c r="H746" s="6">
        <v>0.8175551891326901</v>
      </c>
      <c r="I746" s="6">
        <v>-0.12287971377372701</v>
      </c>
      <c r="J746" s="6">
        <v>-0.174489721655846</v>
      </c>
      <c r="K746" s="6">
        <v>-0.17453862726688402</v>
      </c>
      <c r="L746" s="6">
        <v>-0.33461856842041005</v>
      </c>
      <c r="M746" s="6">
        <v>-0.80410271883010909</v>
      </c>
      <c r="N746" s="6">
        <v>1.2981890641617191</v>
      </c>
      <c r="O746" s="6"/>
      <c r="P746" s="6">
        <v>1.64414355084157</v>
      </c>
      <c r="Q746" s="6"/>
      <c r="R746" s="6">
        <v>13.297941594753803</v>
      </c>
      <c r="S746" s="6"/>
      <c r="T746" s="6">
        <v>13.165616035461426</v>
      </c>
      <c r="U746" s="6" t="str">
        <f>_xll.BDP($A746,"TRAILING_12M_R&amp;D_%_SALES",$A$1,$A$2)</f>
        <v>#N/A N/A</v>
      </c>
      <c r="V746" s="6">
        <v>40</v>
      </c>
      <c r="W746" s="6">
        <v>401010</v>
      </c>
      <c r="X746" s="6">
        <v>40101010</v>
      </c>
      <c r="Y746" s="7" t="s">
        <v>53</v>
      </c>
      <c r="Z746" s="7" t="s">
        <v>76</v>
      </c>
      <c r="AA746" s="7" t="s">
        <v>77</v>
      </c>
      <c r="AB746" s="6"/>
      <c r="AC746" s="6">
        <v>0.32019408728704302</v>
      </c>
      <c r="AD746" s="6"/>
      <c r="AE746" s="6">
        <v>244250</v>
      </c>
      <c r="AF746" s="6">
        <v>209572</v>
      </c>
    </row>
    <row r="747" spans="1:32" s="4" customFormat="1" ht="12.75" x14ac:dyDescent="0.2">
      <c r="A747" s="7" t="s">
        <v>2416</v>
      </c>
      <c r="B747" s="7" t="s">
        <v>2414</v>
      </c>
      <c r="C747" s="7" t="s">
        <v>2417</v>
      </c>
      <c r="D747" s="6">
        <v>0.69825512170791604</v>
      </c>
      <c r="E747" s="6">
        <v>-0.75659847259521507</v>
      </c>
      <c r="F747" s="6">
        <v>2.1145820617675781</v>
      </c>
      <c r="G747" s="6">
        <v>-0.91143381595611606</v>
      </c>
      <c r="H747" s="6">
        <v>0.72250711917877208</v>
      </c>
      <c r="I747" s="6">
        <v>-0.44291520118713401</v>
      </c>
      <c r="J747" s="6">
        <v>2.5358893871307373</v>
      </c>
      <c r="K747" s="6">
        <v>-0.21478433907032002</v>
      </c>
      <c r="L747" s="6">
        <v>-0.26912662386894204</v>
      </c>
      <c r="M747" s="6">
        <v>-0.83933407068252608</v>
      </c>
      <c r="N747" s="6">
        <v>1.2981890641617191</v>
      </c>
      <c r="O747" s="6"/>
      <c r="P747" s="6">
        <v>1.64414355084157</v>
      </c>
      <c r="Q747" s="6"/>
      <c r="R747" s="6">
        <v>13.297941594753803</v>
      </c>
      <c r="S747" s="6"/>
      <c r="T747" s="6">
        <v>13.165616035461426</v>
      </c>
      <c r="U747" s="6" t="str">
        <f>_xll.BDP($A747,"TRAILING_12M_R&amp;D_%_SALES",$A$1,$A$2)</f>
        <v>#N/A N/A</v>
      </c>
      <c r="V747" s="6">
        <v>40</v>
      </c>
      <c r="W747" s="6">
        <v>401010</v>
      </c>
      <c r="X747" s="6">
        <v>40101010</v>
      </c>
      <c r="Y747" s="7" t="s">
        <v>53</v>
      </c>
      <c r="Z747" s="7" t="s">
        <v>76</v>
      </c>
      <c r="AA747" s="7" t="s">
        <v>77</v>
      </c>
      <c r="AB747" s="6"/>
      <c r="AC747" s="6"/>
      <c r="AD747" s="6"/>
      <c r="AE747" s="6">
        <v>244250</v>
      </c>
      <c r="AF747" s="6">
        <v>209572</v>
      </c>
    </row>
    <row r="748" spans="1:32" s="4" customFormat="1" ht="12.75" x14ac:dyDescent="0.2">
      <c r="A748" s="7" t="s">
        <v>2418</v>
      </c>
      <c r="B748" s="7" t="s">
        <v>2419</v>
      </c>
      <c r="C748" s="7" t="s">
        <v>2420</v>
      </c>
      <c r="D748" s="6">
        <v>-0.182618528604507</v>
      </c>
      <c r="E748" s="6">
        <v>-0.17830176651477803</v>
      </c>
      <c r="F748" s="6">
        <v>0.20104700326919603</v>
      </c>
      <c r="G748" s="6">
        <v>5.9936218895020009E-3</v>
      </c>
      <c r="H748" s="6">
        <v>1.5240257978439331</v>
      </c>
      <c r="I748" s="6">
        <v>-1.9019154831767002E-2</v>
      </c>
      <c r="J748" s="6">
        <v>-0.44815826416015603</v>
      </c>
      <c r="K748" s="6">
        <v>-0.20618467032909402</v>
      </c>
      <c r="L748" s="6">
        <v>0.22572989761829401</v>
      </c>
      <c r="M748" s="6">
        <v>0.83169424533844005</v>
      </c>
      <c r="N748" s="6">
        <v>3.5560775058595908</v>
      </c>
      <c r="O748" s="6">
        <v>3.0977182301033932</v>
      </c>
      <c r="P748" s="6"/>
      <c r="Q748" s="6"/>
      <c r="R748" s="6">
        <v>32.911247649291624</v>
      </c>
      <c r="S748" s="6">
        <v>27.872779011339095</v>
      </c>
      <c r="T748" s="6"/>
      <c r="U748" s="6">
        <f>_xll.BDP($A748,"TRAILING_12M_R&amp;D_%_SALES",$A$1,$A$2)</f>
        <v>0</v>
      </c>
      <c r="V748" s="6">
        <v>25</v>
      </c>
      <c r="W748" s="6">
        <v>253010</v>
      </c>
      <c r="X748" s="6">
        <v>25301040</v>
      </c>
      <c r="Y748" s="7" t="s">
        <v>108</v>
      </c>
      <c r="Z748" s="7" t="s">
        <v>109</v>
      </c>
      <c r="AA748" s="7" t="s">
        <v>1798</v>
      </c>
      <c r="AB748" s="6">
        <v>53.053012847900391</v>
      </c>
      <c r="AC748" s="6">
        <v>1.0544099824909849</v>
      </c>
      <c r="AD748" s="6">
        <v>-12.631815683110581</v>
      </c>
      <c r="AE748" s="6">
        <v>402000</v>
      </c>
      <c r="AF748" s="6">
        <v>277000</v>
      </c>
    </row>
    <row r="749" spans="1:32" s="4" customFormat="1" ht="12.75" x14ac:dyDescent="0.2">
      <c r="A749" s="7" t="s">
        <v>2421</v>
      </c>
      <c r="B749" s="7" t="s">
        <v>2422</v>
      </c>
      <c r="C749" s="7" t="s">
        <v>2423</v>
      </c>
      <c r="D749" s="6">
        <v>0.15335112810134902</v>
      </c>
      <c r="E749" s="6">
        <v>-0.9965434074401861</v>
      </c>
      <c r="F749" s="6">
        <v>2.1010336875915532</v>
      </c>
      <c r="G749" s="6">
        <v>-0.8951557278633121</v>
      </c>
      <c r="H749" s="6">
        <v>1.0323783159255979</v>
      </c>
      <c r="I749" s="6">
        <v>1.21081531047821</v>
      </c>
      <c r="J749" s="6">
        <v>2.3209784030914311</v>
      </c>
      <c r="K749" s="6">
        <v>-0.59465807676315308</v>
      </c>
      <c r="L749" s="6">
        <v>-4.5936182141304002E-2</v>
      </c>
      <c r="M749" s="6">
        <v>-1.0088076591491699</v>
      </c>
      <c r="N749" s="6">
        <v>1.0331232924360041</v>
      </c>
      <c r="O749" s="6">
        <v>1.232881667509973</v>
      </c>
      <c r="P749" s="6">
        <v>0.50539958096110105</v>
      </c>
      <c r="Q749" s="6">
        <v>0.45835497334521402</v>
      </c>
      <c r="R749" s="6">
        <v>10.816433574516681</v>
      </c>
      <c r="S749" s="6">
        <v>6.5693018402119225</v>
      </c>
      <c r="T749" s="6">
        <v>4.5994157791137704</v>
      </c>
      <c r="U749" s="6" t="str">
        <f>_xll.BDP($A749,"TRAILING_12M_R&amp;D_%_SALES",$A$1,$A$2)</f>
        <v>#N/A N/A</v>
      </c>
      <c r="V749" s="6">
        <v>40</v>
      </c>
      <c r="W749" s="6">
        <v>401010</v>
      </c>
      <c r="X749" s="6">
        <v>40101010</v>
      </c>
      <c r="Y749" s="7" t="s">
        <v>53</v>
      </c>
      <c r="Z749" s="7" t="s">
        <v>76</v>
      </c>
      <c r="AA749" s="7" t="s">
        <v>77</v>
      </c>
      <c r="AB749" s="6">
        <v>64.832511901855469</v>
      </c>
      <c r="AC749" s="6">
        <v>0.61569815100536207</v>
      </c>
      <c r="AD749" s="6">
        <v>30.447372362302261</v>
      </c>
      <c r="AE749" s="6">
        <v>81957</v>
      </c>
      <c r="AF749" s="6">
        <v>86693</v>
      </c>
    </row>
    <row r="750" spans="1:32" s="4" customFormat="1" ht="12.75" x14ac:dyDescent="0.2">
      <c r="A750" s="7" t="s">
        <v>2424</v>
      </c>
      <c r="B750" s="7" t="s">
        <v>2425</v>
      </c>
      <c r="C750" s="7" t="s">
        <v>2426</v>
      </c>
      <c r="D750" s="6">
        <v>0.15335112810134902</v>
      </c>
      <c r="E750" s="6">
        <v>-0.9965434074401861</v>
      </c>
      <c r="F750" s="6">
        <v>2.1010336875915532</v>
      </c>
      <c r="G750" s="6">
        <v>-0.8951557278633121</v>
      </c>
      <c r="H750" s="6">
        <v>1.0323783159255979</v>
      </c>
      <c r="I750" s="6">
        <v>1.21081531047821</v>
      </c>
      <c r="J750" s="6">
        <v>2.3209784030914311</v>
      </c>
      <c r="K750" s="6">
        <v>-0.59465807676315308</v>
      </c>
      <c r="L750" s="6">
        <v>-4.5936182141304002E-2</v>
      </c>
      <c r="M750" s="6">
        <v>-1.0088076591491699</v>
      </c>
      <c r="N750" s="6">
        <v>1.0331232924360041</v>
      </c>
      <c r="O750" s="6"/>
      <c r="P750" s="6">
        <v>0.50539958096110105</v>
      </c>
      <c r="Q750" s="6"/>
      <c r="R750" s="6">
        <v>10.816433574516681</v>
      </c>
      <c r="S750" s="6"/>
      <c r="T750" s="6">
        <v>4.5994157791137704</v>
      </c>
      <c r="U750" s="6" t="str">
        <f>_xll.BDP($A750,"TRAILING_12M_R&amp;D_%_SALES",$A$1,$A$2)</f>
        <v>#N/A N/A</v>
      </c>
      <c r="V750" s="6">
        <v>40</v>
      </c>
      <c r="W750" s="6">
        <v>401010</v>
      </c>
      <c r="X750" s="6">
        <v>40101010</v>
      </c>
      <c r="Y750" s="7" t="s">
        <v>53</v>
      </c>
      <c r="Z750" s="7" t="s">
        <v>76</v>
      </c>
      <c r="AA750" s="7" t="s">
        <v>77</v>
      </c>
      <c r="AB750" s="6">
        <v>64.832511901855469</v>
      </c>
      <c r="AC750" s="6">
        <v>0.91889707688812206</v>
      </c>
      <c r="AD750" s="6">
        <v>24.003914519008028</v>
      </c>
      <c r="AE750" s="6">
        <v>81957</v>
      </c>
      <c r="AF750" s="6">
        <v>86693</v>
      </c>
    </row>
    <row r="751" spans="1:32" s="4" customFormat="1" ht="12.75" x14ac:dyDescent="0.2">
      <c r="A751" s="7" t="s">
        <v>2427</v>
      </c>
      <c r="B751" s="7" t="s">
        <v>2428</v>
      </c>
      <c r="C751" s="7" t="s">
        <v>2429</v>
      </c>
      <c r="D751" s="6">
        <v>-0.84242230653762806</v>
      </c>
      <c r="E751" s="6">
        <v>0.15525138378143302</v>
      </c>
      <c r="F751" s="6">
        <v>1.0823426246643071</v>
      </c>
      <c r="G751" s="6">
        <v>-0.95977276563644409</v>
      </c>
      <c r="H751" s="6">
        <v>0.20659221708774603</v>
      </c>
      <c r="I751" s="6">
        <v>0.53939807415008501</v>
      </c>
      <c r="J751" s="6">
        <v>-7.3901779949665E-2</v>
      </c>
      <c r="K751" s="6">
        <v>-0.34608113765716603</v>
      </c>
      <c r="L751" s="6">
        <v>0.77163857221603405</v>
      </c>
      <c r="M751" s="6">
        <v>5.5524662137032006E-2</v>
      </c>
      <c r="N751" s="6">
        <v>4.6449221714176314</v>
      </c>
      <c r="O751" s="6">
        <v>4.9372088018824494</v>
      </c>
      <c r="P751" s="6">
        <v>6.1700467044351628</v>
      </c>
      <c r="Q751" s="6">
        <v>5.6545235401128204</v>
      </c>
      <c r="R751" s="6">
        <v>16.766355318970568</v>
      </c>
      <c r="S751" s="6">
        <v>21.976908220773602</v>
      </c>
      <c r="T751" s="6">
        <v>32.803840637207031</v>
      </c>
      <c r="U751" s="6" t="str">
        <f>_xll.BDP($A751,"TRAILING_12M_R&amp;D_%_SALES",$A$1,$A$2)</f>
        <v>#N/A N/A</v>
      </c>
      <c r="V751" s="6">
        <v>15</v>
      </c>
      <c r="W751" s="6">
        <v>151040</v>
      </c>
      <c r="X751" s="6">
        <v>15104025</v>
      </c>
      <c r="Y751" s="7" t="s">
        <v>38</v>
      </c>
      <c r="Z751" s="7" t="s">
        <v>71</v>
      </c>
      <c r="AA751" s="7" t="s">
        <v>1192</v>
      </c>
      <c r="AB751" s="6">
        <v>49.834022521972656</v>
      </c>
      <c r="AC751" s="6">
        <v>0.86964563135705109</v>
      </c>
      <c r="AD751" s="6">
        <v>4.988230097856472</v>
      </c>
      <c r="AE751" s="6">
        <v>14700</v>
      </c>
      <c r="AF751" s="6">
        <v>13414</v>
      </c>
    </row>
    <row r="752" spans="1:32" s="4" customFormat="1" ht="12.75" x14ac:dyDescent="0.2">
      <c r="A752" s="7" t="s">
        <v>2430</v>
      </c>
      <c r="B752" s="7" t="s">
        <v>2431</v>
      </c>
      <c r="C752" s="7" t="s">
        <v>2432</v>
      </c>
      <c r="D752" s="6">
        <v>0.37267461419105502</v>
      </c>
      <c r="E752" s="6">
        <v>-1.0087587833404541</v>
      </c>
      <c r="F752" s="6">
        <v>2.5134046077728271</v>
      </c>
      <c r="G752" s="6">
        <v>-0.36570429801940901</v>
      </c>
      <c r="H752" s="6">
        <v>1.596634984016418</v>
      </c>
      <c r="I752" s="6">
        <v>-5.3193431347609003E-2</v>
      </c>
      <c r="J752" s="6">
        <v>2.5824933052062988</v>
      </c>
      <c r="K752" s="6">
        <v>-0.92587137222290006</v>
      </c>
      <c r="L752" s="6">
        <v>2.5858139991760249</v>
      </c>
      <c r="M752" s="6">
        <v>-0.92319482564926103</v>
      </c>
      <c r="N752" s="6">
        <v>0.70228800733352204</v>
      </c>
      <c r="O752" s="6">
        <v>0.72156268930499501</v>
      </c>
      <c r="P752" s="6">
        <v>0.28957013439698204</v>
      </c>
      <c r="Q752" s="6">
        <v>0.31464190263314301</v>
      </c>
      <c r="R752" s="6">
        <v>8.7455173146264542</v>
      </c>
      <c r="S752" s="6">
        <v>5.3564874311204171</v>
      </c>
      <c r="T752" s="6">
        <v>3.567553043365479</v>
      </c>
      <c r="U752" s="6" t="str">
        <f>_xll.BDP($A752,"TRAILING_12M_R&amp;D_%_SALES",$A$1,$A$2)</f>
        <v>#N/A N/A</v>
      </c>
      <c r="V752" s="6">
        <v>40</v>
      </c>
      <c r="W752" s="6">
        <v>401010</v>
      </c>
      <c r="X752" s="6">
        <v>40101010</v>
      </c>
      <c r="Y752" s="7" t="s">
        <v>53</v>
      </c>
      <c r="Z752" s="7" t="s">
        <v>76</v>
      </c>
      <c r="AA752" s="7" t="s">
        <v>77</v>
      </c>
      <c r="AB752" s="6">
        <v>62.528919219970703</v>
      </c>
      <c r="AC752" s="6">
        <v>0.81950025611955601</v>
      </c>
      <c r="AD752" s="6">
        <v>-20.760736239127997</v>
      </c>
      <c r="AE752" s="6">
        <v>131000</v>
      </c>
      <c r="AF752" s="6">
        <v>145672</v>
      </c>
    </row>
    <row r="753" spans="1:32" s="4" customFormat="1" ht="12.75" x14ac:dyDescent="0.2">
      <c r="A753" s="7" t="s">
        <v>2433</v>
      </c>
      <c r="B753" s="7" t="s">
        <v>2434</v>
      </c>
      <c r="C753" s="7" t="s">
        <v>2435</v>
      </c>
      <c r="D753" s="6">
        <v>0.37267461419105502</v>
      </c>
      <c r="E753" s="6">
        <v>-1.0087587833404541</v>
      </c>
      <c r="F753" s="6">
        <v>2.5134046077728271</v>
      </c>
      <c r="G753" s="6">
        <v>-0.36570429801940901</v>
      </c>
      <c r="H753" s="6">
        <v>1.596634984016418</v>
      </c>
      <c r="I753" s="6">
        <v>-5.3193431347609003E-2</v>
      </c>
      <c r="J753" s="6">
        <v>2.5824933052062988</v>
      </c>
      <c r="K753" s="6">
        <v>-0.92587137222290006</v>
      </c>
      <c r="L753" s="6">
        <v>2.5858139991760249</v>
      </c>
      <c r="M753" s="6">
        <v>-0.92319482564926103</v>
      </c>
      <c r="N753" s="6">
        <v>0.70228800733352204</v>
      </c>
      <c r="O753" s="6">
        <v>0.71222901218984502</v>
      </c>
      <c r="P753" s="6">
        <v>0.28957013439698204</v>
      </c>
      <c r="Q753" s="6">
        <v>0.31057027161869305</v>
      </c>
      <c r="R753" s="6">
        <v>8.7455173146264542</v>
      </c>
      <c r="S753" s="6">
        <v>5.2871813918542614</v>
      </c>
      <c r="T753" s="6">
        <v>3.567553043365479</v>
      </c>
      <c r="U753" s="6" t="str">
        <f>_xll.BDP($A753,"TRAILING_12M_R&amp;D_%_SALES",$A$1,$A$2)</f>
        <v>#N/A N/A</v>
      </c>
      <c r="V753" s="6">
        <v>40</v>
      </c>
      <c r="W753" s="6">
        <v>401010</v>
      </c>
      <c r="X753" s="6">
        <v>40101010</v>
      </c>
      <c r="Y753" s="7" t="s">
        <v>53</v>
      </c>
      <c r="Z753" s="7" t="s">
        <v>76</v>
      </c>
      <c r="AA753" s="7" t="s">
        <v>77</v>
      </c>
      <c r="AB753" s="6">
        <v>62.528919219970703</v>
      </c>
      <c r="AC753" s="6">
        <v>1.0082083436962861</v>
      </c>
      <c r="AD753" s="6">
        <v>-22.867297963188527</v>
      </c>
      <c r="AE753" s="6">
        <v>131000</v>
      </c>
      <c r="AF753" s="6">
        <v>145672</v>
      </c>
    </row>
    <row r="754" spans="1:32" s="4" customFormat="1" ht="12.75" x14ac:dyDescent="0.2">
      <c r="A754" s="7" t="s">
        <v>2436</v>
      </c>
      <c r="B754" s="7" t="s">
        <v>2437</v>
      </c>
      <c r="C754" s="7" t="s">
        <v>2438</v>
      </c>
      <c r="D754" s="6">
        <v>0.65476799011230502</v>
      </c>
      <c r="E754" s="6">
        <v>-0.19662795960903201</v>
      </c>
      <c r="F754" s="6">
        <v>0.36938044428825401</v>
      </c>
      <c r="G754" s="6">
        <v>-0.50234121084213301</v>
      </c>
      <c r="H754" s="6">
        <v>-0.50999981164932306</v>
      </c>
      <c r="I754" s="6">
        <v>0.182132333517075</v>
      </c>
      <c r="J754" s="6">
        <v>-0.16605882346630102</v>
      </c>
      <c r="K754" s="6">
        <v>3.2296758145094001E-2</v>
      </c>
      <c r="L754" s="6">
        <v>-0.29889580607414201</v>
      </c>
      <c r="M754" s="6">
        <v>-0.92655074596405007</v>
      </c>
      <c r="N754" s="6">
        <v>7.561264399963096</v>
      </c>
      <c r="O754" s="6">
        <v>6.6751354403211751</v>
      </c>
      <c r="P754" s="6">
        <v>5.7149563996532189</v>
      </c>
      <c r="Q754" s="6">
        <v>3.891948764708284</v>
      </c>
      <c r="R754" s="6">
        <v>23.77964458695617</v>
      </c>
      <c r="S754" s="6">
        <v>17.050688275634606</v>
      </c>
      <c r="T754" s="6">
        <v>16.942367553710938</v>
      </c>
      <c r="U754" s="6" t="str">
        <f>_xll.BDP($A754,"TRAILING_12M_R&amp;D_%_SALES",$A$1,$A$2)</f>
        <v>#N/A N/A</v>
      </c>
      <c r="V754" s="6">
        <v>40</v>
      </c>
      <c r="W754" s="6">
        <v>402030</v>
      </c>
      <c r="X754" s="6">
        <v>40203020</v>
      </c>
      <c r="Y754" s="7" t="s">
        <v>53</v>
      </c>
      <c r="Z754" s="7" t="s">
        <v>298</v>
      </c>
      <c r="AA754" s="7" t="s">
        <v>688</v>
      </c>
      <c r="AB754" s="6">
        <v>42.410221099853516</v>
      </c>
      <c r="AC754" s="6">
        <v>0.97067144546903106</v>
      </c>
      <c r="AD754" s="6">
        <v>-0.34804500341059103</v>
      </c>
      <c r="AE754" s="6">
        <v>33400</v>
      </c>
      <c r="AF754" s="6">
        <v>16200</v>
      </c>
    </row>
    <row r="755" spans="1:32" s="4" customFormat="1" ht="12.75" x14ac:dyDescent="0.2">
      <c r="A755" s="7" t="s">
        <v>2439</v>
      </c>
      <c r="B755" s="7" t="s">
        <v>2440</v>
      </c>
      <c r="C755" s="7" t="s">
        <v>2441</v>
      </c>
      <c r="D755" s="6">
        <v>-0.87194490432739302</v>
      </c>
      <c r="E755" s="6">
        <v>-0.46775683760643005</v>
      </c>
      <c r="F755" s="6">
        <v>-0.75219500064849909</v>
      </c>
      <c r="G755" s="6">
        <v>-0.89380127191543612</v>
      </c>
      <c r="H755" s="6">
        <v>0.181346446275711</v>
      </c>
      <c r="I755" s="6">
        <v>0.33775925636291504</v>
      </c>
      <c r="J755" s="6">
        <v>0.37448644638061501</v>
      </c>
      <c r="K755" s="6">
        <v>-0.91298741102218606</v>
      </c>
      <c r="L755" s="6">
        <v>1.2951740026473999</v>
      </c>
      <c r="M755" s="6">
        <v>-0.80556249618530307</v>
      </c>
      <c r="N755" s="6">
        <v>2.37169519095873</v>
      </c>
      <c r="O755" s="6">
        <v>2.366764950326584</v>
      </c>
      <c r="P755" s="6">
        <v>2.4382481793851811</v>
      </c>
      <c r="Q755" s="6">
        <v>2.2829937207156812</v>
      </c>
      <c r="R755" s="6">
        <v>17.377025004371582</v>
      </c>
      <c r="S755" s="6">
        <v>16.722771300100575</v>
      </c>
      <c r="T755" s="6">
        <v>14.177738189697266</v>
      </c>
      <c r="U755" s="6">
        <f>_xll.BDP($A755,"TRAILING_12M_R&amp;D_%_SALES",$A$1,$A$2)</f>
        <v>0</v>
      </c>
      <c r="V755" s="6">
        <v>50</v>
      </c>
      <c r="W755" s="6">
        <v>501010</v>
      </c>
      <c r="X755" s="6">
        <v>50101020</v>
      </c>
      <c r="Y755" s="7" t="s">
        <v>367</v>
      </c>
      <c r="Z755" s="7" t="s">
        <v>458</v>
      </c>
      <c r="AA755" s="7" t="s">
        <v>459</v>
      </c>
      <c r="AB755" s="6">
        <v>64.923042297363281</v>
      </c>
      <c r="AC755" s="6">
        <v>0.49072114868320105</v>
      </c>
      <c r="AD755" s="6">
        <v>1.5990708489004519</v>
      </c>
      <c r="AE755" s="6">
        <v>18905</v>
      </c>
      <c r="AF755" s="6">
        <v>21127</v>
      </c>
    </row>
    <row r="756" spans="1:32" s="4" customFormat="1" ht="12.75" x14ac:dyDescent="0.2">
      <c r="A756" s="7" t="s">
        <v>2442</v>
      </c>
      <c r="B756" s="7" t="s">
        <v>2443</v>
      </c>
      <c r="C756" s="7" t="s">
        <v>2444</v>
      </c>
      <c r="D756" s="6">
        <v>-0.86117160320282005</v>
      </c>
      <c r="E756" s="6">
        <v>-0.39378088712692305</v>
      </c>
      <c r="F756" s="6">
        <v>-1.0725992918014531</v>
      </c>
      <c r="G756" s="6">
        <v>-0.98262268304824807</v>
      </c>
      <c r="H756" s="6">
        <v>2.0877646282315001E-2</v>
      </c>
      <c r="I756" s="6">
        <v>-0.53425574302673307</v>
      </c>
      <c r="J756" s="6">
        <v>1.5079923868179321</v>
      </c>
      <c r="K756" s="6">
        <v>-0.72572016716003407</v>
      </c>
      <c r="L756" s="6">
        <v>1.0925015211105351</v>
      </c>
      <c r="M756" s="6">
        <v>-0.79888969659805309</v>
      </c>
      <c r="N756" s="6">
        <v>0.69549343871289504</v>
      </c>
      <c r="O756" s="6"/>
      <c r="P756" s="6">
        <v>1.037586466649927</v>
      </c>
      <c r="Q756" s="6"/>
      <c r="R756" s="6">
        <v>13.895503977308294</v>
      </c>
      <c r="S756" s="6"/>
      <c r="T756" s="6">
        <v>7.8275399208068848</v>
      </c>
      <c r="U756" s="6">
        <f>_xll.BDP($A756,"TRAILING_12M_R&amp;D_%_SALES",$A$1,$A$2)</f>
        <v>0</v>
      </c>
      <c r="V756" s="6">
        <v>15</v>
      </c>
      <c r="W756" s="6">
        <v>151020</v>
      </c>
      <c r="X756" s="6">
        <v>15102010</v>
      </c>
      <c r="Y756" s="7" t="s">
        <v>38</v>
      </c>
      <c r="Z756" s="7" t="s">
        <v>39</v>
      </c>
      <c r="AA756" s="7" t="s">
        <v>39</v>
      </c>
      <c r="AB756" s="6">
        <v>78.291923522949219</v>
      </c>
      <c r="AC756" s="6"/>
      <c r="AD756" s="6"/>
      <c r="AE756" s="6"/>
      <c r="AF756" s="6"/>
    </row>
    <row r="757" spans="1:32" s="4" customFormat="1" ht="12.75" x14ac:dyDescent="0.2">
      <c r="A757" s="7" t="s">
        <v>2445</v>
      </c>
      <c r="B757" s="7" t="s">
        <v>2446</v>
      </c>
      <c r="C757" s="7" t="s">
        <v>2447</v>
      </c>
      <c r="D757" s="6">
        <v>-0.99615955352783203</v>
      </c>
      <c r="E757" s="6">
        <v>-0.57500767707824707</v>
      </c>
      <c r="F757" s="6">
        <v>0.86689037084579512</v>
      </c>
      <c r="G757" s="6">
        <v>-0.94407421350479104</v>
      </c>
      <c r="H757" s="6">
        <v>0.54316365718841608</v>
      </c>
      <c r="I757" s="6">
        <v>0.86975437402725209</v>
      </c>
      <c r="J757" s="6">
        <v>0.16386559605598403</v>
      </c>
      <c r="K757" s="6">
        <v>-0.93094873428344704</v>
      </c>
      <c r="L757" s="6">
        <v>0.47948285937309304</v>
      </c>
      <c r="M757" s="6">
        <v>-0.59631949663162209</v>
      </c>
      <c r="N757" s="6">
        <v>0.61967032417777301</v>
      </c>
      <c r="O757" s="6"/>
      <c r="P757" s="6">
        <v>2.9714613414417941</v>
      </c>
      <c r="Q757" s="6"/>
      <c r="R757" s="6">
        <v>18.849598065349696</v>
      </c>
      <c r="S757" s="6"/>
      <c r="T757" s="6">
        <v>18.328058242797852</v>
      </c>
      <c r="U757" s="6">
        <f>_xll.BDP($A757,"TRAILING_12M_R&amp;D_%_SALES",$A$1,$A$2)</f>
        <v>0</v>
      </c>
      <c r="V757" s="6">
        <v>25</v>
      </c>
      <c r="W757" s="6">
        <v>253010</v>
      </c>
      <c r="X757" s="6">
        <v>25301040</v>
      </c>
      <c r="Y757" s="7" t="s">
        <v>108</v>
      </c>
      <c r="Z757" s="7" t="s">
        <v>109</v>
      </c>
      <c r="AA757" s="7" t="s">
        <v>1798</v>
      </c>
      <c r="AB757" s="6">
        <v>56.855445861816406</v>
      </c>
      <c r="AC757" s="6">
        <v>0.84657501457275408</v>
      </c>
      <c r="AD757" s="6">
        <v>11.548535650282687</v>
      </c>
      <c r="AE757" s="6">
        <v>422000</v>
      </c>
      <c r="AF757" s="6">
        <v>427000</v>
      </c>
    </row>
    <row r="758" spans="1:32" s="4" customFormat="1" ht="12.75" x14ac:dyDescent="0.2">
      <c r="A758" s="7" t="s">
        <v>2448</v>
      </c>
      <c r="B758" s="7" t="s">
        <v>2449</v>
      </c>
      <c r="C758" s="7" t="s">
        <v>2450</v>
      </c>
      <c r="D758" s="6">
        <v>-0.99615955352783203</v>
      </c>
      <c r="E758" s="6">
        <v>-0.57500767707824707</v>
      </c>
      <c r="F758" s="6">
        <v>0.86689037084579512</v>
      </c>
      <c r="G758" s="6">
        <v>-0.94407421350479104</v>
      </c>
      <c r="H758" s="6">
        <v>0.54316365718841608</v>
      </c>
      <c r="I758" s="6">
        <v>0.86975437402725209</v>
      </c>
      <c r="J758" s="6">
        <v>0.16386559605598403</v>
      </c>
      <c r="K758" s="6">
        <v>-0.93094873428344704</v>
      </c>
      <c r="L758" s="6">
        <v>0.47948285937309304</v>
      </c>
      <c r="M758" s="6">
        <v>-0.59631949663162209</v>
      </c>
      <c r="N758" s="6">
        <v>0.61967032417777301</v>
      </c>
      <c r="O758" s="6">
        <v>0.57051639151629008</v>
      </c>
      <c r="P758" s="6">
        <v>2.9714613414417941</v>
      </c>
      <c r="Q758" s="6">
        <v>2.8138264298190689</v>
      </c>
      <c r="R758" s="6">
        <v>18.849598065349696</v>
      </c>
      <c r="S758" s="6">
        <v>15.987300775090795</v>
      </c>
      <c r="T758" s="6">
        <v>18.328058242797852</v>
      </c>
      <c r="U758" s="6">
        <f>_xll.BDP($A758,"TRAILING_12M_R&amp;D_%_SALES",$A$1,$A$2)</f>
        <v>0</v>
      </c>
      <c r="V758" s="6">
        <v>25</v>
      </c>
      <c r="W758" s="6">
        <v>253010</v>
      </c>
      <c r="X758" s="6">
        <v>25301040</v>
      </c>
      <c r="Y758" s="7" t="s">
        <v>108</v>
      </c>
      <c r="Z758" s="7" t="s">
        <v>109</v>
      </c>
      <c r="AA758" s="7" t="s">
        <v>1798</v>
      </c>
      <c r="AB758" s="6">
        <v>56.855445861816406</v>
      </c>
      <c r="AC758" s="6">
        <v>0.49637996954196606</v>
      </c>
      <c r="AD758" s="6">
        <v>20.594823015836393</v>
      </c>
      <c r="AE758" s="6">
        <v>422000</v>
      </c>
      <c r="AF758" s="6">
        <v>427000</v>
      </c>
    </row>
    <row r="759" spans="1:32" s="4" customFormat="1" ht="12.75" x14ac:dyDescent="0.2">
      <c r="A759" s="7" t="s">
        <v>2451</v>
      </c>
      <c r="B759" s="7" t="s">
        <v>2452</v>
      </c>
      <c r="C759" s="7" t="s">
        <v>2453</v>
      </c>
      <c r="D759" s="6">
        <v>-0.97636198997497603</v>
      </c>
      <c r="E759" s="6">
        <v>-2.5829555988311772</v>
      </c>
      <c r="F759" s="6">
        <v>1.9001320600509639</v>
      </c>
      <c r="G759" s="6">
        <v>1.1238523721694951</v>
      </c>
      <c r="H759" s="6">
        <v>2.0086742937565003E-2</v>
      </c>
      <c r="I759" s="6">
        <v>-2.3007206916809082</v>
      </c>
      <c r="J759" s="6">
        <v>-1.4219734668731689</v>
      </c>
      <c r="K759" s="6">
        <v>0.76551175117492709</v>
      </c>
      <c r="L759" s="6">
        <v>-0.81727248430252109</v>
      </c>
      <c r="M759" s="6">
        <v>2.2616837024688721</v>
      </c>
      <c r="N759" s="6">
        <v>2.3689832386690099</v>
      </c>
      <c r="O759" s="6">
        <v>2.1089305918404881</v>
      </c>
      <c r="P759" s="6">
        <v>5.4843223459056878</v>
      </c>
      <c r="Q759" s="6">
        <v>6.3877338883991115</v>
      </c>
      <c r="R759" s="6"/>
      <c r="S759" s="6"/>
      <c r="T759" s="6">
        <v>-42.505954742431641</v>
      </c>
      <c r="U759" s="6">
        <f>_xll.BDP($A759,"TRAILING_12M_R&amp;D_%_SALES",$A$1,$A$2)</f>
        <v>7.6497195089931846</v>
      </c>
      <c r="V759" s="6">
        <v>50</v>
      </c>
      <c r="W759" s="6">
        <v>502020</v>
      </c>
      <c r="X759" s="6">
        <v>50202020</v>
      </c>
      <c r="Y759" s="7" t="s">
        <v>367</v>
      </c>
      <c r="Z759" s="7" t="s">
        <v>368</v>
      </c>
      <c r="AA759" s="7" t="s">
        <v>369</v>
      </c>
      <c r="AB759" s="6">
        <v>24.082084655761719</v>
      </c>
      <c r="AC759" s="6">
        <v>1.9635255269260301</v>
      </c>
      <c r="AD759" s="6">
        <v>-76.804422742813443</v>
      </c>
      <c r="AE759" s="6">
        <v>67300</v>
      </c>
      <c r="AF759" s="6"/>
    </row>
    <row r="760" spans="1:32" s="4" customFormat="1" ht="12.75" x14ac:dyDescent="0.2">
      <c r="A760" s="7" t="s">
        <v>2454</v>
      </c>
      <c r="B760" s="7" t="s">
        <v>2455</v>
      </c>
      <c r="C760" s="7" t="s">
        <v>2456</v>
      </c>
      <c r="D760" s="6">
        <v>-2.0382506772876001E-2</v>
      </c>
      <c r="E760" s="6">
        <v>-0.12665693461895</v>
      </c>
      <c r="F760" s="6">
        <v>-1.0694794654846189</v>
      </c>
      <c r="G760" s="6">
        <v>-0.92799454927444502</v>
      </c>
      <c r="H760" s="6">
        <v>0.8381822109222411</v>
      </c>
      <c r="I760" s="6">
        <v>0.29066312313079801</v>
      </c>
      <c r="J760" s="6">
        <v>0.554937303066254</v>
      </c>
      <c r="K760" s="6">
        <v>-0.42349544167518605</v>
      </c>
      <c r="L760" s="6">
        <v>1.9639360904693601</v>
      </c>
      <c r="M760" s="6">
        <v>-0.69282406568527211</v>
      </c>
      <c r="N760" s="6">
        <v>1.2135471980709001</v>
      </c>
      <c r="O760" s="6">
        <v>1.135572372238306</v>
      </c>
      <c r="P760" s="6">
        <v>3.8836448198763458</v>
      </c>
      <c r="Q760" s="6">
        <v>3.5006185776139018</v>
      </c>
      <c r="R760" s="6">
        <v>15.702828159623342</v>
      </c>
      <c r="S760" s="6">
        <v>13.327731903852454</v>
      </c>
      <c r="T760" s="6">
        <v>25.765768051147461</v>
      </c>
      <c r="U760" s="6" t="str">
        <f>_xll.BDP($A760,"TRAILING_12M_R&amp;D_%_SALES",$A$1,$A$2)</f>
        <v>#N/A N/A</v>
      </c>
      <c r="V760" s="6">
        <v>50</v>
      </c>
      <c r="W760" s="6">
        <v>501020</v>
      </c>
      <c r="X760" s="6">
        <v>50102010</v>
      </c>
      <c r="Y760" s="7" t="s">
        <v>367</v>
      </c>
      <c r="Z760" s="7" t="s">
        <v>1626</v>
      </c>
      <c r="AA760" s="7" t="s">
        <v>1626</v>
      </c>
      <c r="AB760" s="6">
        <v>60.738357543945313</v>
      </c>
      <c r="AC760" s="6">
        <v>0.46571370755714203</v>
      </c>
      <c r="AD760" s="6">
        <v>-10.815437791106197</v>
      </c>
      <c r="AE760" s="6">
        <v>49581</v>
      </c>
      <c r="AF760" s="6">
        <v>20033</v>
      </c>
    </row>
    <row r="761" spans="1:32" s="4" customFormat="1" ht="12.75" x14ac:dyDescent="0.2">
      <c r="A761" s="7" t="s">
        <v>2457</v>
      </c>
      <c r="B761" s="7" t="s">
        <v>2458</v>
      </c>
      <c r="C761" s="7" t="s">
        <v>2459</v>
      </c>
      <c r="D761" s="6">
        <v>0.44725486636161804</v>
      </c>
      <c r="E761" s="6">
        <v>-2.5250144004821782</v>
      </c>
      <c r="F761" s="6">
        <v>-9.3723483383656006E-2</v>
      </c>
      <c r="G761" s="6">
        <v>0.44365149736404402</v>
      </c>
      <c r="H761" s="6">
        <v>1.070482730865479</v>
      </c>
      <c r="I761" s="6">
        <v>0.75313735008239702</v>
      </c>
      <c r="J761" s="6">
        <v>-0.78267860412597701</v>
      </c>
      <c r="K761" s="6">
        <v>-1.0829203128814699</v>
      </c>
      <c r="L761" s="6">
        <v>-0.44353479146957403</v>
      </c>
      <c r="M761" s="6">
        <v>-0.43531513214111306</v>
      </c>
      <c r="N761" s="6">
        <v>1.4504270449421082</v>
      </c>
      <c r="O761" s="6">
        <v>1.4177719794140411</v>
      </c>
      <c r="P761" s="6">
        <v>0.76902184254219408</v>
      </c>
      <c r="Q761" s="6">
        <v>0.77040164944360201</v>
      </c>
      <c r="R761" s="6"/>
      <c r="S761" s="6">
        <v>18.36686541260428</v>
      </c>
      <c r="T761" s="6">
        <v>-20.896085739135742</v>
      </c>
      <c r="U761" s="6" t="str">
        <f>_xll.BDP($A761,"TRAILING_12M_R&amp;D_%_SALES",$A$1,$A$2)</f>
        <v>#N/A N/A</v>
      </c>
      <c r="V761" s="6">
        <v>50</v>
      </c>
      <c r="W761" s="6">
        <v>501020</v>
      </c>
      <c r="X761" s="6">
        <v>50102010</v>
      </c>
      <c r="Y761" s="7" t="s">
        <v>367</v>
      </c>
      <c r="Z761" s="7" t="s">
        <v>1626</v>
      </c>
      <c r="AA761" s="7" t="s">
        <v>1626</v>
      </c>
      <c r="AB761" s="6">
        <v>46.906749725341797</v>
      </c>
      <c r="AC761" s="6">
        <v>0.9066218348878271</v>
      </c>
      <c r="AD761" s="6">
        <v>-12.448381136556087</v>
      </c>
      <c r="AE761" s="6">
        <v>59721</v>
      </c>
      <c r="AF761" s="6">
        <v>68402</v>
      </c>
    </row>
    <row r="762" spans="1:32" s="4" customFormat="1" ht="12.75" x14ac:dyDescent="0.2">
      <c r="A762" s="7" t="s">
        <v>2460</v>
      </c>
      <c r="B762" s="7" t="s">
        <v>2461</v>
      </c>
      <c r="C762" s="7" t="s">
        <v>2462</v>
      </c>
      <c r="D762" s="6">
        <v>0.44725486636161804</v>
      </c>
      <c r="E762" s="6">
        <v>-2.5250144004821782</v>
      </c>
      <c r="F762" s="6">
        <v>-9.3723483383656006E-2</v>
      </c>
      <c r="G762" s="6">
        <v>0.44365149736404402</v>
      </c>
      <c r="H762" s="6">
        <v>1.070482730865479</v>
      </c>
      <c r="I762" s="6">
        <v>0.75313735008239702</v>
      </c>
      <c r="J762" s="6">
        <v>-0.78267860412597701</v>
      </c>
      <c r="K762" s="6">
        <v>-1.0829203128814699</v>
      </c>
      <c r="L762" s="6">
        <v>-0.44353479146957403</v>
      </c>
      <c r="M762" s="6">
        <v>-0.43531513214111306</v>
      </c>
      <c r="N762" s="6">
        <v>1.4504270449421082</v>
      </c>
      <c r="O762" s="6">
        <v>1.481308149254621</v>
      </c>
      <c r="P762" s="6">
        <v>0.76902184254219408</v>
      </c>
      <c r="Q762" s="6">
        <v>0.43854362075934006</v>
      </c>
      <c r="R762" s="6"/>
      <c r="S762" s="6">
        <v>6.4902559067122754</v>
      </c>
      <c r="T762" s="6">
        <v>-20.896085739135742</v>
      </c>
      <c r="U762" s="6" t="str">
        <f>_xll.BDP($A762,"TRAILING_12M_R&amp;D_%_SALES",$A$1,$A$2)</f>
        <v>#N/A N/A</v>
      </c>
      <c r="V762" s="6">
        <v>50</v>
      </c>
      <c r="W762" s="6">
        <v>501020</v>
      </c>
      <c r="X762" s="6">
        <v>50102010</v>
      </c>
      <c r="Y762" s="7" t="s">
        <v>367</v>
      </c>
      <c r="Z762" s="7" t="s">
        <v>1626</v>
      </c>
      <c r="AA762" s="7" t="s">
        <v>1626</v>
      </c>
      <c r="AB762" s="6">
        <v>46.906749725341797</v>
      </c>
      <c r="AC762" s="6">
        <v>1.1119983283204911</v>
      </c>
      <c r="AD762" s="6">
        <v>-12.216080537633033</v>
      </c>
      <c r="AE762" s="6">
        <v>59721</v>
      </c>
      <c r="AF762" s="6">
        <v>68402</v>
      </c>
    </row>
    <row r="763" spans="1:32" s="4" customFormat="1" ht="12.75" x14ac:dyDescent="0.2">
      <c r="A763" s="7" t="s">
        <v>2463</v>
      </c>
      <c r="B763" s="7" t="s">
        <v>2464</v>
      </c>
      <c r="C763" s="7" t="s">
        <v>2465</v>
      </c>
      <c r="D763" s="6">
        <v>-0.77319884300231911</v>
      </c>
      <c r="E763" s="6">
        <v>-0.64321535825729403</v>
      </c>
      <c r="F763" s="6">
        <v>-0.34756693243980402</v>
      </c>
      <c r="G763" s="6">
        <v>-0.95357996225357111</v>
      </c>
      <c r="H763" s="6">
        <v>-0.34285056591033902</v>
      </c>
      <c r="I763" s="6">
        <v>0.46619871258735701</v>
      </c>
      <c r="J763" s="6">
        <v>0.25629195570945701</v>
      </c>
      <c r="K763" s="6">
        <v>-1.089195132255554</v>
      </c>
      <c r="L763" s="6">
        <v>0.9501262307167051</v>
      </c>
      <c r="M763" s="6">
        <v>-0.84461128711700406</v>
      </c>
      <c r="N763" s="6">
        <v>2.838571308190212</v>
      </c>
      <c r="O763" s="6">
        <v>2.7608977283501419</v>
      </c>
      <c r="P763" s="6">
        <v>1.542413373259119</v>
      </c>
      <c r="Q763" s="6">
        <v>1.4468974517355331</v>
      </c>
      <c r="R763" s="6">
        <v>19.603355864283269</v>
      </c>
      <c r="S763" s="6">
        <v>16.106708115006676</v>
      </c>
      <c r="T763" s="6">
        <v>7.8436489105224609</v>
      </c>
      <c r="U763" s="6" t="str">
        <f>_xll.BDP($A763,"TRAILING_12M_R&amp;D_%_SALES",$A$1,$A$2)</f>
        <v>#N/A N/A</v>
      </c>
      <c r="V763" s="6">
        <v>50</v>
      </c>
      <c r="W763" s="6">
        <v>501010</v>
      </c>
      <c r="X763" s="6">
        <v>50101020</v>
      </c>
      <c r="Y763" s="7" t="s">
        <v>367</v>
      </c>
      <c r="Z763" s="7" t="s">
        <v>458</v>
      </c>
      <c r="AA763" s="7" t="s">
        <v>459</v>
      </c>
      <c r="AB763" s="6">
        <v>68.031387329101563</v>
      </c>
      <c r="AC763" s="6">
        <v>0.57376044261305303</v>
      </c>
      <c r="AD763" s="6">
        <v>16.381909372532142</v>
      </c>
      <c r="AE763" s="6">
        <v>22543</v>
      </c>
      <c r="AF763" s="6">
        <v>25590</v>
      </c>
    </row>
    <row r="764" spans="1:32" s="4" customFormat="1" ht="12.75" x14ac:dyDescent="0.2">
      <c r="A764" s="7" t="s">
        <v>2466</v>
      </c>
      <c r="B764" s="7" t="s">
        <v>2467</v>
      </c>
      <c r="C764" s="7" t="s">
        <v>2468</v>
      </c>
      <c r="D764" s="6">
        <v>-0.571458399295807</v>
      </c>
      <c r="E764" s="6">
        <v>-0.75981628894805908</v>
      </c>
      <c r="F764" s="6">
        <v>1.6655921936035161</v>
      </c>
      <c r="G764" s="6">
        <v>-0.86181789636611905</v>
      </c>
      <c r="H764" s="6">
        <v>-1.0397335290908809</v>
      </c>
      <c r="I764" s="6">
        <v>0.94051241874694802</v>
      </c>
      <c r="J764" s="6">
        <v>0.94803106784820612</v>
      </c>
      <c r="K764" s="6">
        <v>-0.54812443256378207</v>
      </c>
      <c r="L764" s="6">
        <v>2.090743780136108</v>
      </c>
      <c r="M764" s="6">
        <v>-0.99117118120193504</v>
      </c>
      <c r="N764" s="6">
        <v>2.079116394732746</v>
      </c>
      <c r="O764" s="6"/>
      <c r="P764" s="6">
        <v>1.318955619665122</v>
      </c>
      <c r="Q764" s="6"/>
      <c r="R764" s="6">
        <v>9.3842286057596276</v>
      </c>
      <c r="S764" s="6"/>
      <c r="T764" s="6">
        <v>14.839479446411133</v>
      </c>
      <c r="U764" s="6" t="str">
        <f>_xll.BDP($A764,"TRAILING_12M_R&amp;D_%_SALES",$A$1,$A$2)</f>
        <v>#N/A N/A</v>
      </c>
      <c r="V764" s="6">
        <v>40</v>
      </c>
      <c r="W764" s="6">
        <v>401010</v>
      </c>
      <c r="X764" s="6">
        <v>40101010</v>
      </c>
      <c r="Y764" s="7" t="s">
        <v>53</v>
      </c>
      <c r="Z764" s="7" t="s">
        <v>76</v>
      </c>
      <c r="AA764" s="7" t="s">
        <v>77</v>
      </c>
      <c r="AB764" s="6">
        <v>60.426517486572266</v>
      </c>
      <c r="AC764" s="6">
        <v>0.84317603540047403</v>
      </c>
      <c r="AD764" s="6">
        <v>16.868632657770544</v>
      </c>
      <c r="AE764" s="6">
        <v>43607</v>
      </c>
      <c r="AF764" s="6">
        <v>48622</v>
      </c>
    </row>
    <row r="765" spans="1:32" s="4" customFormat="1" ht="12.75" x14ac:dyDescent="0.2">
      <c r="A765" s="7" t="s">
        <v>2469</v>
      </c>
      <c r="B765" s="7" t="s">
        <v>2470</v>
      </c>
      <c r="C765" s="7" t="s">
        <v>2471</v>
      </c>
      <c r="D765" s="6">
        <v>-0.50049132108688399</v>
      </c>
      <c r="E765" s="6">
        <v>6.9781765341759006E-2</v>
      </c>
      <c r="F765" s="6">
        <v>1.3617457151412959</v>
      </c>
      <c r="G765" s="6">
        <v>-0.72693926095962502</v>
      </c>
      <c r="H765" s="6">
        <v>-1.3910964727401729</v>
      </c>
      <c r="I765" s="6">
        <v>0.11544368416070901</v>
      </c>
      <c r="J765" s="6">
        <v>0.76667714118957508</v>
      </c>
      <c r="K765" s="6">
        <v>-0.5637682080268861</v>
      </c>
      <c r="L765" s="6">
        <v>0.50291216373443604</v>
      </c>
      <c r="M765" s="6">
        <v>-0.39838096499443104</v>
      </c>
      <c r="N765" s="6">
        <v>2.6325781305984171</v>
      </c>
      <c r="O765" s="6">
        <v>2.552488455153485</v>
      </c>
      <c r="P765" s="6">
        <v>1.7492263223691542</v>
      </c>
      <c r="Q765" s="6">
        <v>1.6771620779208261</v>
      </c>
      <c r="R765" s="6">
        <v>9.9633215167036244</v>
      </c>
      <c r="S765" s="6">
        <v>10.543277939243318</v>
      </c>
      <c r="T765" s="6">
        <v>19.659860610961914</v>
      </c>
      <c r="U765" s="6">
        <f>_xll.BDP($A765,"TRAILING_12M_R&amp;D_%_SALES",$A$1,$A$2)</f>
        <v>2.7110555474466449</v>
      </c>
      <c r="V765" s="6">
        <v>15</v>
      </c>
      <c r="W765" s="6">
        <v>151010</v>
      </c>
      <c r="X765" s="6">
        <v>15101050</v>
      </c>
      <c r="Y765" s="7" t="s">
        <v>38</v>
      </c>
      <c r="Z765" s="7" t="s">
        <v>48</v>
      </c>
      <c r="AA765" s="7" t="s">
        <v>928</v>
      </c>
      <c r="AB765" s="6">
        <v>55.366664886474609</v>
      </c>
      <c r="AC765" s="6">
        <v>0.65178513540781302</v>
      </c>
      <c r="AD765" s="6">
        <v>-26.163537581075367</v>
      </c>
      <c r="AE765" s="6">
        <v>24954</v>
      </c>
      <c r="AF765" s="6">
        <v>19206</v>
      </c>
    </row>
    <row r="766" spans="1:32" s="4" customFormat="1" ht="12.75" x14ac:dyDescent="0.2">
      <c r="A766" s="7" t="s">
        <v>2472</v>
      </c>
      <c r="B766" s="7" t="s">
        <v>2473</v>
      </c>
      <c r="C766" s="7" t="s">
        <v>2474</v>
      </c>
      <c r="D766" s="6">
        <v>-0.50049132108688399</v>
      </c>
      <c r="E766" s="6">
        <v>6.9781765341759006E-2</v>
      </c>
      <c r="F766" s="6">
        <v>1.3617457151412959</v>
      </c>
      <c r="G766" s="6">
        <v>-0.72693926095962502</v>
      </c>
      <c r="H766" s="6">
        <v>-1.3910964727401729</v>
      </c>
      <c r="I766" s="6">
        <v>0.11544368416070901</v>
      </c>
      <c r="J766" s="6">
        <v>0.76667714118957508</v>
      </c>
      <c r="K766" s="6">
        <v>-0.5637682080268861</v>
      </c>
      <c r="L766" s="6">
        <v>0.50291216373443604</v>
      </c>
      <c r="M766" s="6">
        <v>-0.39838096499443104</v>
      </c>
      <c r="N766" s="6">
        <v>2.6325781305984171</v>
      </c>
      <c r="O766" s="6"/>
      <c r="P766" s="6">
        <v>1.7492263223691542</v>
      </c>
      <c r="Q766" s="6"/>
      <c r="R766" s="6">
        <v>9.9633215167036244</v>
      </c>
      <c r="S766" s="6"/>
      <c r="T766" s="6">
        <v>19.659860610961914</v>
      </c>
      <c r="U766" s="6">
        <f>_xll.BDP($A766,"TRAILING_12M_R&amp;D_%_SALES",$A$1,$A$2)</f>
        <v>2.7110555474466449</v>
      </c>
      <c r="V766" s="6">
        <v>15</v>
      </c>
      <c r="W766" s="6">
        <v>151010</v>
      </c>
      <c r="X766" s="6">
        <v>15101050</v>
      </c>
      <c r="Y766" s="7" t="s">
        <v>38</v>
      </c>
      <c r="Z766" s="7" t="s">
        <v>48</v>
      </c>
      <c r="AA766" s="7" t="s">
        <v>928</v>
      </c>
      <c r="AB766" s="6">
        <v>55.366664886474609</v>
      </c>
      <c r="AC766" s="6">
        <v>0.89141656149229209</v>
      </c>
      <c r="AD766" s="6">
        <v>-27.782589640901879</v>
      </c>
      <c r="AE766" s="6">
        <v>24954</v>
      </c>
      <c r="AF766" s="6">
        <v>19206</v>
      </c>
    </row>
    <row r="767" spans="1:32" s="4" customFormat="1" ht="12.75" x14ac:dyDescent="0.2">
      <c r="A767" s="7" t="s">
        <v>2475</v>
      </c>
      <c r="B767" s="7" t="s">
        <v>2476</v>
      </c>
      <c r="C767" s="7" t="s">
        <v>2477</v>
      </c>
      <c r="D767" s="6">
        <v>-0.12214075773954401</v>
      </c>
      <c r="E767" s="6">
        <v>-0.49254906177520802</v>
      </c>
      <c r="F767" s="6">
        <v>-4.1723120957613005E-2</v>
      </c>
      <c r="G767" s="6">
        <v>-0.79635334014892611</v>
      </c>
      <c r="H767" s="6">
        <v>1.3355481624603271</v>
      </c>
      <c r="I767" s="6">
        <v>0.39451721310615501</v>
      </c>
      <c r="J767" s="6">
        <v>1.1592521667480471</v>
      </c>
      <c r="K767" s="6">
        <v>-0.72368514537811302</v>
      </c>
      <c r="L767" s="6">
        <v>-0.27677720785141002</v>
      </c>
      <c r="M767" s="6">
        <v>-0.97645920515060403</v>
      </c>
      <c r="N767" s="6">
        <v>0.62211640671163904</v>
      </c>
      <c r="O767" s="6"/>
      <c r="P767" s="6">
        <v>0.37506743863386105</v>
      </c>
      <c r="Q767" s="6"/>
      <c r="R767" s="6">
        <v>4.0314216923971689</v>
      </c>
      <c r="S767" s="6">
        <v>3.526608899460201</v>
      </c>
      <c r="T767" s="6">
        <v>9.6717052459716797</v>
      </c>
      <c r="U767" s="6" t="str">
        <f>_xll.BDP($A767,"TRAILING_12M_R&amp;D_%_SALES",$A$1,$A$2)</f>
        <v>#N/A N/A</v>
      </c>
      <c r="V767" s="6">
        <v>40</v>
      </c>
      <c r="W767" s="6">
        <v>401010</v>
      </c>
      <c r="X767" s="6">
        <v>40101010</v>
      </c>
      <c r="Y767" s="7" t="s">
        <v>53</v>
      </c>
      <c r="Z767" s="7" t="s">
        <v>76</v>
      </c>
      <c r="AA767" s="7" t="s">
        <v>77</v>
      </c>
      <c r="AB767" s="6">
        <v>67.860374450683594</v>
      </c>
      <c r="AC767" s="6">
        <v>0.82333957316047302</v>
      </c>
      <c r="AD767" s="6">
        <v>-4.5082925342443954</v>
      </c>
      <c r="AE767" s="6"/>
      <c r="AF767" s="6"/>
    </row>
    <row r="768" spans="1:32" s="4" customFormat="1" ht="12.75" x14ac:dyDescent="0.2">
      <c r="A768" s="7" t="s">
        <v>2478</v>
      </c>
      <c r="B768" s="7" t="s">
        <v>2479</v>
      </c>
      <c r="C768" s="7" t="s">
        <v>2480</v>
      </c>
      <c r="D768" s="6">
        <v>-0.99170374870300304</v>
      </c>
      <c r="E768" s="6">
        <v>-0.82388597726821911</v>
      </c>
      <c r="F768" s="6">
        <v>0.87842422723770108</v>
      </c>
      <c r="G768" s="6">
        <v>-0.59213429689407304</v>
      </c>
      <c r="H768" s="6">
        <v>-0.95555263757705711</v>
      </c>
      <c r="I768" s="6">
        <v>0.28235158324241605</v>
      </c>
      <c r="J768" s="6">
        <v>1.2479157447814941</v>
      </c>
      <c r="K768" s="6">
        <v>0.31290310621261602</v>
      </c>
      <c r="L768" s="6">
        <v>1.012235283851624</v>
      </c>
      <c r="M768" s="6">
        <v>-0.348043262958527</v>
      </c>
      <c r="N768" s="6">
        <v>0.15704916420655701</v>
      </c>
      <c r="O768" s="6">
        <v>0.23229513860501602</v>
      </c>
      <c r="P768" s="6">
        <v>0.64941264203702309</v>
      </c>
      <c r="Q768" s="6">
        <v>0.595324689446316</v>
      </c>
      <c r="R768" s="6">
        <v>6.8858273466191307</v>
      </c>
      <c r="S768" s="6">
        <v>6.5470812721228304</v>
      </c>
      <c r="T768" s="6">
        <v>9.237584114074707</v>
      </c>
      <c r="U768" s="6">
        <f>_xll.BDP($A768,"TRAILING_12M_R&amp;D_%_SALES",$A$1,$A$2)</f>
        <v>1.1156011799458077</v>
      </c>
      <c r="V768" s="6">
        <v>35</v>
      </c>
      <c r="W768" s="6">
        <v>351020</v>
      </c>
      <c r="X768" s="6">
        <v>35102010</v>
      </c>
      <c r="Y768" s="7" t="s">
        <v>86</v>
      </c>
      <c r="Z768" s="7" t="s">
        <v>601</v>
      </c>
      <c r="AA768" s="7" t="s">
        <v>602</v>
      </c>
      <c r="AB768" s="6">
        <v>53.948295593261719</v>
      </c>
      <c r="AC768" s="6">
        <v>0.43132813220270805</v>
      </c>
      <c r="AD768" s="6">
        <v>-1.5117760057839711</v>
      </c>
      <c r="AE768" s="6">
        <v>47056</v>
      </c>
      <c r="AF768" s="6">
        <v>40852</v>
      </c>
    </row>
    <row r="769" spans="1:32" s="4" customFormat="1" ht="12.75" x14ac:dyDescent="0.2">
      <c r="A769" s="7" t="s">
        <v>2481</v>
      </c>
      <c r="B769" s="7" t="s">
        <v>2482</v>
      </c>
      <c r="C769" s="7" t="s">
        <v>2483</v>
      </c>
      <c r="D769" s="6">
        <v>-0.99170374870300304</v>
      </c>
      <c r="E769" s="6">
        <v>-0.82388597726821911</v>
      </c>
      <c r="F769" s="6">
        <v>0.87842422723770108</v>
      </c>
      <c r="G769" s="6">
        <v>-0.59213429689407304</v>
      </c>
      <c r="H769" s="6">
        <v>-0.95555263757705711</v>
      </c>
      <c r="I769" s="6">
        <v>0.28235158324241605</v>
      </c>
      <c r="J769" s="6">
        <v>1.2479157447814941</v>
      </c>
      <c r="K769" s="6">
        <v>0.31290310621261602</v>
      </c>
      <c r="L769" s="6">
        <v>1.012235283851624</v>
      </c>
      <c r="M769" s="6">
        <v>-0.348043262958527</v>
      </c>
      <c r="N769" s="6">
        <v>0.15704916420655701</v>
      </c>
      <c r="O769" s="6"/>
      <c r="P769" s="6">
        <v>0.64941264203702309</v>
      </c>
      <c r="Q769" s="6"/>
      <c r="R769" s="6">
        <v>6.8858273466191307</v>
      </c>
      <c r="S769" s="6"/>
      <c r="T769" s="6">
        <v>9.237584114074707</v>
      </c>
      <c r="U769" s="6">
        <f>_xll.BDP($A769,"TRAILING_12M_R&amp;D_%_SALES",$A$1,$A$2)</f>
        <v>1.1156011799458077</v>
      </c>
      <c r="V769" s="6">
        <v>35</v>
      </c>
      <c r="W769" s="6">
        <v>351020</v>
      </c>
      <c r="X769" s="6">
        <v>35102010</v>
      </c>
      <c r="Y769" s="7" t="s">
        <v>86</v>
      </c>
      <c r="Z769" s="7" t="s">
        <v>601</v>
      </c>
      <c r="AA769" s="7" t="s">
        <v>602</v>
      </c>
      <c r="AB769" s="6">
        <v>53.948295593261719</v>
      </c>
      <c r="AC769" s="6">
        <v>0.567078229123958</v>
      </c>
      <c r="AD769" s="6">
        <v>-5.3518608402094214</v>
      </c>
      <c r="AE769" s="6">
        <v>47056</v>
      </c>
      <c r="AF769" s="6">
        <v>40852</v>
      </c>
    </row>
    <row r="770" spans="1:32" s="4" customFormat="1" ht="12.75" x14ac:dyDescent="0.2">
      <c r="A770" s="7" t="s">
        <v>2484</v>
      </c>
      <c r="B770" s="7" t="s">
        <v>2485</v>
      </c>
      <c r="C770" s="7" t="s">
        <v>2486</v>
      </c>
      <c r="D770" s="6">
        <v>-0.65268760919570901</v>
      </c>
      <c r="E770" s="6">
        <v>-0.71383011341095004</v>
      </c>
      <c r="F770" s="6">
        <v>0.11859838664531701</v>
      </c>
      <c r="G770" s="6">
        <v>-0.52829957008361805</v>
      </c>
      <c r="H770" s="6">
        <v>0.75213998556137107</v>
      </c>
      <c r="I770" s="6">
        <v>0.75715994834899902</v>
      </c>
      <c r="J770" s="6">
        <v>1.8353632688522341</v>
      </c>
      <c r="K770" s="6">
        <v>0.69263780117034901</v>
      </c>
      <c r="L770" s="6">
        <v>1.3523657321929932</v>
      </c>
      <c r="M770" s="6">
        <v>-0.28427037596702603</v>
      </c>
      <c r="N770" s="6">
        <v>0.102637022720603</v>
      </c>
      <c r="O770" s="6">
        <v>8.7780499785574007E-2</v>
      </c>
      <c r="P770" s="6">
        <v>0.86568733860927405</v>
      </c>
      <c r="Q770" s="6">
        <v>0.67349724203360406</v>
      </c>
      <c r="R770" s="6">
        <v>6.9668638309250204</v>
      </c>
      <c r="S770" s="6">
        <v>6.0274018435158441</v>
      </c>
      <c r="T770" s="6">
        <v>13.004326820373535</v>
      </c>
      <c r="U770" s="6" t="str">
        <f>_xll.BDP($A770,"TRAILING_12M_R&amp;D_%_SALES",$A$1,$A$2)</f>
        <v>#N/A N/A</v>
      </c>
      <c r="V770" s="6">
        <v>35</v>
      </c>
      <c r="W770" s="6">
        <v>351020</v>
      </c>
      <c r="X770" s="6">
        <v>35102010</v>
      </c>
      <c r="Y770" s="7" t="s">
        <v>86</v>
      </c>
      <c r="Z770" s="7" t="s">
        <v>601</v>
      </c>
      <c r="AA770" s="7" t="s">
        <v>602</v>
      </c>
      <c r="AB770" s="6">
        <v>54.139423370361328</v>
      </c>
      <c r="AC770" s="6">
        <v>0.56153160450736006</v>
      </c>
      <c r="AD770" s="6">
        <v>22.295202919709368</v>
      </c>
      <c r="AE770" s="6">
        <v>113234</v>
      </c>
      <c r="AF770" s="6">
        <v>55241</v>
      </c>
    </row>
    <row r="771" spans="1:32" s="4" customFormat="1" ht="12.75" x14ac:dyDescent="0.2">
      <c r="A771" s="7" t="s">
        <v>2487</v>
      </c>
      <c r="B771" s="7" t="s">
        <v>2488</v>
      </c>
      <c r="C771" s="7" t="s">
        <v>2489</v>
      </c>
      <c r="D771" s="6">
        <v>-0.65268760919570901</v>
      </c>
      <c r="E771" s="6">
        <v>-0.71383011341095004</v>
      </c>
      <c r="F771" s="6">
        <v>0.11859838664531701</v>
      </c>
      <c r="G771" s="6">
        <v>-0.52829957008361805</v>
      </c>
      <c r="H771" s="6">
        <v>0.75213998556137107</v>
      </c>
      <c r="I771" s="6">
        <v>0.75715994834899902</v>
      </c>
      <c r="J771" s="6">
        <v>1.8353632688522341</v>
      </c>
      <c r="K771" s="6">
        <v>0.69263780117034901</v>
      </c>
      <c r="L771" s="6">
        <v>1.3523657321929932</v>
      </c>
      <c r="M771" s="6">
        <v>-0.28427037596702603</v>
      </c>
      <c r="N771" s="6">
        <v>0.102637022720603</v>
      </c>
      <c r="O771" s="6"/>
      <c r="P771" s="6">
        <v>0.86568733860927405</v>
      </c>
      <c r="Q771" s="6"/>
      <c r="R771" s="6">
        <v>6.9668638309250204</v>
      </c>
      <c r="S771" s="6"/>
      <c r="T771" s="6">
        <v>13.004326820373535</v>
      </c>
      <c r="U771" s="6" t="str">
        <f>_xll.BDP($A771,"TRAILING_12M_R&amp;D_%_SALES",$A$1,$A$2)</f>
        <v>#N/A N/A</v>
      </c>
      <c r="V771" s="6">
        <v>35</v>
      </c>
      <c r="W771" s="6">
        <v>351020</v>
      </c>
      <c r="X771" s="6">
        <v>35102010</v>
      </c>
      <c r="Y771" s="7" t="s">
        <v>86</v>
      </c>
      <c r="Z771" s="7" t="s">
        <v>601</v>
      </c>
      <c r="AA771" s="7" t="s">
        <v>602</v>
      </c>
      <c r="AB771" s="6">
        <v>54.139423370361328</v>
      </c>
      <c r="AC771" s="6">
        <v>0.56912728348767405</v>
      </c>
      <c r="AD771" s="6">
        <v>21.752765441530862</v>
      </c>
      <c r="AE771" s="6">
        <v>113234</v>
      </c>
      <c r="AF771" s="6">
        <v>55241</v>
      </c>
    </row>
    <row r="772" spans="1:32" s="4" customFormat="1" ht="12.75" x14ac:dyDescent="0.2">
      <c r="A772" s="7" t="s">
        <v>2490</v>
      </c>
      <c r="B772" s="7" t="s">
        <v>2491</v>
      </c>
      <c r="C772" s="7" t="s">
        <v>2492</v>
      </c>
      <c r="D772" s="6">
        <v>-0.523687124252319</v>
      </c>
      <c r="E772" s="6">
        <v>0.340564996004105</v>
      </c>
      <c r="F772" s="6">
        <v>-8.4772974252701E-2</v>
      </c>
      <c r="G772" s="6">
        <v>-0.19418990612030002</v>
      </c>
      <c r="H772" s="6">
        <v>0.99414974451065108</v>
      </c>
      <c r="I772" s="6">
        <v>-0.56281328201293901</v>
      </c>
      <c r="J772" s="6">
        <v>-0.41092479228973405</v>
      </c>
      <c r="K772" s="6">
        <v>-0.52339726686477706</v>
      </c>
      <c r="L772" s="6">
        <v>-0.32703036069870001</v>
      </c>
      <c r="M772" s="6">
        <v>-0.50815266370773304</v>
      </c>
      <c r="N772" s="6">
        <v>2.8301891581854131</v>
      </c>
      <c r="O772" s="6">
        <v>2.662018592633546</v>
      </c>
      <c r="P772" s="6">
        <v>23.670875692457539</v>
      </c>
      <c r="Q772" s="6">
        <v>18.340529944838593</v>
      </c>
      <c r="R772" s="6">
        <v>31.483234709387681</v>
      </c>
      <c r="S772" s="6">
        <v>23.17719313374149</v>
      </c>
      <c r="T772" s="6">
        <v>73.289085388183594</v>
      </c>
      <c r="U772" s="6" t="str">
        <f>_xll.BDP($A772,"TRAILING_12M_R&amp;D_%_SALES",$A$1,$A$2)</f>
        <v>#N/A N/A</v>
      </c>
      <c r="V772" s="6">
        <v>15</v>
      </c>
      <c r="W772" s="6">
        <v>151010</v>
      </c>
      <c r="X772" s="6">
        <v>15101050</v>
      </c>
      <c r="Y772" s="7" t="s">
        <v>38</v>
      </c>
      <c r="Z772" s="7" t="s">
        <v>48</v>
      </c>
      <c r="AA772" s="7" t="s">
        <v>928</v>
      </c>
      <c r="AB772" s="6">
        <v>66.331352233886719</v>
      </c>
      <c r="AC772" s="6">
        <v>0.89598913972974503</v>
      </c>
      <c r="AD772" s="6">
        <v>-31.615380888344212</v>
      </c>
      <c r="AE772" s="6">
        <v>61626</v>
      </c>
      <c r="AF772" s="6">
        <v>42550</v>
      </c>
    </row>
    <row r="773" spans="1:32" s="4" customFormat="1" ht="12.75" x14ac:dyDescent="0.2">
      <c r="A773" s="7" t="s">
        <v>2493</v>
      </c>
      <c r="B773" s="7" t="s">
        <v>2494</v>
      </c>
      <c r="C773" s="7" t="s">
        <v>2495</v>
      </c>
      <c r="D773" s="6">
        <v>0.46718800067901606</v>
      </c>
      <c r="E773" s="6">
        <v>-0.73158895969390902</v>
      </c>
      <c r="F773" s="6">
        <v>1.2844786643981929</v>
      </c>
      <c r="G773" s="6">
        <v>-0.91293489933013905</v>
      </c>
      <c r="H773" s="6">
        <v>0.27143275737762501</v>
      </c>
      <c r="I773" s="6">
        <v>7.7254959614900004E-4</v>
      </c>
      <c r="J773" s="6">
        <v>0.181210562586784</v>
      </c>
      <c r="K773" s="6">
        <v>-1.040650367736816</v>
      </c>
      <c r="L773" s="6">
        <v>0.79667127132415805</v>
      </c>
      <c r="M773" s="6">
        <v>-0.76117587089538608</v>
      </c>
      <c r="N773" s="6">
        <v>1.4430467030633372</v>
      </c>
      <c r="O773" s="6">
        <v>1.4224681669784629</v>
      </c>
      <c r="P773" s="6">
        <v>2.1013527505309129</v>
      </c>
      <c r="Q773" s="6">
        <v>1.986809039150734</v>
      </c>
      <c r="R773" s="6">
        <v>27.693002389086764</v>
      </c>
      <c r="S773" s="6">
        <v>14.477371898235045</v>
      </c>
      <c r="T773" s="6">
        <v>8.0017194747924805</v>
      </c>
      <c r="U773" s="6">
        <f>_xll.BDP($A773,"TRAILING_12M_R&amp;D_%_SALES",$A$1,$A$2)</f>
        <v>8.2135550203299399</v>
      </c>
      <c r="V773" s="6">
        <v>20</v>
      </c>
      <c r="W773" s="6">
        <v>201050</v>
      </c>
      <c r="X773" s="6">
        <v>20105010</v>
      </c>
      <c r="Y773" s="7" t="s">
        <v>43</v>
      </c>
      <c r="Z773" s="7" t="s">
        <v>1427</v>
      </c>
      <c r="AA773" s="7" t="s">
        <v>1427</v>
      </c>
      <c r="AB773" s="6">
        <v>75.515541076660156</v>
      </c>
      <c r="AC773" s="6">
        <v>1.1154800313446569</v>
      </c>
      <c r="AD773" s="6">
        <v>-17.834661498353853</v>
      </c>
      <c r="AE773" s="6">
        <v>311000</v>
      </c>
      <c r="AF773" s="6">
        <v>363000</v>
      </c>
    </row>
    <row r="774" spans="1:32" s="4" customFormat="1" ht="12.75" x14ac:dyDescent="0.2">
      <c r="A774" s="7" t="s">
        <v>2496</v>
      </c>
      <c r="B774" s="7" t="s">
        <v>2497</v>
      </c>
      <c r="C774" s="7" t="s">
        <v>2498</v>
      </c>
      <c r="D774" s="6">
        <v>-0.65247654914856001</v>
      </c>
      <c r="E774" s="6">
        <v>-0.82218128442764304</v>
      </c>
      <c r="F774" s="6">
        <v>2.2508571147918701</v>
      </c>
      <c r="G774" s="6">
        <v>0.77736312150955211</v>
      </c>
      <c r="H774" s="6">
        <v>-0.60587447881698608</v>
      </c>
      <c r="I774" s="6">
        <v>-2.4021587371826172</v>
      </c>
      <c r="J774" s="6">
        <v>1.2076466083526611</v>
      </c>
      <c r="K774" s="6">
        <v>-0.13172411918640101</v>
      </c>
      <c r="L774" s="6">
        <v>-0.81727248430252109</v>
      </c>
      <c r="M774" s="6">
        <v>-0.97154343128204312</v>
      </c>
      <c r="N774" s="6">
        <v>2.0256663742038459</v>
      </c>
      <c r="O774" s="6">
        <v>2.2234066109279671</v>
      </c>
      <c r="P774" s="6">
        <v>1.1466090262517801</v>
      </c>
      <c r="Q774" s="6">
        <v>1.002103912393107</v>
      </c>
      <c r="R774" s="6">
        <v>8.2708930512449541</v>
      </c>
      <c r="S774" s="6">
        <v>10.633744496701967</v>
      </c>
      <c r="T774" s="6">
        <v>13.32005500793457</v>
      </c>
      <c r="U774" s="6" t="str">
        <f>_xll.BDP($A774,"TRAILING_12M_R&amp;D_%_SALES",$A$1,$A$2)</f>
        <v>#N/A N/A</v>
      </c>
      <c r="V774" s="6">
        <v>40</v>
      </c>
      <c r="W774" s="6">
        <v>401010</v>
      </c>
      <c r="X774" s="6">
        <v>40101010</v>
      </c>
      <c r="Y774" s="7" t="s">
        <v>53</v>
      </c>
      <c r="Z774" s="7" t="s">
        <v>76</v>
      </c>
      <c r="AA774" s="7" t="s">
        <v>77</v>
      </c>
      <c r="AB774" s="6">
        <v>38.064582824707031</v>
      </c>
      <c r="AC774" s="6">
        <v>1.4386784194870601</v>
      </c>
      <c r="AD774" s="6">
        <v>-66.128486974031603</v>
      </c>
      <c r="AE774" s="6">
        <v>6567</v>
      </c>
      <c r="AF774" s="6">
        <v>2311</v>
      </c>
    </row>
    <row r="775" spans="1:32" s="4" customFormat="1" ht="12.75" x14ac:dyDescent="0.2">
      <c r="A775" s="7" t="s">
        <v>2499</v>
      </c>
      <c r="B775" s="7" t="s">
        <v>2500</v>
      </c>
      <c r="C775" s="7" t="s">
        <v>2501</v>
      </c>
      <c r="D775" s="6">
        <v>-0.23272086679935503</v>
      </c>
      <c r="E775" s="6">
        <v>-0.42326223850250205</v>
      </c>
      <c r="F775" s="6">
        <v>-5.2220832556486005E-2</v>
      </c>
      <c r="G775" s="6">
        <v>0.50983911752700806</v>
      </c>
      <c r="H775" s="6">
        <v>-7.4581146240234E-2</v>
      </c>
      <c r="I775" s="6">
        <v>1.7751224040985112</v>
      </c>
      <c r="J775" s="6">
        <v>-0.11503042280674002</v>
      </c>
      <c r="K775" s="6">
        <v>-0.58092576265335105</v>
      </c>
      <c r="L775" s="6">
        <v>-0.17170940339565302</v>
      </c>
      <c r="M775" s="6">
        <v>0.42497083544731101</v>
      </c>
      <c r="N775" s="6">
        <v>2.8554367472733291</v>
      </c>
      <c r="O775" s="6">
        <v>2.327541600812705</v>
      </c>
      <c r="P775" s="6">
        <v>4.4075980348218096</v>
      </c>
      <c r="Q775" s="6">
        <v>3.6347855725712299</v>
      </c>
      <c r="R775" s="6">
        <v>26.033600387391001</v>
      </c>
      <c r="S775" s="6">
        <v>17.879833412871065</v>
      </c>
      <c r="T775" s="6">
        <v>19.48234748840332</v>
      </c>
      <c r="U775" s="6">
        <f>_xll.BDP($A775,"TRAILING_12M_R&amp;D_%_SALES",$A$1,$A$2)</f>
        <v>2.0639863319463196</v>
      </c>
      <c r="V775" s="6">
        <v>10</v>
      </c>
      <c r="W775" s="6">
        <v>101010</v>
      </c>
      <c r="X775" s="6">
        <v>10101020</v>
      </c>
      <c r="Y775" s="7" t="s">
        <v>505</v>
      </c>
      <c r="Z775" s="7" t="s">
        <v>506</v>
      </c>
      <c r="AA775" s="7" t="s">
        <v>507</v>
      </c>
      <c r="AB775" s="6">
        <v>69.057441711425781</v>
      </c>
      <c r="AC775" s="6">
        <v>0.78560526813671905</v>
      </c>
      <c r="AD775" s="6">
        <v>82.006069458638422</v>
      </c>
      <c r="AE775" s="6">
        <v>92000</v>
      </c>
      <c r="AF775" s="6">
        <v>100000</v>
      </c>
    </row>
    <row r="776" spans="1:32" s="4" customFormat="1" ht="12.75" x14ac:dyDescent="0.2">
      <c r="A776" s="7" t="s">
        <v>2502</v>
      </c>
      <c r="B776" s="7" t="s">
        <v>2503</v>
      </c>
      <c r="C776" s="7" t="s">
        <v>2504</v>
      </c>
      <c r="D776" s="6">
        <v>-0.16933970153331801</v>
      </c>
      <c r="E776" s="6">
        <v>-0.78898698091507002</v>
      </c>
      <c r="F776" s="6">
        <v>-1.14398181438446</v>
      </c>
      <c r="G776" s="6">
        <v>-0.38192781805992104</v>
      </c>
      <c r="H776" s="6">
        <v>-0.74499869346618708</v>
      </c>
      <c r="I776" s="6">
        <v>3.4543666988610999E-2</v>
      </c>
      <c r="J776" s="6">
        <v>0.53466010093689009</v>
      </c>
      <c r="K776" s="6">
        <v>0.56861823797226008</v>
      </c>
      <c r="L776" s="6">
        <v>1.4048880338668821</v>
      </c>
      <c r="M776" s="6">
        <v>-0.96605467796325706</v>
      </c>
      <c r="N776" s="6">
        <v>1.533449392309701</v>
      </c>
      <c r="O776" s="6">
        <v>1.0653551998403201</v>
      </c>
      <c r="P776" s="6">
        <v>1.5731291786281112</v>
      </c>
      <c r="Q776" s="6">
        <v>1.453538270415633</v>
      </c>
      <c r="R776" s="6">
        <v>9.4832379617600076</v>
      </c>
      <c r="S776" s="6">
        <v>9.9138199101697229</v>
      </c>
      <c r="T776" s="6">
        <v>15.742867469787598</v>
      </c>
      <c r="U776" s="6" t="str">
        <f>_xll.BDP($A776,"TRAILING_12M_R&amp;D_%_SALES",$A$1,$A$2)</f>
        <v>#N/A N/A</v>
      </c>
      <c r="V776" s="6">
        <v>40</v>
      </c>
      <c r="W776" s="6">
        <v>403010</v>
      </c>
      <c r="X776" s="6">
        <v>40301020</v>
      </c>
      <c r="Y776" s="7" t="s">
        <v>53</v>
      </c>
      <c r="Z776" s="7" t="s">
        <v>54</v>
      </c>
      <c r="AA776" s="7" t="s">
        <v>55</v>
      </c>
      <c r="AB776" s="6">
        <v>52.197967529296875</v>
      </c>
      <c r="AC776" s="6">
        <v>0.82200997499305606</v>
      </c>
      <c r="AD776" s="6">
        <v>-12.026933425311093</v>
      </c>
      <c r="AE776" s="6">
        <v>22719</v>
      </c>
      <c r="AF776" s="6">
        <v>16275</v>
      </c>
    </row>
    <row r="777" spans="1:32" s="4" customFormat="1" ht="12.75" x14ac:dyDescent="0.2">
      <c r="A777" s="7" t="s">
        <v>2505</v>
      </c>
      <c r="B777" s="7" t="s">
        <v>2506</v>
      </c>
      <c r="C777" s="7" t="s">
        <v>2507</v>
      </c>
      <c r="D777" s="6">
        <v>0.46718800067901606</v>
      </c>
      <c r="E777" s="6">
        <v>-0.73158895969390902</v>
      </c>
      <c r="F777" s="6">
        <v>1.2844786643981929</v>
      </c>
      <c r="G777" s="6">
        <v>-0.91293489933013905</v>
      </c>
      <c r="H777" s="6">
        <v>0.27143275737762501</v>
      </c>
      <c r="I777" s="6">
        <v>7.7254959614900004E-4</v>
      </c>
      <c r="J777" s="6">
        <v>0.181210562586784</v>
      </c>
      <c r="K777" s="6">
        <v>-1.040650367736816</v>
      </c>
      <c r="L777" s="6">
        <v>0.79667127132415805</v>
      </c>
      <c r="M777" s="6">
        <v>-0.76117587089538608</v>
      </c>
      <c r="N777" s="6">
        <v>1.4430467030633372</v>
      </c>
      <c r="O777" s="6">
        <v>1.4225714820349591</v>
      </c>
      <c r="P777" s="6">
        <v>2.1013527505309129</v>
      </c>
      <c r="Q777" s="6">
        <v>1.9869542503234832</v>
      </c>
      <c r="R777" s="6">
        <v>27.693002389086764</v>
      </c>
      <c r="S777" s="6">
        <v>14.478428343725</v>
      </c>
      <c r="T777" s="6">
        <v>8.0017194747924805</v>
      </c>
      <c r="U777" s="6">
        <f>_xll.BDP($A777,"TRAILING_12M_R&amp;D_%_SALES",$A$1,$A$2)</f>
        <v>8.2135550203299399</v>
      </c>
      <c r="V777" s="6">
        <v>20</v>
      </c>
      <c r="W777" s="6">
        <v>201050</v>
      </c>
      <c r="X777" s="6">
        <v>20105010</v>
      </c>
      <c r="Y777" s="7" t="s">
        <v>43</v>
      </c>
      <c r="Z777" s="7" t="s">
        <v>1427</v>
      </c>
      <c r="AA777" s="7" t="s">
        <v>1427</v>
      </c>
      <c r="AB777" s="6">
        <v>75.515541076660156</v>
      </c>
      <c r="AC777" s="6">
        <v>0.90557318563171307</v>
      </c>
      <c r="AD777" s="6">
        <v>-17.716569742639177</v>
      </c>
      <c r="AE777" s="6">
        <v>311000</v>
      </c>
      <c r="AF777" s="6">
        <v>363000</v>
      </c>
    </row>
    <row r="778" spans="1:32" s="4" customFormat="1" ht="12.75" x14ac:dyDescent="0.2">
      <c r="A778" s="7" t="s">
        <v>2508</v>
      </c>
      <c r="B778" s="7" t="s">
        <v>2509</v>
      </c>
      <c r="C778" s="7" t="s">
        <v>2510</v>
      </c>
      <c r="D778" s="6">
        <v>-0.70977133512496904</v>
      </c>
      <c r="E778" s="6">
        <v>-1.370458722114563</v>
      </c>
      <c r="F778" s="6">
        <v>1.9803087711334231</v>
      </c>
      <c r="G778" s="6">
        <v>-0.66347253322601307</v>
      </c>
      <c r="H778" s="6">
        <v>-0.78775089979171808</v>
      </c>
      <c r="I778" s="6">
        <v>-0.30187484622001604</v>
      </c>
      <c r="J778" s="6">
        <v>0.42320472002029402</v>
      </c>
      <c r="K778" s="6">
        <v>-0.83038556575775102</v>
      </c>
      <c r="L778" s="6">
        <v>-0.53784012794494607</v>
      </c>
      <c r="M778" s="6">
        <v>-0.73842006921768211</v>
      </c>
      <c r="N778" s="6">
        <v>0.43756043287054303</v>
      </c>
      <c r="O778" s="6">
        <v>0.42222535410084805</v>
      </c>
      <c r="P778" s="6">
        <v>0.73856286474827404</v>
      </c>
      <c r="Q778" s="6">
        <v>0.83029602803473102</v>
      </c>
      <c r="R778" s="6"/>
      <c r="S778" s="6">
        <v>28.947478892681488</v>
      </c>
      <c r="T778" s="6">
        <v>-2.911470890045166</v>
      </c>
      <c r="U778" s="6">
        <f>_xll.BDP($A778,"TRAILING_12M_R&amp;D_%_SALES",$A$1,$A$2)</f>
        <v>3.6047877398064769</v>
      </c>
      <c r="V778" s="6">
        <v>20</v>
      </c>
      <c r="W778" s="6">
        <v>201040</v>
      </c>
      <c r="X778" s="6">
        <v>20104020</v>
      </c>
      <c r="Y778" s="7" t="s">
        <v>43</v>
      </c>
      <c r="Z778" s="7" t="s">
        <v>81</v>
      </c>
      <c r="AA778" s="7" t="s">
        <v>1848</v>
      </c>
      <c r="AB778" s="6">
        <v>68.272811889648438</v>
      </c>
      <c r="AC778" s="6">
        <v>0.86357763601536608</v>
      </c>
      <c r="AD778" s="6">
        <v>-23.085523704593879</v>
      </c>
      <c r="AE778" s="6">
        <v>92000</v>
      </c>
      <c r="AF778" s="6"/>
    </row>
    <row r="779" spans="1:32" s="4" customFormat="1" ht="12.75" x14ac:dyDescent="0.2">
      <c r="A779" s="7" t="s">
        <v>2511</v>
      </c>
      <c r="B779" s="7" t="s">
        <v>2512</v>
      </c>
      <c r="C779" s="7" t="s">
        <v>2513</v>
      </c>
      <c r="D779" s="6">
        <v>0.76515418291091908</v>
      </c>
      <c r="E779" s="6">
        <v>-0.98457068204879805</v>
      </c>
      <c r="F779" s="6">
        <v>0.262126594781876</v>
      </c>
      <c r="G779" s="6">
        <v>-0.36560282111167902</v>
      </c>
      <c r="H779" s="6">
        <v>1.033101558685303</v>
      </c>
      <c r="I779" s="6">
        <v>0.81953084468841608</v>
      </c>
      <c r="J779" s="6">
        <v>0.14471422135829901</v>
      </c>
      <c r="K779" s="6">
        <v>-0.12615649402141602</v>
      </c>
      <c r="L779" s="6">
        <v>1.267401337623596</v>
      </c>
      <c r="M779" s="6">
        <v>-0.99600493907928511</v>
      </c>
      <c r="N779" s="6">
        <v>1.601108236166243</v>
      </c>
      <c r="O779" s="6"/>
      <c r="P779" s="6">
        <v>0.57389129354923907</v>
      </c>
      <c r="Q779" s="6"/>
      <c r="R779" s="6">
        <v>9.3568409551064473</v>
      </c>
      <c r="S779" s="6">
        <v>9.6835911209162067</v>
      </c>
      <c r="T779" s="6">
        <v>6.2189569473266602</v>
      </c>
      <c r="U779" s="6" t="str">
        <f>_xll.BDP($A779,"TRAILING_12M_R&amp;D_%_SALES",$A$1,$A$2)</f>
        <v>#N/A N/A</v>
      </c>
      <c r="V779" s="6">
        <v>40</v>
      </c>
      <c r="W779" s="6">
        <v>401010</v>
      </c>
      <c r="X779" s="6">
        <v>40101010</v>
      </c>
      <c r="Y779" s="7" t="s">
        <v>53</v>
      </c>
      <c r="Z779" s="7" t="s">
        <v>76</v>
      </c>
      <c r="AA779" s="7" t="s">
        <v>77</v>
      </c>
      <c r="AB779" s="6">
        <v>54.8536376953125</v>
      </c>
      <c r="AC779" s="6">
        <v>0.68761344155413207</v>
      </c>
      <c r="AD779" s="6">
        <v>24.83021463630919</v>
      </c>
      <c r="AE779" s="6">
        <v>101023</v>
      </c>
      <c r="AF779" s="6">
        <v>77205</v>
      </c>
    </row>
    <row r="780" spans="1:32" s="4" customFormat="1" ht="12.75" x14ac:dyDescent="0.2">
      <c r="A780" s="7" t="s">
        <v>2514</v>
      </c>
      <c r="B780" s="7" t="s">
        <v>2515</v>
      </c>
      <c r="C780" s="7" t="s">
        <v>2516</v>
      </c>
      <c r="D780" s="6">
        <v>0.76515418291091908</v>
      </c>
      <c r="E780" s="6">
        <v>-0.98457068204879805</v>
      </c>
      <c r="F780" s="6">
        <v>0.262126594781876</v>
      </c>
      <c r="G780" s="6">
        <v>-0.36560282111167902</v>
      </c>
      <c r="H780" s="6">
        <v>1.033101558685303</v>
      </c>
      <c r="I780" s="6">
        <v>0.81953084468841608</v>
      </c>
      <c r="J780" s="6">
        <v>0.14471422135829901</v>
      </c>
      <c r="K780" s="6">
        <v>-0.12615649402141602</v>
      </c>
      <c r="L780" s="6">
        <v>1.267401337623596</v>
      </c>
      <c r="M780" s="6">
        <v>-0.99600493907928511</v>
      </c>
      <c r="N780" s="6">
        <v>1.601108236166243</v>
      </c>
      <c r="O780" s="6">
        <v>1.8531650624151641</v>
      </c>
      <c r="P780" s="6">
        <v>0.57389129354923907</v>
      </c>
      <c r="Q780" s="6">
        <v>0.541909704328143</v>
      </c>
      <c r="R780" s="6">
        <v>9.3568409551064473</v>
      </c>
      <c r="S780" s="6">
        <v>8.6175229292105087</v>
      </c>
      <c r="T780" s="6">
        <v>6.2189569473266602</v>
      </c>
      <c r="U780" s="6" t="str">
        <f>_xll.BDP($A780,"TRAILING_12M_R&amp;D_%_SALES",$A$1,$A$2)</f>
        <v>#N/A N/A</v>
      </c>
      <c r="V780" s="6">
        <v>40</v>
      </c>
      <c r="W780" s="6">
        <v>401010</v>
      </c>
      <c r="X780" s="6">
        <v>40101010</v>
      </c>
      <c r="Y780" s="7" t="s">
        <v>53</v>
      </c>
      <c r="Z780" s="7" t="s">
        <v>76</v>
      </c>
      <c r="AA780" s="7" t="s">
        <v>77</v>
      </c>
      <c r="AB780" s="6">
        <v>54.8536376953125</v>
      </c>
      <c r="AC780" s="6">
        <v>0.44189065981327502</v>
      </c>
      <c r="AD780" s="6">
        <v>17.701374248193915</v>
      </c>
      <c r="AE780" s="6">
        <v>101023</v>
      </c>
      <c r="AF780" s="6">
        <v>77205</v>
      </c>
    </row>
    <row r="781" spans="1:32" s="4" customFormat="1" ht="12.75" x14ac:dyDescent="0.2">
      <c r="A781" s="7" t="s">
        <v>2517</v>
      </c>
      <c r="B781" s="7" t="s">
        <v>2518</v>
      </c>
      <c r="C781" s="7" t="s">
        <v>2519</v>
      </c>
      <c r="D781" s="6">
        <v>-0.70977133512496904</v>
      </c>
      <c r="E781" s="6">
        <v>-1.370458722114563</v>
      </c>
      <c r="F781" s="6">
        <v>1.9803087711334231</v>
      </c>
      <c r="G781" s="6">
        <v>-0.66347253322601307</v>
      </c>
      <c r="H781" s="6">
        <v>-0.78775089979171808</v>
      </c>
      <c r="I781" s="6">
        <v>-0.30187484622001604</v>
      </c>
      <c r="J781" s="6">
        <v>0.42320472002029402</v>
      </c>
      <c r="K781" s="6">
        <v>-0.83038556575775102</v>
      </c>
      <c r="L781" s="6">
        <v>-0.53784012794494607</v>
      </c>
      <c r="M781" s="6">
        <v>-0.73842006921768211</v>
      </c>
      <c r="N781" s="6">
        <v>0.43756043287054303</v>
      </c>
      <c r="O781" s="6"/>
      <c r="P781" s="6">
        <v>0.73856286474827404</v>
      </c>
      <c r="Q781" s="6"/>
      <c r="R781" s="6"/>
      <c r="S781" s="6"/>
      <c r="T781" s="6">
        <v>-2.911470890045166</v>
      </c>
      <c r="U781" s="6">
        <f>_xll.BDP($A781,"TRAILING_12M_R&amp;D_%_SALES",$A$1,$A$2)</f>
        <v>3.6047877398064769</v>
      </c>
      <c r="V781" s="6">
        <v>20</v>
      </c>
      <c r="W781" s="6">
        <v>201040</v>
      </c>
      <c r="X781" s="6">
        <v>20104020</v>
      </c>
      <c r="Y781" s="7" t="s">
        <v>43</v>
      </c>
      <c r="Z781" s="7" t="s">
        <v>81</v>
      </c>
      <c r="AA781" s="7" t="s">
        <v>1848</v>
      </c>
      <c r="AB781" s="6">
        <v>68.272811889648438</v>
      </c>
      <c r="AC781" s="6">
        <v>1.031766873884808</v>
      </c>
      <c r="AD781" s="6">
        <v>-26.154408623952975</v>
      </c>
      <c r="AE781" s="6">
        <v>92000</v>
      </c>
      <c r="AF781" s="6"/>
    </row>
    <row r="782" spans="1:32" s="4" customFormat="1" ht="12.75" x14ac:dyDescent="0.2">
      <c r="A782" s="7" t="s">
        <v>2520</v>
      </c>
      <c r="B782" s="7" t="s">
        <v>2521</v>
      </c>
      <c r="C782" s="7" t="s">
        <v>2522</v>
      </c>
      <c r="D782" s="6">
        <v>-0.44148072600364702</v>
      </c>
      <c r="E782" s="6">
        <v>-0.99040049314498912</v>
      </c>
      <c r="F782" s="6">
        <v>1.5400068759918211</v>
      </c>
      <c r="G782" s="6">
        <v>-0.7082411050796511</v>
      </c>
      <c r="H782" s="6">
        <v>-0.63777136802673307</v>
      </c>
      <c r="I782" s="6">
        <v>0.77387487888336204</v>
      </c>
      <c r="J782" s="6">
        <v>1.1286623477935791</v>
      </c>
      <c r="K782" s="6">
        <v>-0.81280446052551303</v>
      </c>
      <c r="L782" s="6">
        <v>1.3060369491577151</v>
      </c>
      <c r="M782" s="6">
        <v>-0.94188123941421509</v>
      </c>
      <c r="N782" s="6">
        <v>0.44813025458365002</v>
      </c>
      <c r="O782" s="6"/>
      <c r="P782" s="6">
        <v>1.073469255228646</v>
      </c>
      <c r="Q782" s="6"/>
      <c r="R782" s="6">
        <v>27.656773415227061</v>
      </c>
      <c r="S782" s="6"/>
      <c r="T782" s="6">
        <v>2.3140180110931401</v>
      </c>
      <c r="U782" s="6" t="str">
        <f>_xll.BDP($A782,"TRAILING_12M_R&amp;D_%_SALES",$A$1,$A$2)</f>
        <v>#N/A N/A</v>
      </c>
      <c r="V782" s="6">
        <v>40</v>
      </c>
      <c r="W782" s="6">
        <v>403010</v>
      </c>
      <c r="X782" s="6">
        <v>40301040</v>
      </c>
      <c r="Y782" s="7" t="s">
        <v>53</v>
      </c>
      <c r="Z782" s="7" t="s">
        <v>54</v>
      </c>
      <c r="AA782" s="7" t="s">
        <v>125</v>
      </c>
      <c r="AB782" s="6">
        <v>62.378028869628906</v>
      </c>
      <c r="AC782" s="6">
        <v>0.5688299219610391</v>
      </c>
      <c r="AD782" s="6">
        <v>6.6639118125834562</v>
      </c>
      <c r="AE782" s="6">
        <v>47776</v>
      </c>
      <c r="AF782" s="6">
        <v>47430</v>
      </c>
    </row>
    <row r="783" spans="1:32" s="4" customFormat="1" ht="12.75" x14ac:dyDescent="0.2">
      <c r="A783" s="7" t="s">
        <v>2523</v>
      </c>
      <c r="B783" s="7" t="s">
        <v>2524</v>
      </c>
      <c r="C783" s="7" t="s">
        <v>2525</v>
      </c>
      <c r="D783" s="6">
        <v>0.52667188644409202</v>
      </c>
      <c r="E783" s="6">
        <v>-0.53622364997863803</v>
      </c>
      <c r="F783" s="6">
        <v>1.005241751670837</v>
      </c>
      <c r="G783" s="6">
        <v>-0.71464413404464711</v>
      </c>
      <c r="H783" s="6">
        <v>-0.72081542015075706</v>
      </c>
      <c r="I783" s="6">
        <v>-0.28336748480796803</v>
      </c>
      <c r="J783" s="6">
        <v>0.46891805529594405</v>
      </c>
      <c r="K783" s="6">
        <v>-0.54747635126113903</v>
      </c>
      <c r="L783" s="6">
        <v>-0.48371043801307706</v>
      </c>
      <c r="M783" s="6">
        <v>-0.86808449029922508</v>
      </c>
      <c r="N783" s="6">
        <v>1.199210651294373</v>
      </c>
      <c r="O783" s="6">
        <v>1.032779877211802</v>
      </c>
      <c r="P783" s="6">
        <v>1.8035175985673431</v>
      </c>
      <c r="Q783" s="6">
        <v>1.4768493318889901</v>
      </c>
      <c r="R783" s="6">
        <v>13.2243056743831</v>
      </c>
      <c r="S783" s="6">
        <v>13.456879345976976</v>
      </c>
      <c r="T783" s="6">
        <v>14.069026947021484</v>
      </c>
      <c r="U783" s="6">
        <f>_xll.BDP($A783,"TRAILING_12M_R&amp;D_%_SALES",$A$1,$A$2)</f>
        <v>5.42924839652063</v>
      </c>
      <c r="V783" s="6">
        <v>25</v>
      </c>
      <c r="W783" s="6">
        <v>252010</v>
      </c>
      <c r="X783" s="6">
        <v>25201010</v>
      </c>
      <c r="Y783" s="7" t="s">
        <v>108</v>
      </c>
      <c r="Z783" s="7" t="s">
        <v>944</v>
      </c>
      <c r="AA783" s="7" t="s">
        <v>1711</v>
      </c>
      <c r="AB783" s="6">
        <v>63.172718048095703</v>
      </c>
      <c r="AC783" s="6">
        <v>0.83243136545909602</v>
      </c>
      <c r="AD783" s="6">
        <v>-40.075363603730061</v>
      </c>
      <c r="AE783" s="6">
        <v>108900</v>
      </c>
      <c r="AF783" s="6">
        <v>128400</v>
      </c>
    </row>
    <row r="784" spans="1:32" s="4" customFormat="1" ht="12.75" x14ac:dyDescent="0.2">
      <c r="A784" s="7" t="s">
        <v>2526</v>
      </c>
      <c r="B784" s="7" t="s">
        <v>2527</v>
      </c>
      <c r="C784" s="7" t="s">
        <v>2528</v>
      </c>
      <c r="D784" s="6">
        <v>-0.77319884300231911</v>
      </c>
      <c r="E784" s="6">
        <v>-0.64321535825729403</v>
      </c>
      <c r="F784" s="6">
        <v>-0.34756693243980402</v>
      </c>
      <c r="G784" s="6">
        <v>-0.95357996225357111</v>
      </c>
      <c r="H784" s="6">
        <v>-0.34285056591033902</v>
      </c>
      <c r="I784" s="6">
        <v>0.46619871258735701</v>
      </c>
      <c r="J784" s="6">
        <v>0.25629195570945701</v>
      </c>
      <c r="K784" s="6">
        <v>-1.089195132255554</v>
      </c>
      <c r="L784" s="6">
        <v>0.9501262307167051</v>
      </c>
      <c r="M784" s="6">
        <v>-0.84461128711700406</v>
      </c>
      <c r="N784" s="6">
        <v>2.838571308190212</v>
      </c>
      <c r="O784" s="6">
        <v>2.6886227307431021</v>
      </c>
      <c r="P784" s="6">
        <v>1.542413373259119</v>
      </c>
      <c r="Q784" s="6">
        <v>1.4138610270040941</v>
      </c>
      <c r="R784" s="6">
        <v>19.603355864283269</v>
      </c>
      <c r="S784" s="6">
        <v>15.738949949206514</v>
      </c>
      <c r="T784" s="6">
        <v>7.8436489105224609</v>
      </c>
      <c r="U784" s="6" t="str">
        <f>_xll.BDP($A784,"TRAILING_12M_R&amp;D_%_SALES",$A$1,$A$2)</f>
        <v>#N/A N/A</v>
      </c>
      <c r="V784" s="6">
        <v>50</v>
      </c>
      <c r="W784" s="6">
        <v>501010</v>
      </c>
      <c r="X784" s="6">
        <v>50101020</v>
      </c>
      <c r="Y784" s="7" t="s">
        <v>367</v>
      </c>
      <c r="Z784" s="7" t="s">
        <v>458</v>
      </c>
      <c r="AA784" s="7" t="s">
        <v>459</v>
      </c>
      <c r="AB784" s="6">
        <v>68.031387329101563</v>
      </c>
      <c r="AC784" s="6">
        <v>0.47272838535292205</v>
      </c>
      <c r="AD784" s="6">
        <v>13.489911982608337</v>
      </c>
      <c r="AE784" s="6">
        <v>22543</v>
      </c>
      <c r="AF784" s="6">
        <v>25590</v>
      </c>
    </row>
    <row r="785" spans="1:32" s="4" customFormat="1" ht="12.75" x14ac:dyDescent="0.2">
      <c r="A785" s="7" t="s">
        <v>2529</v>
      </c>
      <c r="B785" s="7" t="s">
        <v>2530</v>
      </c>
      <c r="C785" s="7" t="s">
        <v>2531</v>
      </c>
      <c r="D785" s="6">
        <v>-0.91503727436065707</v>
      </c>
      <c r="E785" s="6">
        <v>-0.9879568219184881</v>
      </c>
      <c r="F785" s="6">
        <v>-1.9510356709361E-2</v>
      </c>
      <c r="G785" s="6">
        <v>-0.67998689413070701</v>
      </c>
      <c r="H785" s="6">
        <v>2.298514842987061</v>
      </c>
      <c r="I785" s="6">
        <v>0.53542226552963301</v>
      </c>
      <c r="J785" s="6">
        <v>0.33129349350929305</v>
      </c>
      <c r="K785" s="6">
        <v>-0.83123993873596203</v>
      </c>
      <c r="L785" s="6">
        <v>0.79701882600784302</v>
      </c>
      <c r="M785" s="6">
        <v>-1.016274213790894</v>
      </c>
      <c r="N785" s="6">
        <v>1.028371360770868</v>
      </c>
      <c r="O785" s="6"/>
      <c r="P785" s="6">
        <v>1.192014778320472</v>
      </c>
      <c r="Q785" s="6"/>
      <c r="R785" s="6">
        <v>22.390543899160701</v>
      </c>
      <c r="S785" s="6"/>
      <c r="T785" s="6">
        <v>5.2030410766601563</v>
      </c>
      <c r="U785" s="6" t="str">
        <f>_xll.BDP($A785,"TRAILING_12M_R&amp;D_%_SALES",$A$1,$A$2)</f>
        <v>#N/A N/A</v>
      </c>
      <c r="V785" s="6">
        <v>40</v>
      </c>
      <c r="W785" s="6">
        <v>403010</v>
      </c>
      <c r="X785" s="6">
        <v>40301040</v>
      </c>
      <c r="Y785" s="7" t="s">
        <v>53</v>
      </c>
      <c r="Z785" s="7" t="s">
        <v>54</v>
      </c>
      <c r="AA785" s="7" t="s">
        <v>125</v>
      </c>
      <c r="AB785" s="6">
        <v>58.998088836669922</v>
      </c>
      <c r="AC785" s="6">
        <v>0.58484300427442604</v>
      </c>
      <c r="AD785" s="6">
        <v>3.6365919750030118</v>
      </c>
      <c r="AE785" s="6">
        <v>14149</v>
      </c>
      <c r="AF785" s="6">
        <v>13374</v>
      </c>
    </row>
    <row r="786" spans="1:32" s="4" customFormat="1" ht="12.75" x14ac:dyDescent="0.2">
      <c r="A786" s="7" t="s">
        <v>2532</v>
      </c>
      <c r="B786" s="7" t="s">
        <v>2533</v>
      </c>
      <c r="C786" s="7" t="s">
        <v>2534</v>
      </c>
      <c r="D786" s="6">
        <v>-0.91503727436065707</v>
      </c>
      <c r="E786" s="6">
        <v>-0.9879568219184881</v>
      </c>
      <c r="F786" s="6">
        <v>-1.9510356709361E-2</v>
      </c>
      <c r="G786" s="6">
        <v>-0.67998689413070701</v>
      </c>
      <c r="H786" s="6">
        <v>2.298514842987061</v>
      </c>
      <c r="I786" s="6">
        <v>0.53542226552963301</v>
      </c>
      <c r="J786" s="6">
        <v>0.33129349350929305</v>
      </c>
      <c r="K786" s="6">
        <v>-0.83123993873596203</v>
      </c>
      <c r="L786" s="6">
        <v>0.79701882600784302</v>
      </c>
      <c r="M786" s="6">
        <v>-1.016274213790894</v>
      </c>
      <c r="N786" s="6">
        <v>1.028371360770868</v>
      </c>
      <c r="O786" s="6">
        <v>1.4759222867389621</v>
      </c>
      <c r="P786" s="6">
        <v>1.192014778320472</v>
      </c>
      <c r="Q786" s="6">
        <v>1.152018254249634</v>
      </c>
      <c r="R786" s="6">
        <v>22.390543899160701</v>
      </c>
      <c r="S786" s="6">
        <v>12.292861344971683</v>
      </c>
      <c r="T786" s="6">
        <v>5.2030410766601563</v>
      </c>
      <c r="U786" s="6" t="str">
        <f>_xll.BDP($A786,"TRAILING_12M_R&amp;D_%_SALES",$A$1,$A$2)</f>
        <v>#N/A N/A</v>
      </c>
      <c r="V786" s="6">
        <v>40</v>
      </c>
      <c r="W786" s="6">
        <v>403010</v>
      </c>
      <c r="X786" s="6">
        <v>40301040</v>
      </c>
      <c r="Y786" s="7" t="s">
        <v>53</v>
      </c>
      <c r="Z786" s="7" t="s">
        <v>54</v>
      </c>
      <c r="AA786" s="7" t="s">
        <v>125</v>
      </c>
      <c r="AB786" s="6">
        <v>58.998088836669922</v>
      </c>
      <c r="AC786" s="6">
        <v>0.28859299325290505</v>
      </c>
      <c r="AD786" s="6">
        <v>6.3929333649947129</v>
      </c>
      <c r="AE786" s="6">
        <v>14149</v>
      </c>
      <c r="AF786" s="6">
        <v>13374</v>
      </c>
    </row>
    <row r="787" spans="1:32" s="4" customFormat="1" ht="12.75" x14ac:dyDescent="0.2">
      <c r="A787" s="7" t="s">
        <v>2535</v>
      </c>
      <c r="B787" s="7" t="s">
        <v>2536</v>
      </c>
      <c r="C787" s="7" t="s">
        <v>2537</v>
      </c>
      <c r="D787" s="6">
        <v>-0.84937912225723311</v>
      </c>
      <c r="E787" s="6">
        <v>-0.95515143871307406</v>
      </c>
      <c r="F787" s="6">
        <v>-1.409870028495789</v>
      </c>
      <c r="G787" s="6">
        <v>-0.63118535280227706</v>
      </c>
      <c r="H787" s="6">
        <v>-0.13978615403175401</v>
      </c>
      <c r="I787" s="6">
        <v>2.4672700092196003E-2</v>
      </c>
      <c r="J787" s="6">
        <v>0.75846934318542503</v>
      </c>
      <c r="K787" s="6">
        <v>1.833270668983459</v>
      </c>
      <c r="L787" s="6">
        <v>-0.19013018906116502</v>
      </c>
      <c r="M787" s="6">
        <v>1.037468314170837</v>
      </c>
      <c r="N787" s="6">
        <v>0.14643538522167002</v>
      </c>
      <c r="O787" s="6">
        <v>0.14073771124686801</v>
      </c>
      <c r="P787" s="6">
        <v>1.157287773814339</v>
      </c>
      <c r="Q787" s="6">
        <v>0.98230636671477611</v>
      </c>
      <c r="R787" s="6">
        <v>11.07176454204683</v>
      </c>
      <c r="S787" s="6">
        <v>7.5526834559181237</v>
      </c>
      <c r="T787" s="6">
        <v>10.854480743408203</v>
      </c>
      <c r="U787" s="6" t="str">
        <f>_xll.BDP($A787,"TRAILING_12M_R&amp;D_%_SALES",$A$1,$A$2)</f>
        <v>#N/A N/A</v>
      </c>
      <c r="V787" s="6">
        <v>45</v>
      </c>
      <c r="W787" s="6">
        <v>452030</v>
      </c>
      <c r="X787" s="6">
        <v>45203030</v>
      </c>
      <c r="Y787" s="7" t="s">
        <v>66</v>
      </c>
      <c r="Z787" s="7" t="s">
        <v>339</v>
      </c>
      <c r="AA787" s="7" t="s">
        <v>665</v>
      </c>
      <c r="AB787" s="6">
        <v>33.527812957763672</v>
      </c>
      <c r="AC787" s="6">
        <v>1.061587731520057</v>
      </c>
      <c r="AD787" s="6">
        <v>-15.726881275299176</v>
      </c>
      <c r="AE787" s="6">
        <v>22000</v>
      </c>
      <c r="AF787" s="6">
        <v>105500</v>
      </c>
    </row>
    <row r="788" spans="1:32" s="4" customFormat="1" ht="12.75" x14ac:dyDescent="0.2">
      <c r="A788" s="7" t="s">
        <v>2538</v>
      </c>
      <c r="B788" s="7" t="s">
        <v>2539</v>
      </c>
      <c r="C788" s="7" t="s">
        <v>2540</v>
      </c>
      <c r="D788" s="6">
        <v>0.33897423744201705</v>
      </c>
      <c r="E788" s="6">
        <v>-0.47292393445968606</v>
      </c>
      <c r="F788" s="6">
        <v>-0.34212133288383501</v>
      </c>
      <c r="G788" s="6">
        <v>-0.97124803066253707</v>
      </c>
      <c r="H788" s="6">
        <v>-0.61585652828216608</v>
      </c>
      <c r="I788" s="6">
        <v>0.48172169923782304</v>
      </c>
      <c r="J788" s="6">
        <v>0.37469270825386003</v>
      </c>
      <c r="K788" s="6">
        <v>-0.70366406440734908</v>
      </c>
      <c r="L788" s="6">
        <v>0.97877460718154907</v>
      </c>
      <c r="M788" s="6">
        <v>-0.77347922325134311</v>
      </c>
      <c r="N788" s="6">
        <v>2.6763952182210673</v>
      </c>
      <c r="O788" s="6">
        <v>2.4684203195547929</v>
      </c>
      <c r="P788" s="6">
        <v>1.5853173234185829</v>
      </c>
      <c r="Q788" s="6">
        <v>1.4921706720712691</v>
      </c>
      <c r="R788" s="6">
        <v>16.959678348911517</v>
      </c>
      <c r="S788" s="6">
        <v>10.590583102269367</v>
      </c>
      <c r="T788" s="6">
        <v>9.8831491470336914</v>
      </c>
      <c r="U788" s="6">
        <f>_xll.BDP($A788,"TRAILING_12M_R&amp;D_%_SALES",$A$1,$A$2)</f>
        <v>17.530052546968353</v>
      </c>
      <c r="V788" s="6">
        <v>35</v>
      </c>
      <c r="W788" s="6">
        <v>352020</v>
      </c>
      <c r="X788" s="6">
        <v>35202010</v>
      </c>
      <c r="Y788" s="7" t="s">
        <v>86</v>
      </c>
      <c r="Z788" s="7" t="s">
        <v>271</v>
      </c>
      <c r="AA788" s="7" t="s">
        <v>271</v>
      </c>
      <c r="AB788" s="6">
        <v>72.940345764160156</v>
      </c>
      <c r="AC788" s="6">
        <v>0.58957821914499209</v>
      </c>
      <c r="AD788" s="6">
        <v>-0.21869837292686201</v>
      </c>
      <c r="AE788" s="6">
        <v>95442</v>
      </c>
      <c r="AF788" s="6">
        <v>113816</v>
      </c>
    </row>
    <row r="789" spans="1:32" s="4" customFormat="1" ht="12.75" x14ac:dyDescent="0.2">
      <c r="A789" s="7" t="s">
        <v>2541</v>
      </c>
      <c r="B789" s="7" t="s">
        <v>2542</v>
      </c>
      <c r="C789" s="7" t="s">
        <v>2543</v>
      </c>
      <c r="D789" s="6">
        <v>0.33897423744201705</v>
      </c>
      <c r="E789" s="6">
        <v>-0.47292393445968606</v>
      </c>
      <c r="F789" s="6">
        <v>-0.34212133288383501</v>
      </c>
      <c r="G789" s="6">
        <v>-0.97124803066253707</v>
      </c>
      <c r="H789" s="6">
        <v>-0.61585652828216608</v>
      </c>
      <c r="I789" s="6">
        <v>0.48172169923782304</v>
      </c>
      <c r="J789" s="6">
        <v>0.37469270825386003</v>
      </c>
      <c r="K789" s="6">
        <v>-0.70366406440734908</v>
      </c>
      <c r="L789" s="6">
        <v>0.97877460718154907</v>
      </c>
      <c r="M789" s="6">
        <v>-0.77347922325134311</v>
      </c>
      <c r="N789" s="6">
        <v>2.6763952182210673</v>
      </c>
      <c r="O789" s="6">
        <v>2.4523046177361589</v>
      </c>
      <c r="P789" s="6">
        <v>1.5853173234185829</v>
      </c>
      <c r="Q789" s="6">
        <v>1.4831610448278461</v>
      </c>
      <c r="R789" s="6">
        <v>16.959678348911517</v>
      </c>
      <c r="S789" s="6">
        <v>10.526619942177351</v>
      </c>
      <c r="T789" s="6">
        <v>9.8831491470336914</v>
      </c>
      <c r="U789" s="6">
        <f>_xll.BDP($A789,"TRAILING_12M_R&amp;D_%_SALES",$A$1,$A$2)</f>
        <v>17.530052546968353</v>
      </c>
      <c r="V789" s="6">
        <v>35</v>
      </c>
      <c r="W789" s="6">
        <v>352020</v>
      </c>
      <c r="X789" s="6">
        <v>35202010</v>
      </c>
      <c r="Y789" s="7" t="s">
        <v>86</v>
      </c>
      <c r="Z789" s="7" t="s">
        <v>271</v>
      </c>
      <c r="AA789" s="7" t="s">
        <v>271</v>
      </c>
      <c r="AB789" s="6">
        <v>72.940345764160156</v>
      </c>
      <c r="AC789" s="6">
        <v>0.37042113494181406</v>
      </c>
      <c r="AD789" s="6">
        <v>0.153504678237804</v>
      </c>
      <c r="AE789" s="6">
        <v>95442</v>
      </c>
      <c r="AF789" s="6">
        <v>113816</v>
      </c>
    </row>
    <row r="790" spans="1:32" s="4" customFormat="1" ht="12.75" x14ac:dyDescent="0.2">
      <c r="A790" s="7" t="s">
        <v>2544</v>
      </c>
      <c r="B790" s="7" t="s">
        <v>2545</v>
      </c>
      <c r="C790" s="7" t="s">
        <v>2546</v>
      </c>
      <c r="D790" s="6">
        <v>9.8882086575031003E-2</v>
      </c>
      <c r="E790" s="6">
        <v>-0.76362675428390503</v>
      </c>
      <c r="F790" s="6">
        <v>0.230705842375755</v>
      </c>
      <c r="G790" s="6">
        <v>-0.45712506771087602</v>
      </c>
      <c r="H790" s="6">
        <v>0.95132130384445213</v>
      </c>
      <c r="I790" s="6">
        <v>0.54717558622360207</v>
      </c>
      <c r="J790" s="6">
        <v>-6.1982613988220006E-3</v>
      </c>
      <c r="K790" s="6">
        <v>-0.89286458492279108</v>
      </c>
      <c r="L790" s="6">
        <v>1.0242587327957151</v>
      </c>
      <c r="M790" s="6">
        <v>-0.98945945501327504</v>
      </c>
      <c r="N790" s="6">
        <v>2.7262403784320322</v>
      </c>
      <c r="O790" s="6">
        <v>3.0460144757845322</v>
      </c>
      <c r="P790" s="6">
        <v>2.489372160972104</v>
      </c>
      <c r="Q790" s="6">
        <v>2.5005865247749002</v>
      </c>
      <c r="R790" s="6">
        <v>19.451825264715826</v>
      </c>
      <c r="S790" s="6">
        <v>19.075418344495414</v>
      </c>
      <c r="T790" s="6">
        <v>11.333600044250488</v>
      </c>
      <c r="U790" s="6" t="str">
        <f>_xll.BDP($A790,"TRAILING_12M_R&amp;D_%_SALES",$A$1,$A$2)</f>
        <v>#N/A N/A</v>
      </c>
      <c r="V790" s="6">
        <v>55</v>
      </c>
      <c r="W790" s="6">
        <v>551010</v>
      </c>
      <c r="X790" s="6">
        <v>55101010</v>
      </c>
      <c r="Y790" s="7" t="s">
        <v>181</v>
      </c>
      <c r="Z790" s="7" t="s">
        <v>186</v>
      </c>
      <c r="AA790" s="7" t="s">
        <v>186</v>
      </c>
      <c r="AB790" s="6">
        <v>67.015388488769531</v>
      </c>
      <c r="AC790" s="6">
        <v>0.62701829433795808</v>
      </c>
      <c r="AD790" s="6">
        <v>8.558739325468423</v>
      </c>
      <c r="AE790" s="6">
        <v>27300</v>
      </c>
      <c r="AF790" s="6">
        <v>32015</v>
      </c>
    </row>
    <row r="791" spans="1:32" s="4" customFormat="1" ht="12.75" x14ac:dyDescent="0.2">
      <c r="A791" s="7" t="s">
        <v>2547</v>
      </c>
      <c r="B791" s="7" t="s">
        <v>2548</v>
      </c>
      <c r="C791" s="7" t="s">
        <v>2549</v>
      </c>
      <c r="D791" s="6">
        <v>-2.0382506772876001E-2</v>
      </c>
      <c r="E791" s="6">
        <v>-0.12665693461895</v>
      </c>
      <c r="F791" s="6">
        <v>-1.0694794654846189</v>
      </c>
      <c r="G791" s="6">
        <v>-0.92799454927444502</v>
      </c>
      <c r="H791" s="6">
        <v>0.8381822109222411</v>
      </c>
      <c r="I791" s="6">
        <v>0.29066312313079801</v>
      </c>
      <c r="J791" s="6">
        <v>0.554937303066254</v>
      </c>
      <c r="K791" s="6">
        <v>-0.42349544167518605</v>
      </c>
      <c r="L791" s="6">
        <v>1.9639360904693601</v>
      </c>
      <c r="M791" s="6">
        <v>-0.69282406568527211</v>
      </c>
      <c r="N791" s="6">
        <v>1.2135471980709001</v>
      </c>
      <c r="O791" s="6"/>
      <c r="P791" s="6">
        <v>3.8836448198763458</v>
      </c>
      <c r="Q791" s="6"/>
      <c r="R791" s="6">
        <v>15.702828159623342</v>
      </c>
      <c r="S791" s="6"/>
      <c r="T791" s="6">
        <v>25.765768051147461</v>
      </c>
      <c r="U791" s="6" t="str">
        <f>_xll.BDP($A791,"TRAILING_12M_R&amp;D_%_SALES",$A$1,$A$2)</f>
        <v>#N/A N/A</v>
      </c>
      <c r="V791" s="6">
        <v>50</v>
      </c>
      <c r="W791" s="6">
        <v>501020</v>
      </c>
      <c r="X791" s="6">
        <v>50102010</v>
      </c>
      <c r="Y791" s="7" t="s">
        <v>367</v>
      </c>
      <c r="Z791" s="7" t="s">
        <v>1626</v>
      </c>
      <c r="AA791" s="7" t="s">
        <v>1626</v>
      </c>
      <c r="AB791" s="6">
        <v>60.738357543945313</v>
      </c>
      <c r="AC791" s="6">
        <v>0.54378743603157709</v>
      </c>
      <c r="AD791" s="6">
        <v>-5.1677303644655499</v>
      </c>
      <c r="AE791" s="6">
        <v>49581</v>
      </c>
      <c r="AF791" s="6">
        <v>20033</v>
      </c>
    </row>
    <row r="792" spans="1:32" s="4" customFormat="1" ht="12.75" x14ac:dyDescent="0.2">
      <c r="A792" s="7" t="s">
        <v>2550</v>
      </c>
      <c r="B792" s="7" t="s">
        <v>2551</v>
      </c>
      <c r="C792" s="7" t="s">
        <v>2552</v>
      </c>
      <c r="D792" s="6">
        <v>0.52667188644409202</v>
      </c>
      <c r="E792" s="6">
        <v>-0.53622364997863803</v>
      </c>
      <c r="F792" s="6">
        <v>1.005241751670837</v>
      </c>
      <c r="G792" s="6">
        <v>-0.71464413404464711</v>
      </c>
      <c r="H792" s="6">
        <v>-0.72081542015075706</v>
      </c>
      <c r="I792" s="6">
        <v>-0.28336748480796803</v>
      </c>
      <c r="J792" s="6">
        <v>0.46891805529594405</v>
      </c>
      <c r="K792" s="6">
        <v>-0.54747635126113903</v>
      </c>
      <c r="L792" s="6">
        <v>-0.48371043801307706</v>
      </c>
      <c r="M792" s="6">
        <v>-0.86808449029922508</v>
      </c>
      <c r="N792" s="6">
        <v>1.199210651294373</v>
      </c>
      <c r="O792" s="6">
        <v>1.044620156306709</v>
      </c>
      <c r="P792" s="6">
        <v>1.8035175985673431</v>
      </c>
      <c r="Q792" s="6">
        <v>1.6601329395915911</v>
      </c>
      <c r="R792" s="6">
        <v>13.2243056743831</v>
      </c>
      <c r="S792" s="6">
        <v>12.479541713238454</v>
      </c>
      <c r="T792" s="6">
        <v>14.069026947021484</v>
      </c>
      <c r="U792" s="6">
        <f>_xll.BDP($A792,"TRAILING_12M_R&amp;D_%_SALES",$A$1,$A$2)</f>
        <v>5.42924839652063</v>
      </c>
      <c r="V792" s="6">
        <v>25</v>
      </c>
      <c r="W792" s="6">
        <v>252010</v>
      </c>
      <c r="X792" s="6">
        <v>25201010</v>
      </c>
      <c r="Y792" s="7" t="s">
        <v>108</v>
      </c>
      <c r="Z792" s="7" t="s">
        <v>944</v>
      </c>
      <c r="AA792" s="7" t="s">
        <v>1711</v>
      </c>
      <c r="AB792" s="6">
        <v>63.172718048095703</v>
      </c>
      <c r="AC792" s="6">
        <v>0.96793465277042212</v>
      </c>
      <c r="AD792" s="6">
        <v>-39.028130733928165</v>
      </c>
      <c r="AE792" s="6">
        <v>108900</v>
      </c>
      <c r="AF792" s="6">
        <v>128400</v>
      </c>
    </row>
    <row r="793" spans="1:32" s="4" customFormat="1" ht="12.75" x14ac:dyDescent="0.2">
      <c r="A793" s="7" t="s">
        <v>2553</v>
      </c>
      <c r="B793" s="7" t="s">
        <v>2554</v>
      </c>
      <c r="C793" s="7" t="s">
        <v>2555</v>
      </c>
      <c r="D793" s="6">
        <v>-0.87360167503356911</v>
      </c>
      <c r="E793" s="6">
        <v>0.94710940122604403</v>
      </c>
      <c r="F793" s="6">
        <v>0.85859501361846902</v>
      </c>
      <c r="G793" s="6">
        <v>-6.266551464796101E-2</v>
      </c>
      <c r="H793" s="6">
        <v>1.850531697273254</v>
      </c>
      <c r="I793" s="6">
        <v>-0.31115600466728205</v>
      </c>
      <c r="J793" s="6">
        <v>-0.12741889059543601</v>
      </c>
      <c r="K793" s="6">
        <v>-0.98286426067352306</v>
      </c>
      <c r="L793" s="6">
        <v>2.2182571887969971</v>
      </c>
      <c r="M793" s="6">
        <v>-0.90768575668335005</v>
      </c>
      <c r="N793" s="6">
        <v>7.3904696962631764</v>
      </c>
      <c r="O793" s="6">
        <v>7.5162282777543936</v>
      </c>
      <c r="P793" s="6">
        <v>12.882187012225385</v>
      </c>
      <c r="Q793" s="6">
        <v>6.1796736322470087</v>
      </c>
      <c r="R793" s="6">
        <v>19.718288502435531</v>
      </c>
      <c r="S793" s="6">
        <v>17.987937920648289</v>
      </c>
      <c r="T793" s="6">
        <v>62.204875946044922</v>
      </c>
      <c r="U793" s="6" t="str">
        <f>_xll.BDP($A793,"TRAILING_12M_R&amp;D_%_SALES",$A$1,$A$2)</f>
        <v>#N/A N/A</v>
      </c>
      <c r="V793" s="6">
        <v>60</v>
      </c>
      <c r="W793" s="6">
        <v>601070</v>
      </c>
      <c r="X793" s="6">
        <v>60107010</v>
      </c>
      <c r="Y793" s="7" t="s">
        <v>307</v>
      </c>
      <c r="Z793" s="7" t="s">
        <v>2106</v>
      </c>
      <c r="AA793" s="7" t="s">
        <v>2106</v>
      </c>
      <c r="AB793" s="6">
        <v>57.790966033935547</v>
      </c>
      <c r="AC793" s="6">
        <v>0.98989252304899511</v>
      </c>
      <c r="AD793" s="6">
        <v>-22.040042325685004</v>
      </c>
      <c r="AE793" s="6">
        <v>3300</v>
      </c>
      <c r="AF793" s="6">
        <v>5000</v>
      </c>
    </row>
    <row r="794" spans="1:32" s="4" customFormat="1" ht="12.75" x14ac:dyDescent="0.2">
      <c r="A794" s="7" t="s">
        <v>2556</v>
      </c>
      <c r="B794" s="7" t="s">
        <v>2557</v>
      </c>
      <c r="C794" s="7" t="s">
        <v>2558</v>
      </c>
      <c r="D794" s="6">
        <v>-0.22085981070995303</v>
      </c>
      <c r="E794" s="6">
        <v>0.91962081193924006</v>
      </c>
      <c r="F794" s="6">
        <v>-0.28455343842506403</v>
      </c>
      <c r="G794" s="6">
        <v>-0.13121949136257202</v>
      </c>
      <c r="H794" s="6">
        <v>-0.59259289503097501</v>
      </c>
      <c r="I794" s="6">
        <v>-0.49683746695518505</v>
      </c>
      <c r="J794" s="6">
        <v>-0.321111530065536</v>
      </c>
      <c r="K794" s="6">
        <v>0.95418632030487105</v>
      </c>
      <c r="L794" s="6">
        <v>-0.31687155365943903</v>
      </c>
      <c r="M794" s="6">
        <v>0.25240141153335605</v>
      </c>
      <c r="N794" s="6">
        <v>9.6026082475131602</v>
      </c>
      <c r="O794" s="6">
        <v>8.9058034697094435</v>
      </c>
      <c r="P794" s="6">
        <v>2.9360306055379839</v>
      </c>
      <c r="Q794" s="6">
        <v>2.8190032313363993</v>
      </c>
      <c r="R794" s="6">
        <v>38.378242519376492</v>
      </c>
      <c r="S794" s="6">
        <v>26.65988780471816</v>
      </c>
      <c r="T794" s="6">
        <v>17.891931533813477</v>
      </c>
      <c r="U794" s="6" t="str">
        <f>_xll.BDP($A794,"TRAILING_12M_R&amp;D_%_SALES",$A$1,$A$2)</f>
        <v>#N/A N/A</v>
      </c>
      <c r="V794" s="6">
        <v>40</v>
      </c>
      <c r="W794" s="6">
        <v>402030</v>
      </c>
      <c r="X794" s="6">
        <v>40203040</v>
      </c>
      <c r="Y794" s="7" t="s">
        <v>53</v>
      </c>
      <c r="Z794" s="7" t="s">
        <v>298</v>
      </c>
      <c r="AA794" s="7" t="s">
        <v>746</v>
      </c>
      <c r="AB794" s="6">
        <v>60.838951110839844</v>
      </c>
      <c r="AC794" s="6">
        <v>0.96431772246780911</v>
      </c>
      <c r="AD794" s="6">
        <v>-28.172009992672777</v>
      </c>
      <c r="AE794" s="6">
        <v>22850</v>
      </c>
      <c r="AF794" s="6">
        <v>20000</v>
      </c>
    </row>
    <row r="795" spans="1:32" s="4" customFormat="1" ht="12.75" x14ac:dyDescent="0.2">
      <c r="A795" s="7" t="s">
        <v>2559</v>
      </c>
      <c r="B795" s="7" t="s">
        <v>2560</v>
      </c>
      <c r="C795" s="7" t="s">
        <v>2561</v>
      </c>
      <c r="D795" s="6">
        <v>-7.8454755246639002E-2</v>
      </c>
      <c r="E795" s="6">
        <v>-3.0001177787780762</v>
      </c>
      <c r="F795" s="6">
        <v>1.9322080612182622</v>
      </c>
      <c r="G795" s="6">
        <v>3.0003302097320561</v>
      </c>
      <c r="H795" s="6">
        <v>0.71844696998596203</v>
      </c>
      <c r="I795" s="6">
        <v>-3.0000936985015869</v>
      </c>
      <c r="J795" s="6">
        <v>9.5392867922783009E-2</v>
      </c>
      <c r="K795" s="6">
        <v>0.53771954774856601</v>
      </c>
      <c r="L795" s="6">
        <v>-0.83342528343200706</v>
      </c>
      <c r="M795" s="6">
        <v>2.134864330291748</v>
      </c>
      <c r="N795" s="6"/>
      <c r="O795" s="6"/>
      <c r="P795" s="6"/>
      <c r="Q795" s="6"/>
      <c r="R795" s="6"/>
      <c r="S795" s="6"/>
      <c r="T795" s="6"/>
      <c r="U795" s="6" t="str">
        <f>_xll.BDP($A795,"TRAILING_12M_R&amp;D_%_SALES",$A$1,$A$2)</f>
        <v>#N/A Field Not Applicable</v>
      </c>
      <c r="V795" s="6"/>
      <c r="W795" s="6"/>
      <c r="X795" s="6"/>
      <c r="Y795" s="7" t="s">
        <v>1202</v>
      </c>
      <c r="Z795" s="7" t="s">
        <v>1202</v>
      </c>
      <c r="AA795" s="7" t="s">
        <v>1202</v>
      </c>
      <c r="AB795" s="6"/>
      <c r="AC795" s="6">
        <v>1.22993058218465</v>
      </c>
      <c r="AD795" s="6">
        <v>-96.000000011641532</v>
      </c>
      <c r="AE795" s="6"/>
      <c r="AF795" s="6"/>
    </row>
    <row r="796" spans="1:32" s="4" customFormat="1" ht="12.75" x14ac:dyDescent="0.2">
      <c r="A796" s="7" t="s">
        <v>2562</v>
      </c>
      <c r="B796" s="7" t="s">
        <v>2563</v>
      </c>
      <c r="C796" s="7" t="s">
        <v>2564</v>
      </c>
      <c r="D796" s="6">
        <v>-0.33965274691581704</v>
      </c>
      <c r="E796" s="6">
        <v>-0.71886628866195701</v>
      </c>
      <c r="F796" s="6">
        <v>0.281154364347458</v>
      </c>
      <c r="G796" s="6">
        <v>-0.40474194288253801</v>
      </c>
      <c r="H796" s="6">
        <v>0.52123731374740601</v>
      </c>
      <c r="I796" s="6">
        <v>0.96923172473907504</v>
      </c>
      <c r="J796" s="6">
        <v>2.3647297173738001E-2</v>
      </c>
      <c r="K796" s="6">
        <v>-0.64336675405502308</v>
      </c>
      <c r="L796" s="6">
        <v>0.60399985313415505</v>
      </c>
      <c r="M796" s="6">
        <v>-0.77515691518783603</v>
      </c>
      <c r="N796" s="6">
        <v>3.295946053909967</v>
      </c>
      <c r="O796" s="6">
        <v>3.335762991088969</v>
      </c>
      <c r="P796" s="6">
        <v>1.8563007007086632</v>
      </c>
      <c r="Q796" s="6">
        <v>1.7559377127639271</v>
      </c>
      <c r="R796" s="6">
        <v>18.755434194941291</v>
      </c>
      <c r="S796" s="6">
        <v>17.16928986039278</v>
      </c>
      <c r="T796" s="6">
        <v>9.0752115249633789</v>
      </c>
      <c r="U796" s="6" t="str">
        <f>_xll.BDP($A796,"TRAILING_12M_R&amp;D_%_SALES",$A$1,$A$2)</f>
        <v>#N/A N/A</v>
      </c>
      <c r="V796" s="6">
        <v>55</v>
      </c>
      <c r="W796" s="6">
        <v>551030</v>
      </c>
      <c r="X796" s="6">
        <v>55103010</v>
      </c>
      <c r="Y796" s="7" t="s">
        <v>181</v>
      </c>
      <c r="Z796" s="7" t="s">
        <v>182</v>
      </c>
      <c r="AA796" s="7" t="s">
        <v>182</v>
      </c>
      <c r="AB796" s="6">
        <v>76.350471496582031</v>
      </c>
      <c r="AC796" s="6">
        <v>0.67618632898027908</v>
      </c>
      <c r="AD796" s="6">
        <v>20.748469010042591</v>
      </c>
      <c r="AE796" s="6">
        <v>15390</v>
      </c>
      <c r="AF796" s="6">
        <v>16575</v>
      </c>
    </row>
    <row r="797" spans="1:32" s="4" customFormat="1" ht="12.75" x14ac:dyDescent="0.2">
      <c r="A797" s="7" t="s">
        <v>2565</v>
      </c>
      <c r="B797" s="7" t="s">
        <v>2566</v>
      </c>
      <c r="C797" s="7" t="s">
        <v>2567</v>
      </c>
      <c r="D797" s="6">
        <v>-0.84646737575531006</v>
      </c>
      <c r="E797" s="6">
        <v>-0.73692739009857211</v>
      </c>
      <c r="F797" s="6">
        <v>0.58404475450515703</v>
      </c>
      <c r="G797" s="6">
        <v>-0.85148316621780407</v>
      </c>
      <c r="H797" s="6">
        <v>0.46538537740707403</v>
      </c>
      <c r="I797" s="6">
        <v>0.46472156047821006</v>
      </c>
      <c r="J797" s="6">
        <v>0.141336664557457</v>
      </c>
      <c r="K797" s="6">
        <v>-1.004768848419189</v>
      </c>
      <c r="L797" s="6">
        <v>1.699913859367371</v>
      </c>
      <c r="M797" s="6">
        <v>1.4694865792990001E-2</v>
      </c>
      <c r="N797" s="6">
        <v>1.7076871759462531</v>
      </c>
      <c r="O797" s="6">
        <v>1.6891076383410781</v>
      </c>
      <c r="P797" s="6">
        <v>2.3704647989353811</v>
      </c>
      <c r="Q797" s="6">
        <v>1.7691850209419102</v>
      </c>
      <c r="R797" s="6">
        <v>17.428075175455817</v>
      </c>
      <c r="S797" s="6">
        <v>12.605186225614176</v>
      </c>
      <c r="T797" s="6">
        <v>23.500078201293945</v>
      </c>
      <c r="U797" s="6" t="str">
        <f>_xll.BDP($A797,"TRAILING_12M_R&amp;D_%_SALES",$A$1,$A$2)</f>
        <v>#N/A N/A</v>
      </c>
      <c r="V797" s="6">
        <v>55</v>
      </c>
      <c r="W797" s="6">
        <v>551010</v>
      </c>
      <c r="X797" s="6">
        <v>55101010</v>
      </c>
      <c r="Y797" s="7" t="s">
        <v>181</v>
      </c>
      <c r="Z797" s="7" t="s">
        <v>186</v>
      </c>
      <c r="AA797" s="7" t="s">
        <v>186</v>
      </c>
      <c r="AB797" s="6">
        <v>78.161148071289063</v>
      </c>
      <c r="AC797" s="6">
        <v>0.45644431572999405</v>
      </c>
      <c r="AD797" s="6">
        <v>6.9536783073749664</v>
      </c>
      <c r="AE797" s="6">
        <v>10754</v>
      </c>
      <c r="AF797" s="6">
        <v>21157</v>
      </c>
    </row>
    <row r="798" spans="1:32" s="4" customFormat="1" ht="12.75" x14ac:dyDescent="0.2">
      <c r="A798" s="7" t="s">
        <v>2568</v>
      </c>
      <c r="B798" s="7" t="s">
        <v>2569</v>
      </c>
      <c r="C798" s="7" t="s">
        <v>2570</v>
      </c>
      <c r="D798" s="6">
        <v>-0.84646737575531006</v>
      </c>
      <c r="E798" s="6">
        <v>-0.73692739009857211</v>
      </c>
      <c r="F798" s="6">
        <v>0.58404475450515703</v>
      </c>
      <c r="G798" s="6">
        <v>-0.85148316621780407</v>
      </c>
      <c r="H798" s="6">
        <v>0.46538537740707403</v>
      </c>
      <c r="I798" s="6">
        <v>0.46472156047821006</v>
      </c>
      <c r="J798" s="6">
        <v>0.141336664557457</v>
      </c>
      <c r="K798" s="6">
        <v>-1.004768848419189</v>
      </c>
      <c r="L798" s="6">
        <v>1.699913859367371</v>
      </c>
      <c r="M798" s="6">
        <v>1.4694865792990001E-2</v>
      </c>
      <c r="N798" s="6">
        <v>1.7076871759462531</v>
      </c>
      <c r="O798" s="6">
        <v>1.703016837105467</v>
      </c>
      <c r="P798" s="6">
        <v>2.3704647989353811</v>
      </c>
      <c r="Q798" s="6">
        <v>1.8023308464018071</v>
      </c>
      <c r="R798" s="6">
        <v>17.428075175455817</v>
      </c>
      <c r="S798" s="6">
        <v>12.84134541618954</v>
      </c>
      <c r="T798" s="6">
        <v>23.500078201293945</v>
      </c>
      <c r="U798" s="6" t="str">
        <f>_xll.BDP($A798,"TRAILING_12M_R&amp;D_%_SALES",$A$1,$A$2)</f>
        <v>#N/A N/A</v>
      </c>
      <c r="V798" s="6">
        <v>55</v>
      </c>
      <c r="W798" s="6">
        <v>551010</v>
      </c>
      <c r="X798" s="6">
        <v>55101010</v>
      </c>
      <c r="Y798" s="7" t="s">
        <v>181</v>
      </c>
      <c r="Z798" s="7" t="s">
        <v>186</v>
      </c>
      <c r="AA798" s="7" t="s">
        <v>186</v>
      </c>
      <c r="AB798" s="6">
        <v>78.161148071289063</v>
      </c>
      <c r="AC798" s="6">
        <v>0.7759801934510101</v>
      </c>
      <c r="AD798" s="6">
        <v>-3.3797023268831721</v>
      </c>
      <c r="AE798" s="6">
        <v>10754</v>
      </c>
      <c r="AF798" s="6">
        <v>21157</v>
      </c>
    </row>
    <row r="799" spans="1:32" s="4" customFormat="1" ht="12.75" x14ac:dyDescent="0.2">
      <c r="A799" s="7" t="s">
        <v>2571</v>
      </c>
      <c r="B799" s="7" t="s">
        <v>2572</v>
      </c>
      <c r="C799" s="7" t="s">
        <v>2573</v>
      </c>
      <c r="D799" s="6">
        <v>-3.6804087460041005E-2</v>
      </c>
      <c r="E799" s="6">
        <v>-1.0296856164932251</v>
      </c>
      <c r="F799" s="6">
        <v>0.93655568361282304</v>
      </c>
      <c r="G799" s="6">
        <v>-0.69899034500122104</v>
      </c>
      <c r="H799" s="6">
        <v>-0.177322372794151</v>
      </c>
      <c r="I799" s="6">
        <v>0.37957760691642806</v>
      </c>
      <c r="J799" s="6">
        <v>0.50005483627319303</v>
      </c>
      <c r="K799" s="6">
        <v>-0.24222038686275502</v>
      </c>
      <c r="L799" s="6">
        <v>2.4603934288024902</v>
      </c>
      <c r="M799" s="6">
        <v>-0.98691976070404108</v>
      </c>
      <c r="N799" s="6">
        <v>0.59147133556349007</v>
      </c>
      <c r="O799" s="6">
        <v>0.59907465550679806</v>
      </c>
      <c r="P799" s="6">
        <v>2.011429708161844</v>
      </c>
      <c r="Q799" s="6">
        <v>1.865318963200862</v>
      </c>
      <c r="R799" s="6">
        <v>49.55544161942241</v>
      </c>
      <c r="S799" s="6">
        <v>8.7787765998030576</v>
      </c>
      <c r="T799" s="6">
        <v>2.8384959697723389</v>
      </c>
      <c r="U799" s="6" t="str">
        <f>_xll.BDP($A799,"TRAILING_12M_R&amp;D_%_SALES",$A$1,$A$2)</f>
        <v>#N/A N/A</v>
      </c>
      <c r="V799" s="6">
        <v>40</v>
      </c>
      <c r="W799" s="6">
        <v>403010</v>
      </c>
      <c r="X799" s="6">
        <v>40301050</v>
      </c>
      <c r="Y799" s="7" t="s">
        <v>53</v>
      </c>
      <c r="Z799" s="7" t="s">
        <v>54</v>
      </c>
      <c r="AA799" s="7" t="s">
        <v>1090</v>
      </c>
      <c r="AB799" s="6">
        <v>54.551856994628906</v>
      </c>
      <c r="AC799" s="6">
        <v>0.50648404835080407</v>
      </c>
      <c r="AD799" s="6">
        <v>2.564853081994567</v>
      </c>
      <c r="AE799" s="6">
        <v>13985</v>
      </c>
      <c r="AF799" s="6">
        <v>14053</v>
      </c>
    </row>
    <row r="800" spans="1:32" s="4" customFormat="1" ht="12.75" x14ac:dyDescent="0.2">
      <c r="A800" s="7" t="s">
        <v>2574</v>
      </c>
      <c r="B800" s="7" t="s">
        <v>2575</v>
      </c>
      <c r="C800" s="7" t="s">
        <v>2576</v>
      </c>
      <c r="D800" s="6">
        <v>-3.6804087460041005E-2</v>
      </c>
      <c r="E800" s="6">
        <v>-1.0296856164932251</v>
      </c>
      <c r="F800" s="6">
        <v>0.93655568361282304</v>
      </c>
      <c r="G800" s="6">
        <v>-0.69899034500122104</v>
      </c>
      <c r="H800" s="6">
        <v>-0.177322372794151</v>
      </c>
      <c r="I800" s="6">
        <v>0.37957760691642806</v>
      </c>
      <c r="J800" s="6">
        <v>0.50005483627319303</v>
      </c>
      <c r="K800" s="6">
        <v>-0.24222038686275502</v>
      </c>
      <c r="L800" s="6">
        <v>2.4603934288024902</v>
      </c>
      <c r="M800" s="6">
        <v>-0.98691976070404108</v>
      </c>
      <c r="N800" s="6">
        <v>0.59147133556349007</v>
      </c>
      <c r="O800" s="6">
        <v>0.57353198481099299</v>
      </c>
      <c r="P800" s="6">
        <v>2.011429708161844</v>
      </c>
      <c r="Q800" s="6"/>
      <c r="R800" s="6">
        <v>49.55544161942241</v>
      </c>
      <c r="S800" s="6"/>
      <c r="T800" s="6">
        <v>2.8384959697723389</v>
      </c>
      <c r="U800" s="6" t="str">
        <f>_xll.BDP($A800,"TRAILING_12M_R&amp;D_%_SALES",$A$1,$A$2)</f>
        <v>#N/A N/A</v>
      </c>
      <c r="V800" s="6">
        <v>40</v>
      </c>
      <c r="W800" s="6">
        <v>403010</v>
      </c>
      <c r="X800" s="6">
        <v>40301050</v>
      </c>
      <c r="Y800" s="7" t="s">
        <v>53</v>
      </c>
      <c r="Z800" s="7" t="s">
        <v>54</v>
      </c>
      <c r="AA800" s="7" t="s">
        <v>1090</v>
      </c>
      <c r="AB800" s="6">
        <v>54.551856994628906</v>
      </c>
      <c r="AC800" s="6">
        <v>0.69120830543213507</v>
      </c>
      <c r="AD800" s="6">
        <v>1.948012402460364</v>
      </c>
      <c r="AE800" s="6">
        <v>13985</v>
      </c>
      <c r="AF800" s="6">
        <v>14053</v>
      </c>
    </row>
    <row r="801" spans="1:32" s="4" customFormat="1" ht="12.75" x14ac:dyDescent="0.2">
      <c r="A801" s="7" t="s">
        <v>2577</v>
      </c>
      <c r="B801" s="7" t="s">
        <v>2578</v>
      </c>
      <c r="C801" s="7" t="s">
        <v>2579</v>
      </c>
      <c r="D801" s="6">
        <v>-0.36685284972190901</v>
      </c>
      <c r="E801" s="6">
        <v>-0.55902695655822809</v>
      </c>
      <c r="F801" s="6">
        <v>1.741875529289246</v>
      </c>
      <c r="G801" s="6">
        <v>-0.72761648893356301</v>
      </c>
      <c r="H801" s="6">
        <v>0.5911841392517091</v>
      </c>
      <c r="I801" s="6">
        <v>1.272517085075378</v>
      </c>
      <c r="J801" s="6">
        <v>1.632664680480957</v>
      </c>
      <c r="K801" s="6">
        <v>-0.97423392534256004</v>
      </c>
      <c r="L801" s="6">
        <v>1.677623391151428</v>
      </c>
      <c r="M801" s="6">
        <v>-0.71577239036560103</v>
      </c>
      <c r="N801" s="6">
        <v>0.43532031398101806</v>
      </c>
      <c r="O801" s="6">
        <v>0.43388473470105804</v>
      </c>
      <c r="P801" s="6">
        <v>0.71229778980442304</v>
      </c>
      <c r="Q801" s="6">
        <v>0.68460778735571504</v>
      </c>
      <c r="R801" s="6">
        <v>4.7942364051285917</v>
      </c>
      <c r="S801" s="6">
        <v>5.8320532897056312</v>
      </c>
      <c r="T801" s="6">
        <v>17.32783317565918</v>
      </c>
      <c r="U801" s="6">
        <f>_xll.BDP($A801,"TRAILING_12M_R&amp;D_%_SALES",$A$1,$A$2)</f>
        <v>0</v>
      </c>
      <c r="V801" s="6">
        <v>20</v>
      </c>
      <c r="W801" s="6">
        <v>201070</v>
      </c>
      <c r="X801" s="6">
        <v>20107010</v>
      </c>
      <c r="Y801" s="7" t="s">
        <v>43</v>
      </c>
      <c r="Z801" s="7" t="s">
        <v>44</v>
      </c>
      <c r="AA801" s="7" t="s">
        <v>44</v>
      </c>
      <c r="AB801" s="6">
        <v>50.165977478027344</v>
      </c>
      <c r="AC801" s="6">
        <v>0.48658437663147402</v>
      </c>
      <c r="AD801" s="6">
        <v>20.391020277487627</v>
      </c>
      <c r="AE801" s="6">
        <v>74253</v>
      </c>
      <c r="AF801" s="6">
        <v>70900</v>
      </c>
    </row>
    <row r="802" spans="1:32" s="4" customFormat="1" ht="12.75" x14ac:dyDescent="0.2">
      <c r="A802" s="7" t="s">
        <v>2580</v>
      </c>
      <c r="B802" s="7" t="s">
        <v>2581</v>
      </c>
      <c r="C802" s="7" t="s">
        <v>2582</v>
      </c>
      <c r="D802" s="6">
        <v>-0.36685284972190901</v>
      </c>
      <c r="E802" s="6">
        <v>-0.55902695655822809</v>
      </c>
      <c r="F802" s="6">
        <v>1.741875529289246</v>
      </c>
      <c r="G802" s="6">
        <v>-0.72761648893356301</v>
      </c>
      <c r="H802" s="6">
        <v>0.5911841392517091</v>
      </c>
      <c r="I802" s="6">
        <v>1.272517085075378</v>
      </c>
      <c r="J802" s="6">
        <v>1.632664680480957</v>
      </c>
      <c r="K802" s="6">
        <v>-0.97423392534256004</v>
      </c>
      <c r="L802" s="6">
        <v>1.677623391151428</v>
      </c>
      <c r="M802" s="6">
        <v>-0.71577239036560103</v>
      </c>
      <c r="N802" s="6">
        <v>0.43532031398101806</v>
      </c>
      <c r="O802" s="6">
        <v>0.48099305538126802</v>
      </c>
      <c r="P802" s="6">
        <v>0.71229778980442304</v>
      </c>
      <c r="Q802" s="6"/>
      <c r="R802" s="6">
        <v>4.7942364051285917</v>
      </c>
      <c r="S802" s="6">
        <v>4.9874216640538505</v>
      </c>
      <c r="T802" s="6">
        <v>17.32783317565918</v>
      </c>
      <c r="U802" s="6">
        <f>_xll.BDP($A802,"TRAILING_12M_R&amp;D_%_SALES",$A$1,$A$2)</f>
        <v>0</v>
      </c>
      <c r="V802" s="6">
        <v>20</v>
      </c>
      <c r="W802" s="6">
        <v>201070</v>
      </c>
      <c r="X802" s="6">
        <v>20107010</v>
      </c>
      <c r="Y802" s="7" t="s">
        <v>43</v>
      </c>
      <c r="Z802" s="7" t="s">
        <v>44</v>
      </c>
      <c r="AA802" s="7" t="s">
        <v>44</v>
      </c>
      <c r="AB802" s="6">
        <v>50.165977478027344</v>
      </c>
      <c r="AC802" s="6">
        <v>0.65602770767254104</v>
      </c>
      <c r="AD802" s="6">
        <v>19.815035252555056</v>
      </c>
      <c r="AE802" s="6">
        <v>74253</v>
      </c>
      <c r="AF802" s="6">
        <v>70900</v>
      </c>
    </row>
    <row r="803" spans="1:32" s="4" customFormat="1" ht="12.75" x14ac:dyDescent="0.2">
      <c r="A803" s="7" t="s">
        <v>2583</v>
      </c>
      <c r="B803" s="7" t="s">
        <v>2584</v>
      </c>
      <c r="C803" s="7" t="s">
        <v>2585</v>
      </c>
      <c r="D803" s="6">
        <v>0.40992802381515503</v>
      </c>
      <c r="E803" s="6">
        <v>-0.27796396613120999</v>
      </c>
      <c r="F803" s="6">
        <v>1.9108248949050901</v>
      </c>
      <c r="G803" s="6">
        <v>-0.98199266195297208</v>
      </c>
      <c r="H803" s="6">
        <v>-0.26629984378814703</v>
      </c>
      <c r="I803" s="6">
        <v>-0.15551444888114901</v>
      </c>
      <c r="J803" s="6">
        <v>3.000007152557373</v>
      </c>
      <c r="K803" s="6">
        <v>0.34024775028228804</v>
      </c>
      <c r="L803" s="6">
        <v>3.00003981590271</v>
      </c>
      <c r="M803" s="6">
        <v>0.79052430391311601</v>
      </c>
      <c r="N803" s="6">
        <v>0.24685123018173702</v>
      </c>
      <c r="O803" s="6">
        <v>0.23028884925564602</v>
      </c>
      <c r="P803" s="6">
        <v>0.63907743363706504</v>
      </c>
      <c r="Q803" s="6">
        <v>0.55241318842313103</v>
      </c>
      <c r="R803" s="6">
        <v>2.5271909463620092</v>
      </c>
      <c r="S803" s="6">
        <v>3.0631227232053901</v>
      </c>
      <c r="T803" s="6">
        <v>27.574831008911133</v>
      </c>
      <c r="U803" s="6">
        <f>_xll.BDP($A803,"TRAILING_12M_R&amp;D_%_SALES",$A$1,$A$2)</f>
        <v>3.6869414449444791</v>
      </c>
      <c r="V803" s="6">
        <v>25</v>
      </c>
      <c r="W803" s="6">
        <v>251020</v>
      </c>
      <c r="X803" s="6">
        <v>25102010</v>
      </c>
      <c r="Y803" s="7" t="s">
        <v>108</v>
      </c>
      <c r="Z803" s="7" t="s">
        <v>422</v>
      </c>
      <c r="AA803" s="7" t="s">
        <v>423</v>
      </c>
      <c r="AB803" s="6">
        <v>71.320793151855469</v>
      </c>
      <c r="AC803" s="6">
        <v>1.1795387930312831</v>
      </c>
      <c r="AD803" s="6">
        <v>-18.433721238147371</v>
      </c>
      <c r="AE803" s="6">
        <v>281595</v>
      </c>
      <c r="AF803" s="6">
        <v>235481</v>
      </c>
    </row>
    <row r="804" spans="1:32" s="4" customFormat="1" ht="12.75" x14ac:dyDescent="0.2">
      <c r="A804" s="7" t="s">
        <v>2586</v>
      </c>
      <c r="B804" s="7" t="s">
        <v>2587</v>
      </c>
      <c r="C804" s="7" t="s">
        <v>2588</v>
      </c>
      <c r="D804" s="6">
        <v>-0.87979131937027011</v>
      </c>
      <c r="E804" s="6">
        <v>7.0686094462872009E-2</v>
      </c>
      <c r="F804" s="6">
        <v>1.2273567914962771</v>
      </c>
      <c r="G804" s="6">
        <v>-0.58153569698333707</v>
      </c>
      <c r="H804" s="6">
        <v>-0.78487265110015902</v>
      </c>
      <c r="I804" s="6">
        <v>-0.21428433060646102</v>
      </c>
      <c r="J804" s="6">
        <v>0.62015533447265603</v>
      </c>
      <c r="K804" s="6">
        <v>0.22055394947528803</v>
      </c>
      <c r="L804" s="6">
        <v>-0.53274321556091309</v>
      </c>
      <c r="M804" s="6">
        <v>0.36831590533256503</v>
      </c>
      <c r="N804" s="6">
        <v>2.1530640647383401</v>
      </c>
      <c r="O804" s="6">
        <v>1.9964172497282751</v>
      </c>
      <c r="P804" s="6">
        <v>2.9338829261001251</v>
      </c>
      <c r="Q804" s="6">
        <v>2.1622936384920131</v>
      </c>
      <c r="R804" s="6">
        <v>9.4797037757567217</v>
      </c>
      <c r="S804" s="6">
        <v>9.9952836198422741</v>
      </c>
      <c r="T804" s="6">
        <v>35.655082702636719</v>
      </c>
      <c r="U804" s="6">
        <f>_xll.BDP($A804,"TRAILING_12M_R&amp;D_%_SALES",$A$1,$A$2)</f>
        <v>15.660562212676163</v>
      </c>
      <c r="V804" s="6">
        <v>45</v>
      </c>
      <c r="W804" s="6">
        <v>453010</v>
      </c>
      <c r="X804" s="6">
        <v>45301020</v>
      </c>
      <c r="Y804" s="7" t="s">
        <v>66</v>
      </c>
      <c r="Z804" s="7" t="s">
        <v>163</v>
      </c>
      <c r="AA804" s="7" t="s">
        <v>164</v>
      </c>
      <c r="AB804" s="6">
        <v>68.091743469238281</v>
      </c>
      <c r="AC804" s="6">
        <v>1.4226535428452811</v>
      </c>
      <c r="AD804" s="6">
        <v>-27.224199704883933</v>
      </c>
      <c r="AE804" s="6">
        <v>48254</v>
      </c>
      <c r="AF804" s="6">
        <v>43480</v>
      </c>
    </row>
    <row r="805" spans="1:32" s="4" customFormat="1" ht="12.75" x14ac:dyDescent="0.2">
      <c r="A805" s="7" t="s">
        <v>2589</v>
      </c>
      <c r="B805" s="7" t="s">
        <v>2590</v>
      </c>
      <c r="C805" s="7" t="s">
        <v>2591</v>
      </c>
      <c r="D805" s="6">
        <v>-0.169205382466316</v>
      </c>
      <c r="E805" s="6">
        <v>-0.86879527568817105</v>
      </c>
      <c r="F805" s="6">
        <v>0.60568058490753207</v>
      </c>
      <c r="G805" s="6">
        <v>-8.5936933755870002E-3</v>
      </c>
      <c r="H805" s="6">
        <v>-0.18184407055378002</v>
      </c>
      <c r="I805" s="6">
        <v>-1.1762762442230001E-3</v>
      </c>
      <c r="J805" s="6">
        <v>1.3903598785400391</v>
      </c>
      <c r="K805" s="6">
        <v>-0.67380082607269309</v>
      </c>
      <c r="L805" s="6">
        <v>0.7736153602600101</v>
      </c>
      <c r="M805" s="6">
        <v>-0.65413439273834206</v>
      </c>
      <c r="N805" s="6">
        <v>2.2555380422545048</v>
      </c>
      <c r="O805" s="6">
        <v>2.2869003335467561</v>
      </c>
      <c r="P805" s="6">
        <v>1.207004438986726</v>
      </c>
      <c r="Q805" s="6">
        <v>1.0752582133882671</v>
      </c>
      <c r="R805" s="6">
        <v>10.313697580429269</v>
      </c>
      <c r="S805" s="6">
        <v>9.4945504538461023</v>
      </c>
      <c r="T805" s="6">
        <v>10.726685523986816</v>
      </c>
      <c r="U805" s="6" t="str">
        <f>_xll.BDP($A805,"TRAILING_12M_R&amp;D_%_SALES",$A$1,$A$2)</f>
        <v>#N/A N/A</v>
      </c>
      <c r="V805" s="6">
        <v>40</v>
      </c>
      <c r="W805" s="6">
        <v>402030</v>
      </c>
      <c r="X805" s="6">
        <v>40203010</v>
      </c>
      <c r="Y805" s="7" t="s">
        <v>53</v>
      </c>
      <c r="Z805" s="7" t="s">
        <v>298</v>
      </c>
      <c r="AA805" s="7" t="s">
        <v>299</v>
      </c>
      <c r="AB805" s="6">
        <v>57.358413696289063</v>
      </c>
      <c r="AC805" s="6">
        <v>1.1652633463009909</v>
      </c>
      <c r="AD805" s="6">
        <v>-13.390902618447553</v>
      </c>
      <c r="AE805" s="6">
        <v>38784</v>
      </c>
      <c r="AF805" s="6">
        <v>33783</v>
      </c>
    </row>
    <row r="806" spans="1:32" s="4" customFormat="1" ht="12.75" x14ac:dyDescent="0.2">
      <c r="A806" s="7" t="s">
        <v>2592</v>
      </c>
      <c r="B806" s="7" t="s">
        <v>2593</v>
      </c>
      <c r="C806" s="7" t="s">
        <v>2594</v>
      </c>
      <c r="D806" s="6">
        <v>-0.79044109582901001</v>
      </c>
      <c r="E806" s="6">
        <v>-0.89238727092742909</v>
      </c>
      <c r="F806" s="6">
        <v>-0.90651357173919711</v>
      </c>
      <c r="G806" s="6">
        <v>-9.4456374645233002E-2</v>
      </c>
      <c r="H806" s="6">
        <v>0.47001734375953702</v>
      </c>
      <c r="I806" s="6">
        <v>0.27046737074852001</v>
      </c>
      <c r="J806" s="6">
        <v>-0.23080804944038402</v>
      </c>
      <c r="K806" s="6">
        <v>-1.026957154273987</v>
      </c>
      <c r="L806" s="6">
        <v>-0.14783029258251201</v>
      </c>
      <c r="M806" s="6">
        <v>-0.58160197734832808</v>
      </c>
      <c r="N806" s="6">
        <v>4.0380141226438377</v>
      </c>
      <c r="O806" s="6">
        <v>4.2707982936941802</v>
      </c>
      <c r="P806" s="6">
        <v>4.5522634317793349</v>
      </c>
      <c r="Q806" s="6">
        <v>4.0267166161536618</v>
      </c>
      <c r="R806" s="6">
        <v>19.489064445462976</v>
      </c>
      <c r="S806" s="6">
        <v>18.808076687104563</v>
      </c>
      <c r="T806" s="6">
        <v>1.0154650211334231</v>
      </c>
      <c r="U806" s="6" t="str">
        <f>_xll.BDP($A806,"TRAILING_12M_R&amp;D_%_SALES",$A$1,$A$2)</f>
        <v>#N/A N/A</v>
      </c>
      <c r="V806" s="6">
        <v>30</v>
      </c>
      <c r="W806" s="6">
        <v>302010</v>
      </c>
      <c r="X806" s="6">
        <v>30201020</v>
      </c>
      <c r="Y806" s="7" t="s">
        <v>91</v>
      </c>
      <c r="Z806" s="7" t="s">
        <v>92</v>
      </c>
      <c r="AA806" s="7" t="s">
        <v>2165</v>
      </c>
      <c r="AB806" s="6">
        <v>57.831203460693359</v>
      </c>
      <c r="AC806" s="6">
        <v>0.68532172877195707</v>
      </c>
      <c r="AD806" s="6">
        <v>-5.8644209279923309</v>
      </c>
      <c r="AE806" s="6">
        <v>10000</v>
      </c>
      <c r="AF806" s="6">
        <v>8700</v>
      </c>
    </row>
    <row r="807" spans="1:32" s="4" customFormat="1" ht="12.75" x14ac:dyDescent="0.2">
      <c r="A807" s="7" t="s">
        <v>2595</v>
      </c>
      <c r="B807" s="7" t="s">
        <v>2596</v>
      </c>
      <c r="C807" s="7" t="s">
        <v>2597</v>
      </c>
      <c r="D807" s="6">
        <v>-0.21708609163761103</v>
      </c>
      <c r="E807" s="6">
        <v>-0.27724173665046703</v>
      </c>
      <c r="F807" s="6">
        <v>-0.19970077276229903</v>
      </c>
      <c r="G807" s="6">
        <v>0.76554113626480103</v>
      </c>
      <c r="H807" s="6">
        <v>-0.263415306806564</v>
      </c>
      <c r="I807" s="6">
        <v>1.2099146842956541</v>
      </c>
      <c r="J807" s="6">
        <v>1.9090369939804082</v>
      </c>
      <c r="K807" s="6">
        <v>-1.2931733131408691</v>
      </c>
      <c r="L807" s="6">
        <v>1.555720448493958</v>
      </c>
      <c r="M807" s="6">
        <v>7.7878668904305004E-2</v>
      </c>
      <c r="N807" s="6">
        <v>1.087325200200949</v>
      </c>
      <c r="O807" s="6">
        <v>1.094193051064265</v>
      </c>
      <c r="P807" s="6">
        <v>1.52278668264866</v>
      </c>
      <c r="Q807" s="6">
        <v>1.3007753472700831</v>
      </c>
      <c r="R807" s="6">
        <v>6.1983317335903889</v>
      </c>
      <c r="S807" s="6">
        <v>6.7701645658866232</v>
      </c>
      <c r="T807" s="6">
        <v>21.187908172607422</v>
      </c>
      <c r="U807" s="6" t="str">
        <f>_xll.BDP($A807,"TRAILING_12M_R&amp;D_%_SALES",$A$1,$A$2)</f>
        <v>#N/A N/A</v>
      </c>
      <c r="V807" s="6">
        <v>10</v>
      </c>
      <c r="W807" s="6">
        <v>101020</v>
      </c>
      <c r="X807" s="6">
        <v>10102010</v>
      </c>
      <c r="Y807" s="7" t="s">
        <v>505</v>
      </c>
      <c r="Z807" s="7" t="s">
        <v>556</v>
      </c>
      <c r="AA807" s="7" t="s">
        <v>557</v>
      </c>
      <c r="AB807" s="6">
        <v>79.851119995117188</v>
      </c>
      <c r="AC807" s="6">
        <v>0.82876411243030812</v>
      </c>
      <c r="AD807" s="6">
        <v>34.142132300599371</v>
      </c>
      <c r="AE807" s="6">
        <v>16922</v>
      </c>
      <c r="AF807" s="6">
        <v>12837</v>
      </c>
    </row>
    <row r="808" spans="1:32" s="4" customFormat="1" ht="12.75" x14ac:dyDescent="0.2">
      <c r="A808" s="7" t="s">
        <v>2598</v>
      </c>
      <c r="B808" s="7" t="s">
        <v>2512</v>
      </c>
      <c r="C808" s="7" t="s">
        <v>2599</v>
      </c>
      <c r="D808" s="6">
        <v>-0.37310564517974903</v>
      </c>
      <c r="E808" s="6">
        <v>-0.99119895696640004</v>
      </c>
      <c r="F808" s="6">
        <v>5.6631471961740001E-3</v>
      </c>
      <c r="G808" s="6">
        <v>-0.67854541540145907</v>
      </c>
      <c r="H808" s="6">
        <v>1.2561957836151121</v>
      </c>
      <c r="I808" s="6">
        <v>0.57188981771469105</v>
      </c>
      <c r="J808" s="6">
        <v>0.59633910655975308</v>
      </c>
      <c r="K808" s="6">
        <v>-1.122755289077759</v>
      </c>
      <c r="L808" s="6">
        <v>1.2548955678939819</v>
      </c>
      <c r="M808" s="6">
        <v>-0.88141620159149203</v>
      </c>
      <c r="N808" s="6">
        <v>1.5574149649490541</v>
      </c>
      <c r="O808" s="6"/>
      <c r="P808" s="6">
        <v>0.61920629872525401</v>
      </c>
      <c r="Q808" s="6"/>
      <c r="R808" s="6">
        <v>10.563250606612188</v>
      </c>
      <c r="S808" s="6"/>
      <c r="T808" s="6">
        <v>5.9070339202880859</v>
      </c>
      <c r="U808" s="6" t="str">
        <f>_xll.BDP($A808,"TRAILING_12M_R&amp;D_%_SALES",$A$1,$A$2)</f>
        <v>#N/A N/A</v>
      </c>
      <c r="V808" s="6">
        <v>40</v>
      </c>
      <c r="W808" s="6">
        <v>401010</v>
      </c>
      <c r="X808" s="6">
        <v>40101010</v>
      </c>
      <c r="Y808" s="7" t="s">
        <v>53</v>
      </c>
      <c r="Z808" s="7" t="s">
        <v>76</v>
      </c>
      <c r="AA808" s="7" t="s">
        <v>77</v>
      </c>
      <c r="AB808" s="6">
        <v>54.944171905517578</v>
      </c>
      <c r="AC808" s="6">
        <v>0.6600093030728621</v>
      </c>
      <c r="AD808" s="6">
        <v>6.5231405930044506</v>
      </c>
      <c r="AE808" s="6">
        <v>22024</v>
      </c>
      <c r="AF808" s="6">
        <v>22143</v>
      </c>
    </row>
    <row r="809" spans="1:32" s="4" customFormat="1" ht="12.75" x14ac:dyDescent="0.2">
      <c r="A809" s="7" t="s">
        <v>2600</v>
      </c>
      <c r="B809" s="7" t="s">
        <v>2601</v>
      </c>
      <c r="C809" s="7" t="s">
        <v>2602</v>
      </c>
      <c r="D809" s="6">
        <v>-7.6917551457882011E-2</v>
      </c>
      <c r="E809" s="6">
        <v>-0.91533941030502308</v>
      </c>
      <c r="F809" s="6">
        <v>0.28072956204414401</v>
      </c>
      <c r="G809" s="6">
        <v>-0.83682620525360107</v>
      </c>
      <c r="H809" s="6">
        <v>0.58254998922348</v>
      </c>
      <c r="I809" s="6">
        <v>0.58554887771606401</v>
      </c>
      <c r="J809" s="6">
        <v>0.58397495746612504</v>
      </c>
      <c r="K809" s="6">
        <v>-0.20511287450790402</v>
      </c>
      <c r="L809" s="6">
        <v>5.3193319588900001E-2</v>
      </c>
      <c r="M809" s="6">
        <v>-0.44894483685493503</v>
      </c>
      <c r="N809" s="6">
        <v>0.53549337638956906</v>
      </c>
      <c r="O809" s="6">
        <v>0.42649256969937105</v>
      </c>
      <c r="P809" s="6">
        <v>1.4431896766758761</v>
      </c>
      <c r="Q809" s="6">
        <v>1.549561092506297</v>
      </c>
      <c r="R809" s="6">
        <v>20.795291150186081</v>
      </c>
      <c r="S809" s="6">
        <v>17.706443668230502</v>
      </c>
      <c r="T809" s="6">
        <v>7.6085219383239746</v>
      </c>
      <c r="U809" s="6">
        <f>_xll.BDP($A809,"TRAILING_12M_R&amp;D_%_SALES",$A$1,$A$2)</f>
        <v>0</v>
      </c>
      <c r="V809" s="6">
        <v>30</v>
      </c>
      <c r="W809" s="6">
        <v>301010</v>
      </c>
      <c r="X809" s="6">
        <v>30101030</v>
      </c>
      <c r="Y809" s="7" t="s">
        <v>91</v>
      </c>
      <c r="Z809" s="7" t="s">
        <v>133</v>
      </c>
      <c r="AA809" s="7" t="s">
        <v>134</v>
      </c>
      <c r="AB809" s="6">
        <v>50.427520751953125</v>
      </c>
      <c r="AC809" s="6">
        <v>0.43700730894296103</v>
      </c>
      <c r="AD809" s="6">
        <v>0.37015964171200905</v>
      </c>
      <c r="AE809" s="6">
        <v>170757</v>
      </c>
      <c r="AF809" s="6">
        <v>140938</v>
      </c>
    </row>
    <row r="810" spans="1:32" s="4" customFormat="1" ht="12.75" x14ac:dyDescent="0.2">
      <c r="A810" s="7" t="s">
        <v>2603</v>
      </c>
      <c r="B810" s="7" t="s">
        <v>2604</v>
      </c>
      <c r="C810" s="7" t="s">
        <v>2605</v>
      </c>
      <c r="D810" s="6">
        <v>-7.6917551457882011E-2</v>
      </c>
      <c r="E810" s="6">
        <v>-0.91533941030502308</v>
      </c>
      <c r="F810" s="6">
        <v>0.28072956204414401</v>
      </c>
      <c r="G810" s="6">
        <v>-0.83682620525360107</v>
      </c>
      <c r="H810" s="6">
        <v>0.58254998922348</v>
      </c>
      <c r="I810" s="6">
        <v>0.58554887771606401</v>
      </c>
      <c r="J810" s="6">
        <v>0.58397495746612504</v>
      </c>
      <c r="K810" s="6">
        <v>-0.20511287450790402</v>
      </c>
      <c r="L810" s="6">
        <v>5.3193319588900001E-2</v>
      </c>
      <c r="M810" s="6">
        <v>-0.44894483685493503</v>
      </c>
      <c r="N810" s="6">
        <v>0.53549337638956906</v>
      </c>
      <c r="O810" s="6"/>
      <c r="P810" s="6">
        <v>1.4431896766758761</v>
      </c>
      <c r="Q810" s="6"/>
      <c r="R810" s="6">
        <v>20.795291150186081</v>
      </c>
      <c r="S810" s="6"/>
      <c r="T810" s="6">
        <v>7.6085219383239746</v>
      </c>
      <c r="U810" s="6">
        <f>_xll.BDP($A810,"TRAILING_12M_R&amp;D_%_SALES",$A$1,$A$2)</f>
        <v>0</v>
      </c>
      <c r="V810" s="6">
        <v>30</v>
      </c>
      <c r="W810" s="6">
        <v>301010</v>
      </c>
      <c r="X810" s="6">
        <v>30101030</v>
      </c>
      <c r="Y810" s="7" t="s">
        <v>91</v>
      </c>
      <c r="Z810" s="7" t="s">
        <v>133</v>
      </c>
      <c r="AA810" s="7" t="s">
        <v>134</v>
      </c>
      <c r="AB810" s="6">
        <v>50.427520751953125</v>
      </c>
      <c r="AC810" s="6">
        <v>0.66061141169345006</v>
      </c>
      <c r="AD810" s="6">
        <v>-0.9376756883450631</v>
      </c>
      <c r="AE810" s="6">
        <v>170757</v>
      </c>
      <c r="AF810" s="6">
        <v>140938</v>
      </c>
    </row>
    <row r="811" spans="1:32" s="4" customFormat="1" ht="12.75" x14ac:dyDescent="0.2">
      <c r="A811" s="7" t="s">
        <v>2606</v>
      </c>
      <c r="B811" s="7" t="s">
        <v>2607</v>
      </c>
      <c r="C811" s="7" t="s">
        <v>2608</v>
      </c>
      <c r="D811" s="6">
        <v>-0.38548877835273704</v>
      </c>
      <c r="E811" s="6">
        <v>-0.8724311590194701</v>
      </c>
      <c r="F811" s="6">
        <v>-9.5446631312370009E-2</v>
      </c>
      <c r="G811" s="6">
        <v>-0.88050377368927002</v>
      </c>
      <c r="H811" s="6">
        <v>1.9470115900039671</v>
      </c>
      <c r="I811" s="6">
        <v>0.57366406917571999</v>
      </c>
      <c r="J811" s="6">
        <v>-0.299803286790848</v>
      </c>
      <c r="K811" s="6">
        <v>-0.63066560029983509</v>
      </c>
      <c r="L811" s="6">
        <v>1.4894062280654912</v>
      </c>
      <c r="M811" s="6">
        <v>-0.6749186515808111</v>
      </c>
      <c r="N811" s="6">
        <v>3.2092097413902589</v>
      </c>
      <c r="O811" s="6">
        <v>3.7860628956150442</v>
      </c>
      <c r="P811" s="6">
        <v>1.0839158065984971</v>
      </c>
      <c r="Q811" s="6">
        <v>1.021437726384292</v>
      </c>
      <c r="R811" s="6">
        <v>10.250829322398342</v>
      </c>
      <c r="S811" s="6">
        <v>8.984046429203179</v>
      </c>
      <c r="T811" s="6">
        <v>11.118977546691895</v>
      </c>
      <c r="U811" s="6" t="str">
        <f>_xll.BDP($A811,"TRAILING_12M_R&amp;D_%_SALES",$A$1,$A$2)</f>
        <v>#N/A N/A</v>
      </c>
      <c r="V811" s="6">
        <v>40</v>
      </c>
      <c r="W811" s="6">
        <v>401010</v>
      </c>
      <c r="X811" s="6">
        <v>40101010</v>
      </c>
      <c r="Y811" s="7" t="s">
        <v>53</v>
      </c>
      <c r="Z811" s="7" t="s">
        <v>76</v>
      </c>
      <c r="AA811" s="7" t="s">
        <v>77</v>
      </c>
      <c r="AB811" s="6">
        <v>53.817523956298828</v>
      </c>
      <c r="AC811" s="6">
        <v>0.62498376682315004</v>
      </c>
      <c r="AD811" s="6">
        <v>-3.3159511576886902</v>
      </c>
      <c r="AE811" s="6">
        <v>10793</v>
      </c>
      <c r="AF811" s="6">
        <v>11759</v>
      </c>
    </row>
    <row r="812" spans="1:32" s="4" customFormat="1" ht="12.75" x14ac:dyDescent="0.2">
      <c r="A812" s="7" t="s">
        <v>2609</v>
      </c>
      <c r="B812" s="7" t="s">
        <v>2610</v>
      </c>
      <c r="C812" s="7" t="s">
        <v>2611</v>
      </c>
      <c r="D812" s="6">
        <v>-0.38548877835273704</v>
      </c>
      <c r="E812" s="6">
        <v>-0.8724311590194701</v>
      </c>
      <c r="F812" s="6">
        <v>-9.5446631312370009E-2</v>
      </c>
      <c r="G812" s="6">
        <v>-0.88050377368927002</v>
      </c>
      <c r="H812" s="6">
        <v>1.9470115900039671</v>
      </c>
      <c r="I812" s="6">
        <v>0.57366406917571999</v>
      </c>
      <c r="J812" s="6">
        <v>-0.299803286790848</v>
      </c>
      <c r="K812" s="6">
        <v>-0.63066560029983509</v>
      </c>
      <c r="L812" s="6">
        <v>1.4894062280654912</v>
      </c>
      <c r="M812" s="6">
        <v>-0.6749186515808111</v>
      </c>
      <c r="N812" s="6">
        <v>3.2092097413902589</v>
      </c>
      <c r="O812" s="6"/>
      <c r="P812" s="6">
        <v>1.0839158065984971</v>
      </c>
      <c r="Q812" s="6"/>
      <c r="R812" s="6">
        <v>10.250829322398342</v>
      </c>
      <c r="S812" s="6">
        <v>9.1179040392612318</v>
      </c>
      <c r="T812" s="6">
        <v>11.118977546691895</v>
      </c>
      <c r="U812" s="6" t="str">
        <f>_xll.BDP($A812,"TRAILING_12M_R&amp;D_%_SALES",$A$1,$A$2)</f>
        <v>#N/A N/A</v>
      </c>
      <c r="V812" s="6">
        <v>40</v>
      </c>
      <c r="W812" s="6">
        <v>401010</v>
      </c>
      <c r="X812" s="6">
        <v>40101010</v>
      </c>
      <c r="Y812" s="7" t="s">
        <v>53</v>
      </c>
      <c r="Z812" s="7" t="s">
        <v>76</v>
      </c>
      <c r="AA812" s="7" t="s">
        <v>77</v>
      </c>
      <c r="AB812" s="6">
        <v>53.817523956298828</v>
      </c>
      <c r="AC812" s="6">
        <v>0.80901746933574303</v>
      </c>
      <c r="AD812" s="6">
        <v>-1.433151601847882</v>
      </c>
      <c r="AE812" s="6">
        <v>10793</v>
      </c>
      <c r="AF812" s="6">
        <v>11759</v>
      </c>
    </row>
    <row r="813" spans="1:32" s="4" customFormat="1" ht="12.75" x14ac:dyDescent="0.2">
      <c r="A813" s="7" t="s">
        <v>2612</v>
      </c>
      <c r="B813" s="7" t="s">
        <v>2613</v>
      </c>
      <c r="C813" s="7" t="s">
        <v>2614</v>
      </c>
      <c r="D813" s="6">
        <v>0</v>
      </c>
      <c r="E813" s="6">
        <v>0</v>
      </c>
      <c r="F813" s="6">
        <v>0</v>
      </c>
      <c r="G813" s="6">
        <v>0</v>
      </c>
      <c r="H813" s="6">
        <v>0</v>
      </c>
      <c r="I813" s="6">
        <v>0</v>
      </c>
      <c r="J813" s="6">
        <v>0</v>
      </c>
      <c r="K813" s="6">
        <v>0</v>
      </c>
      <c r="L813" s="6">
        <v>0</v>
      </c>
      <c r="M813" s="6">
        <v>0</v>
      </c>
      <c r="N813" s="6"/>
      <c r="O813" s="6"/>
      <c r="P813" s="6"/>
      <c r="Q813" s="6"/>
      <c r="R813" s="6"/>
      <c r="S813" s="6"/>
      <c r="T813" s="6"/>
      <c r="U813" s="6" t="str">
        <f>_xll.BDP($A813,"TRAILING_12M_R&amp;D_%_SALES",$A$1,$A$2)</f>
        <v>#N/A Field Not Applicable</v>
      </c>
      <c r="V813" s="6"/>
      <c r="W813" s="6"/>
      <c r="X813" s="6"/>
      <c r="Y813" s="7" t="s">
        <v>1202</v>
      </c>
      <c r="Z813" s="7" t="s">
        <v>1202</v>
      </c>
      <c r="AA813" s="7" t="s">
        <v>1202</v>
      </c>
      <c r="AB813" s="6"/>
      <c r="AC813" s="6">
        <v>1.0709304777558699</v>
      </c>
      <c r="AD813" s="6">
        <v>-4.2584443977228599</v>
      </c>
      <c r="AE813" s="6"/>
      <c r="AF813" s="6"/>
    </row>
    <row r="814" spans="1:32" s="4" customFormat="1" ht="12.75" x14ac:dyDescent="0.2">
      <c r="A814" s="7" t="s">
        <v>2615</v>
      </c>
      <c r="B814" s="7" t="s">
        <v>2616</v>
      </c>
      <c r="C814" s="7" t="s">
        <v>2617</v>
      </c>
      <c r="D814" s="6">
        <v>-0.46294832229614302</v>
      </c>
      <c r="E814" s="6">
        <v>-0.84064638614654508</v>
      </c>
      <c r="F814" s="6">
        <v>0.33099094033241305</v>
      </c>
      <c r="G814" s="6">
        <v>-0.75755614042282104</v>
      </c>
      <c r="H814" s="6">
        <v>1.3632799386978149</v>
      </c>
      <c r="I814" s="6">
        <v>0.26378735899925204</v>
      </c>
      <c r="J814" s="6">
        <v>1.6786340475082402</v>
      </c>
      <c r="K814" s="6">
        <v>-0.47233432531356806</v>
      </c>
      <c r="L814" s="6">
        <v>1.707839727401733</v>
      </c>
      <c r="M814" s="6">
        <v>-0.89468240737915006</v>
      </c>
      <c r="N814" s="6">
        <v>3.1608617360013649</v>
      </c>
      <c r="O814" s="6">
        <v>3.38990005086767</v>
      </c>
      <c r="P814" s="6">
        <v>1.176751419804611</v>
      </c>
      <c r="Q814" s="6">
        <v>1.0690919219167749</v>
      </c>
      <c r="R814" s="6">
        <v>10.005643362300383</v>
      </c>
      <c r="S814" s="6">
        <v>8.05516943638772</v>
      </c>
      <c r="T814" s="6">
        <v>11.799032211303711</v>
      </c>
      <c r="U814" s="6" t="str">
        <f>_xll.BDP($A814,"TRAILING_12M_R&amp;D_%_SALES",$A$1,$A$2)</f>
        <v>#N/A N/A</v>
      </c>
      <c r="V814" s="6">
        <v>40</v>
      </c>
      <c r="W814" s="6">
        <v>401010</v>
      </c>
      <c r="X814" s="6">
        <v>40101010</v>
      </c>
      <c r="Y814" s="7" t="s">
        <v>53</v>
      </c>
      <c r="Z814" s="7" t="s">
        <v>76</v>
      </c>
      <c r="AA814" s="7" t="s">
        <v>77</v>
      </c>
      <c r="AB814" s="6">
        <v>54.270195007324219</v>
      </c>
      <c r="AC814" s="6">
        <v>0.52492053561289109</v>
      </c>
      <c r="AD814" s="6">
        <v>-9.0609202010654357</v>
      </c>
      <c r="AE814" s="6">
        <v>16565</v>
      </c>
      <c r="AF814" s="6">
        <v>14601</v>
      </c>
    </row>
    <row r="815" spans="1:32" s="4" customFormat="1" ht="12.75" x14ac:dyDescent="0.2">
      <c r="A815" s="7" t="s">
        <v>2618</v>
      </c>
      <c r="B815" s="7" t="s">
        <v>2619</v>
      </c>
      <c r="C815" s="7" t="s">
        <v>2620</v>
      </c>
      <c r="D815" s="6">
        <v>-0.46294832229614302</v>
      </c>
      <c r="E815" s="6">
        <v>-0.84064638614654508</v>
      </c>
      <c r="F815" s="6">
        <v>0.33099094033241305</v>
      </c>
      <c r="G815" s="6">
        <v>-0.75755614042282104</v>
      </c>
      <c r="H815" s="6">
        <v>1.3632799386978149</v>
      </c>
      <c r="I815" s="6">
        <v>0.26378735899925204</v>
      </c>
      <c r="J815" s="6">
        <v>1.6786340475082402</v>
      </c>
      <c r="K815" s="6">
        <v>-0.47233432531356806</v>
      </c>
      <c r="L815" s="6">
        <v>1.707839727401733</v>
      </c>
      <c r="M815" s="6">
        <v>-0.89468240737915006</v>
      </c>
      <c r="N815" s="6">
        <v>3.1608617360013649</v>
      </c>
      <c r="O815" s="6"/>
      <c r="P815" s="6">
        <v>1.176751419804611</v>
      </c>
      <c r="Q815" s="6"/>
      <c r="R815" s="6">
        <v>10.005643362300383</v>
      </c>
      <c r="S815" s="6">
        <v>7.8163454721411334</v>
      </c>
      <c r="T815" s="6">
        <v>11.799032211303711</v>
      </c>
      <c r="U815" s="6" t="str">
        <f>_xll.BDP($A815,"TRAILING_12M_R&amp;D_%_SALES",$A$1,$A$2)</f>
        <v>#N/A N/A</v>
      </c>
      <c r="V815" s="6">
        <v>40</v>
      </c>
      <c r="W815" s="6">
        <v>401010</v>
      </c>
      <c r="X815" s="6">
        <v>40101010</v>
      </c>
      <c r="Y815" s="7" t="s">
        <v>53</v>
      </c>
      <c r="Z815" s="7" t="s">
        <v>76</v>
      </c>
      <c r="AA815" s="7" t="s">
        <v>77</v>
      </c>
      <c r="AB815" s="6">
        <v>54.270195007324219</v>
      </c>
      <c r="AC815" s="6">
        <v>0.87283456261577808</v>
      </c>
      <c r="AD815" s="6">
        <v>-9.0767078857136081</v>
      </c>
      <c r="AE815" s="6">
        <v>16565</v>
      </c>
      <c r="AF815" s="6">
        <v>14601</v>
      </c>
    </row>
    <row r="816" spans="1:32" s="4" customFormat="1" ht="12.75" x14ac:dyDescent="0.2">
      <c r="A816" s="7" t="s">
        <v>2621</v>
      </c>
      <c r="B816" s="7" t="s">
        <v>2622</v>
      </c>
      <c r="C816" s="7" t="s">
        <v>2623</v>
      </c>
      <c r="D816" s="6">
        <v>-0.94122874736785911</v>
      </c>
      <c r="E816" s="6">
        <v>-0.93643617630004905</v>
      </c>
      <c r="F816" s="6">
        <v>2.4153199195861821</v>
      </c>
      <c r="G816" s="6">
        <v>-0.93204563856124911</v>
      </c>
      <c r="H816" s="6">
        <v>-0.27780738472938504</v>
      </c>
      <c r="I816" s="6">
        <v>1.5447932481765752</v>
      </c>
      <c r="J816" s="6">
        <v>0.98598134517669711</v>
      </c>
      <c r="K816" s="6">
        <v>-0.8318288922309881</v>
      </c>
      <c r="L816" s="6">
        <v>1.098032593727112</v>
      </c>
      <c r="M816" s="6">
        <v>-0.769725322723389</v>
      </c>
      <c r="N816" s="6">
        <v>1.6885229601505571</v>
      </c>
      <c r="O816" s="6">
        <v>0.91619432808487911</v>
      </c>
      <c r="P816" s="6">
        <v>0.39015941574222801</v>
      </c>
      <c r="Q816" s="6">
        <v>0.36341920094012004</v>
      </c>
      <c r="R816" s="6">
        <v>29.214336736956966</v>
      </c>
      <c r="S816" s="6">
        <v>9.9362689117146381</v>
      </c>
      <c r="T816" s="6">
        <v>2.29121994972229</v>
      </c>
      <c r="U816" s="6">
        <f>_xll.BDP($A816,"TRAILING_12M_R&amp;D_%_SALES",$A$1,$A$2)</f>
        <v>0</v>
      </c>
      <c r="V816" s="6">
        <v>20</v>
      </c>
      <c r="W816" s="6">
        <v>201050</v>
      </c>
      <c r="X816" s="6">
        <v>20105010</v>
      </c>
      <c r="Y816" s="7" t="s">
        <v>43</v>
      </c>
      <c r="Z816" s="7" t="s">
        <v>1427</v>
      </c>
      <c r="AA816" s="7" t="s">
        <v>1427</v>
      </c>
      <c r="AB816" s="6">
        <v>55.346546173095703</v>
      </c>
      <c r="AC816" s="6">
        <v>0.17749905477979602</v>
      </c>
      <c r="AD816" s="6">
        <v>65.002784327199905</v>
      </c>
      <c r="AE816" s="6">
        <v>80000</v>
      </c>
      <c r="AF816" s="6">
        <v>90000</v>
      </c>
    </row>
    <row r="817" spans="1:32" s="4" customFormat="1" ht="12.75" x14ac:dyDescent="0.2">
      <c r="A817" s="7" t="s">
        <v>2624</v>
      </c>
      <c r="B817" s="7" t="s">
        <v>2625</v>
      </c>
      <c r="C817" s="7" t="s">
        <v>2626</v>
      </c>
      <c r="D817" s="6">
        <v>-0.94122874736785911</v>
      </c>
      <c r="E817" s="6">
        <v>-0.93643617630004905</v>
      </c>
      <c r="F817" s="6">
        <v>2.4153199195861821</v>
      </c>
      <c r="G817" s="6">
        <v>-0.93204563856124911</v>
      </c>
      <c r="H817" s="6">
        <v>-0.27780738472938504</v>
      </c>
      <c r="I817" s="6">
        <v>1.5447932481765752</v>
      </c>
      <c r="J817" s="6">
        <v>0.98598134517669711</v>
      </c>
      <c r="K817" s="6">
        <v>-0.8318288922309881</v>
      </c>
      <c r="L817" s="6">
        <v>1.098032593727112</v>
      </c>
      <c r="M817" s="6">
        <v>-0.769725322723389</v>
      </c>
      <c r="N817" s="6">
        <v>1.6885229601505571</v>
      </c>
      <c r="O817" s="6">
        <v>0.90091177303024306</v>
      </c>
      <c r="P817" s="6">
        <v>0.39015941574222801</v>
      </c>
      <c r="Q817" s="6"/>
      <c r="R817" s="6">
        <v>29.214336736956966</v>
      </c>
      <c r="S817" s="6">
        <v>11.262323522373359</v>
      </c>
      <c r="T817" s="6">
        <v>2.29121994972229</v>
      </c>
      <c r="U817" s="6">
        <f>_xll.BDP($A817,"TRAILING_12M_R&amp;D_%_SALES",$A$1,$A$2)</f>
        <v>0</v>
      </c>
      <c r="V817" s="6">
        <v>20</v>
      </c>
      <c r="W817" s="6">
        <v>201050</v>
      </c>
      <c r="X817" s="6">
        <v>20105010</v>
      </c>
      <c r="Y817" s="7" t="s">
        <v>43</v>
      </c>
      <c r="Z817" s="7" t="s">
        <v>1427</v>
      </c>
      <c r="AA817" s="7" t="s">
        <v>1427</v>
      </c>
      <c r="AB817" s="6">
        <v>55.346546173095703</v>
      </c>
      <c r="AC817" s="6">
        <v>0.60658137410637203</v>
      </c>
      <c r="AD817" s="6">
        <v>59.630962552930434</v>
      </c>
      <c r="AE817" s="6">
        <v>80000</v>
      </c>
      <c r="AF817" s="6">
        <v>90000</v>
      </c>
    </row>
    <row r="818" spans="1:32" s="4" customFormat="1" ht="12.75" x14ac:dyDescent="0.2">
      <c r="A818" s="7" t="s">
        <v>2627</v>
      </c>
      <c r="B818" s="7" t="s">
        <v>2628</v>
      </c>
      <c r="C818" s="7" t="s">
        <v>2629</v>
      </c>
      <c r="D818" s="6">
        <v>-0.94122874736785911</v>
      </c>
      <c r="E818" s="6">
        <v>-0.93643617630004905</v>
      </c>
      <c r="F818" s="6">
        <v>2.4153199195861821</v>
      </c>
      <c r="G818" s="6">
        <v>-0.93204563856124911</v>
      </c>
      <c r="H818" s="6">
        <v>-0.27780738472938504</v>
      </c>
      <c r="I818" s="6">
        <v>1.5447932481765752</v>
      </c>
      <c r="J818" s="6">
        <v>0.98598134517669711</v>
      </c>
      <c r="K818" s="6">
        <v>-0.8318288922309881</v>
      </c>
      <c r="L818" s="6">
        <v>1.098032593727112</v>
      </c>
      <c r="M818" s="6">
        <v>-0.769725322723389</v>
      </c>
      <c r="N818" s="6">
        <v>1.6885229601505571</v>
      </c>
      <c r="O818" s="6"/>
      <c r="P818" s="6">
        <v>0.39015941574222801</v>
      </c>
      <c r="Q818" s="6"/>
      <c r="R818" s="6">
        <v>29.214336736956966</v>
      </c>
      <c r="S818" s="6"/>
      <c r="T818" s="6">
        <v>2.29121994972229</v>
      </c>
      <c r="U818" s="6">
        <f>_xll.BDP($A818,"TRAILING_12M_R&amp;D_%_SALES",$A$1,$A$2)</f>
        <v>0</v>
      </c>
      <c r="V818" s="6">
        <v>20</v>
      </c>
      <c r="W818" s="6">
        <v>201050</v>
      </c>
      <c r="X818" s="6">
        <v>20105010</v>
      </c>
      <c r="Y818" s="7" t="s">
        <v>43</v>
      </c>
      <c r="Z818" s="7" t="s">
        <v>1427</v>
      </c>
      <c r="AA818" s="7" t="s">
        <v>1427</v>
      </c>
      <c r="AB818" s="6">
        <v>55.346546173095703</v>
      </c>
      <c r="AC818" s="6">
        <v>0.33814309553794702</v>
      </c>
      <c r="AD818" s="6">
        <v>34.858907876431509</v>
      </c>
      <c r="AE818" s="6">
        <v>80000</v>
      </c>
      <c r="AF818" s="6">
        <v>90000</v>
      </c>
    </row>
    <row r="819" spans="1:32" s="4" customFormat="1" ht="12.75" x14ac:dyDescent="0.2">
      <c r="A819" s="7" t="s">
        <v>2630</v>
      </c>
      <c r="B819" s="7" t="s">
        <v>2631</v>
      </c>
      <c r="C819" s="7" t="s">
        <v>2632</v>
      </c>
      <c r="D819" s="6">
        <v>-0.94122874736785911</v>
      </c>
      <c r="E819" s="6">
        <v>-0.93643617630004905</v>
      </c>
      <c r="F819" s="6">
        <v>2.4153199195861821</v>
      </c>
      <c r="G819" s="6">
        <v>-0.93204563856124911</v>
      </c>
      <c r="H819" s="6">
        <v>-0.27780738472938504</v>
      </c>
      <c r="I819" s="6">
        <v>1.5447932481765752</v>
      </c>
      <c r="J819" s="6">
        <v>0.98598134517669711</v>
      </c>
      <c r="K819" s="6">
        <v>-0.8318288922309881</v>
      </c>
      <c r="L819" s="6">
        <v>1.098032593727112</v>
      </c>
      <c r="M819" s="6">
        <v>-0.769725322723389</v>
      </c>
      <c r="N819" s="6">
        <v>1.6885229601505571</v>
      </c>
      <c r="O819" s="6"/>
      <c r="P819" s="6">
        <v>0.39015941574222801</v>
      </c>
      <c r="Q819" s="6"/>
      <c r="R819" s="6">
        <v>29.214336736956966</v>
      </c>
      <c r="S819" s="6"/>
      <c r="T819" s="6">
        <v>2.29121994972229</v>
      </c>
      <c r="U819" s="6">
        <f>_xll.BDP($A819,"TRAILING_12M_R&amp;D_%_SALES",$A$1,$A$2)</f>
        <v>0</v>
      </c>
      <c r="V819" s="6">
        <v>20</v>
      </c>
      <c r="W819" s="6">
        <v>201050</v>
      </c>
      <c r="X819" s="6">
        <v>20105010</v>
      </c>
      <c r="Y819" s="7" t="s">
        <v>43</v>
      </c>
      <c r="Z819" s="7" t="s">
        <v>1427</v>
      </c>
      <c r="AA819" s="7" t="s">
        <v>1427</v>
      </c>
      <c r="AB819" s="6">
        <v>55.346546173095703</v>
      </c>
      <c r="AC819" s="6">
        <v>0.54311132043876909</v>
      </c>
      <c r="AD819" s="6">
        <v>52.931829126965546</v>
      </c>
      <c r="AE819" s="6">
        <v>80000</v>
      </c>
      <c r="AF819" s="6">
        <v>90000</v>
      </c>
    </row>
    <row r="820" spans="1:32" s="4" customFormat="1" ht="12.75" x14ac:dyDescent="0.2">
      <c r="A820" s="7" t="s">
        <v>2633</v>
      </c>
      <c r="B820" s="7" t="s">
        <v>2634</v>
      </c>
      <c r="C820" s="7" t="s">
        <v>2635</v>
      </c>
      <c r="D820" s="6">
        <v>-0.29196214675903304</v>
      </c>
      <c r="E820" s="6">
        <v>-0.86039990186691306</v>
      </c>
      <c r="F820" s="6">
        <v>0.37130093574523904</v>
      </c>
      <c r="G820" s="6">
        <v>-0.62757581472396906</v>
      </c>
      <c r="H820" s="6">
        <v>-0.54861038923263505</v>
      </c>
      <c r="I820" s="6">
        <v>0.12229788303375201</v>
      </c>
      <c r="J820" s="6">
        <v>0.21614028513431502</v>
      </c>
      <c r="K820" s="6">
        <v>-0.86550229787826505</v>
      </c>
      <c r="L820" s="6">
        <v>1.7198327779769902</v>
      </c>
      <c r="M820" s="6">
        <v>-1.039639353752136</v>
      </c>
      <c r="N820" s="6">
        <v>0.64625296689429501</v>
      </c>
      <c r="O820" s="6">
        <v>0.64637481460415702</v>
      </c>
      <c r="P820" s="6">
        <v>1.490464054597689</v>
      </c>
      <c r="Q820" s="6">
        <v>1.3110240126748431</v>
      </c>
      <c r="R820" s="6">
        <v>11.520159915971854</v>
      </c>
      <c r="S820" s="6">
        <v>10.078318463964381</v>
      </c>
      <c r="T820" s="6">
        <v>9.8640775680541992</v>
      </c>
      <c r="U820" s="6" t="str">
        <f>_xll.BDP($A820,"TRAILING_12M_R&amp;D_%_SALES",$A$1,$A$2)</f>
        <v>#N/A N/A</v>
      </c>
      <c r="V820" s="6">
        <v>40</v>
      </c>
      <c r="W820" s="6">
        <v>403010</v>
      </c>
      <c r="X820" s="6">
        <v>40301020</v>
      </c>
      <c r="Y820" s="7" t="s">
        <v>53</v>
      </c>
      <c r="Z820" s="7" t="s">
        <v>54</v>
      </c>
      <c r="AA820" s="7" t="s">
        <v>55</v>
      </c>
      <c r="AB820" s="6">
        <v>56.121116638183594</v>
      </c>
      <c r="AC820" s="6">
        <v>0.41319927228946501</v>
      </c>
      <c r="AD820" s="6">
        <v>-13.209309866610052</v>
      </c>
      <c r="AE820" s="6">
        <v>10219</v>
      </c>
      <c r="AF820" s="6">
        <v>7801</v>
      </c>
    </row>
    <row r="821" spans="1:32" s="4" customFormat="1" ht="12.75" x14ac:dyDescent="0.2">
      <c r="A821" s="7" t="s">
        <v>2636</v>
      </c>
      <c r="B821" s="7" t="s">
        <v>2637</v>
      </c>
      <c r="C821" s="7" t="s">
        <v>2638</v>
      </c>
      <c r="D821" s="6">
        <v>-0.87194490432739302</v>
      </c>
      <c r="E821" s="6">
        <v>-0.46775683760643005</v>
      </c>
      <c r="F821" s="6">
        <v>-0.75219500064849909</v>
      </c>
      <c r="G821" s="6">
        <v>-0.89380127191543612</v>
      </c>
      <c r="H821" s="6">
        <v>0.181346446275711</v>
      </c>
      <c r="I821" s="6">
        <v>0.33775925636291504</v>
      </c>
      <c r="J821" s="6">
        <v>0.37448644638061501</v>
      </c>
      <c r="K821" s="6">
        <v>-0.91298741102218606</v>
      </c>
      <c r="L821" s="6">
        <v>1.2951740026473999</v>
      </c>
      <c r="M821" s="6">
        <v>-0.80556249618530307</v>
      </c>
      <c r="N821" s="6">
        <v>2.37169519095873</v>
      </c>
      <c r="O821" s="6">
        <v>2.3463379366705022</v>
      </c>
      <c r="P821" s="6">
        <v>2.4382481793851811</v>
      </c>
      <c r="Q821" s="6">
        <v>2.2740920536562932</v>
      </c>
      <c r="R821" s="6">
        <v>17.377025004371582</v>
      </c>
      <c r="S821" s="6">
        <v>16.657568036839063</v>
      </c>
      <c r="T821" s="6">
        <v>14.177738189697266</v>
      </c>
      <c r="U821" s="6">
        <f>_xll.BDP($A821,"TRAILING_12M_R&amp;D_%_SALES",$A$1,$A$2)</f>
        <v>0</v>
      </c>
      <c r="V821" s="6">
        <v>50</v>
      </c>
      <c r="W821" s="6">
        <v>501010</v>
      </c>
      <c r="X821" s="6">
        <v>50101020</v>
      </c>
      <c r="Y821" s="7" t="s">
        <v>367</v>
      </c>
      <c r="Z821" s="7" t="s">
        <v>458</v>
      </c>
      <c r="AA821" s="7" t="s">
        <v>459</v>
      </c>
      <c r="AB821" s="6">
        <v>64.923042297363281</v>
      </c>
      <c r="AC821" s="6">
        <v>0.39192331765568306</v>
      </c>
      <c r="AD821" s="6">
        <v>-0.681954519887362</v>
      </c>
      <c r="AE821" s="6">
        <v>18905</v>
      </c>
      <c r="AF821" s="6">
        <v>21127</v>
      </c>
    </row>
    <row r="822" spans="1:32" s="4" customFormat="1" ht="12.75" x14ac:dyDescent="0.2">
      <c r="A822" s="7" t="s">
        <v>2639</v>
      </c>
      <c r="B822" s="7" t="s">
        <v>2640</v>
      </c>
      <c r="C822" s="7" t="s">
        <v>2641</v>
      </c>
      <c r="D822" s="6">
        <v>-0.62267297506332409</v>
      </c>
      <c r="E822" s="6">
        <v>-7.1430159732700001E-3</v>
      </c>
      <c r="F822" s="6">
        <v>0.19130532443523401</v>
      </c>
      <c r="G822" s="6">
        <v>0.89401614665985107</v>
      </c>
      <c r="H822" s="6">
        <v>0.52898854017257702</v>
      </c>
      <c r="I822" s="6">
        <v>-0.45873507857322704</v>
      </c>
      <c r="J822" s="6">
        <v>2.6791892051696782</v>
      </c>
      <c r="K822" s="6">
        <v>-0.75370967388153109</v>
      </c>
      <c r="L822" s="6">
        <v>0.57302963733673107</v>
      </c>
      <c r="M822" s="6">
        <v>-0.64658010005950906</v>
      </c>
      <c r="N822" s="6">
        <v>0.96964654027652508</v>
      </c>
      <c r="O822" s="6">
        <v>1.1264880124680521</v>
      </c>
      <c r="P822" s="6">
        <v>1.229782485142122</v>
      </c>
      <c r="Q822" s="6">
        <v>1.188273104429153</v>
      </c>
      <c r="R822" s="6">
        <v>5.1993671420306811</v>
      </c>
      <c r="S822" s="6">
        <v>6.4923821338456822</v>
      </c>
      <c r="T822" s="6">
        <v>25.141464233398438</v>
      </c>
      <c r="U822" s="6" t="str">
        <f>_xll.BDP($A822,"TRAILING_12M_R&amp;D_%_SALES",$A$1,$A$2)</f>
        <v>#N/A N/A</v>
      </c>
      <c r="V822" s="6">
        <v>40</v>
      </c>
      <c r="W822" s="6">
        <v>402020</v>
      </c>
      <c r="X822" s="6">
        <v>40202010</v>
      </c>
      <c r="Y822" s="7" t="s">
        <v>53</v>
      </c>
      <c r="Z822" s="7" t="s">
        <v>264</v>
      </c>
      <c r="AA822" s="7" t="s">
        <v>264</v>
      </c>
      <c r="AB822" s="6">
        <v>41.535057067871094</v>
      </c>
      <c r="AC822" s="6">
        <v>1.1961140297458071</v>
      </c>
      <c r="AD822" s="6">
        <v>-27.229188235259329</v>
      </c>
      <c r="AE822" s="6">
        <v>18000</v>
      </c>
      <c r="AF822" s="6">
        <v>15000</v>
      </c>
    </row>
    <row r="823" spans="1:32" s="4" customFormat="1" ht="12.75" x14ac:dyDescent="0.2">
      <c r="A823" s="7" t="s">
        <v>2642</v>
      </c>
      <c r="B823" s="7" t="s">
        <v>2643</v>
      </c>
      <c r="C823" s="7" t="s">
        <v>2644</v>
      </c>
      <c r="D823" s="6">
        <v>-0.30473771691322304</v>
      </c>
      <c r="E823" s="6">
        <v>-0.42394405603408802</v>
      </c>
      <c r="F823" s="6">
        <v>7.0172287523746005E-2</v>
      </c>
      <c r="G823" s="6">
        <v>-0.58274114131927501</v>
      </c>
      <c r="H823" s="6">
        <v>6.2093682587147002E-2</v>
      </c>
      <c r="I823" s="6">
        <v>0.20286317169666301</v>
      </c>
      <c r="J823" s="6">
        <v>-0.40224841237068204</v>
      </c>
      <c r="K823" s="6">
        <v>-0.30483627319335904</v>
      </c>
      <c r="L823" s="6">
        <v>-0.21506953239440901</v>
      </c>
      <c r="M823" s="6">
        <v>-0.63923275470733609</v>
      </c>
      <c r="N823" s="6">
        <v>5.1480698489582162</v>
      </c>
      <c r="O823" s="6">
        <v>4.8201606207816612</v>
      </c>
      <c r="P823" s="6">
        <v>5.6195723566678488</v>
      </c>
      <c r="Q823" s="6">
        <v>5.2212899542231046</v>
      </c>
      <c r="R823" s="6">
        <v>31.424037502965735</v>
      </c>
      <c r="S823" s="6">
        <v>24.896786488368011</v>
      </c>
      <c r="T823" s="6">
        <v>16.037336349487305</v>
      </c>
      <c r="U823" s="6">
        <f>_xll.BDP($A823,"TRAILING_12M_R&amp;D_%_SALES",$A$1,$A$2)</f>
        <v>6.4881610975879616</v>
      </c>
      <c r="V823" s="6">
        <v>35</v>
      </c>
      <c r="W823" s="6">
        <v>351010</v>
      </c>
      <c r="X823" s="6">
        <v>35101010</v>
      </c>
      <c r="Y823" s="7" t="s">
        <v>86</v>
      </c>
      <c r="Z823" s="7" t="s">
        <v>114</v>
      </c>
      <c r="AA823" s="7" t="s">
        <v>115</v>
      </c>
      <c r="AB823" s="6">
        <v>51.715118408203125</v>
      </c>
      <c r="AC823" s="6">
        <v>1.000704795914233</v>
      </c>
      <c r="AD823" s="6">
        <v>-8.5442627951240127</v>
      </c>
      <c r="AE823" s="6">
        <v>46000</v>
      </c>
      <c r="AF823" s="6">
        <v>33000</v>
      </c>
    </row>
    <row r="824" spans="1:32" s="4" customFormat="1" ht="12.75" x14ac:dyDescent="0.2">
      <c r="A824" s="7" t="s">
        <v>2645</v>
      </c>
      <c r="B824" s="7" t="s">
        <v>2646</v>
      </c>
      <c r="C824" s="7" t="s">
        <v>2647</v>
      </c>
      <c r="D824" s="6">
        <v>-0.41967734694480902</v>
      </c>
      <c r="E824" s="6">
        <v>0.45920568704605103</v>
      </c>
      <c r="F824" s="6">
        <v>0.27492436766624501</v>
      </c>
      <c r="G824" s="6">
        <v>-0.38856855034828203</v>
      </c>
      <c r="H824" s="6">
        <v>1.123117089271545</v>
      </c>
      <c r="I824" s="6">
        <v>0.56095105409622203</v>
      </c>
      <c r="J824" s="6">
        <v>-0.16301247477531403</v>
      </c>
      <c r="K824" s="6">
        <v>-0.32432705163955705</v>
      </c>
      <c r="L824" s="6">
        <v>0.41767400503158603</v>
      </c>
      <c r="M824" s="6">
        <v>0.26012611389160201</v>
      </c>
      <c r="N824" s="6">
        <v>0.54609797499341606</v>
      </c>
      <c r="O824" s="6">
        <v>0.49807876793440403</v>
      </c>
      <c r="P824" s="6">
        <v>34.735377143523813</v>
      </c>
      <c r="Q824" s="6">
        <v>17.731466914743756</v>
      </c>
      <c r="R824" s="6">
        <v>23.779632037175052</v>
      </c>
      <c r="S824" s="6">
        <v>17.187306287555984</v>
      </c>
      <c r="T824" s="6">
        <v>103.72988891601563</v>
      </c>
      <c r="U824" s="6">
        <f>_xll.BDP($A824,"TRAILING_12M_R&amp;D_%_SALES",$A$1,$A$2)</f>
        <v>0</v>
      </c>
      <c r="V824" s="6">
        <v>30</v>
      </c>
      <c r="W824" s="6">
        <v>301010</v>
      </c>
      <c r="X824" s="6">
        <v>30101020</v>
      </c>
      <c r="Y824" s="7" t="s">
        <v>91</v>
      </c>
      <c r="Z824" s="7" t="s">
        <v>133</v>
      </c>
      <c r="AA824" s="7" t="s">
        <v>2648</v>
      </c>
      <c r="AB824" s="6">
        <v>56.99627685546875</v>
      </c>
      <c r="AC824" s="6">
        <v>0.86718571342962403</v>
      </c>
      <c r="AD824" s="6">
        <v>0.39909336311905202</v>
      </c>
      <c r="AE824" s="6">
        <v>71000</v>
      </c>
      <c r="AF824" s="6">
        <v>66500</v>
      </c>
    </row>
    <row r="825" spans="1:32" s="4" customFormat="1" ht="12.75" x14ac:dyDescent="0.2">
      <c r="A825" s="7" t="s">
        <v>2649</v>
      </c>
      <c r="B825" s="7" t="s">
        <v>2650</v>
      </c>
      <c r="C825" s="7" t="s">
        <v>2651</v>
      </c>
      <c r="D825" s="6">
        <v>-0.77168208360672008</v>
      </c>
      <c r="E825" s="6">
        <v>-0.7491817474365231</v>
      </c>
      <c r="F825" s="6">
        <v>0.99747037887573209</v>
      </c>
      <c r="G825" s="6">
        <v>-0.66625022888183605</v>
      </c>
      <c r="H825" s="6">
        <v>-0.72395318746566806</v>
      </c>
      <c r="I825" s="6">
        <v>0.43884000182151806</v>
      </c>
      <c r="J825" s="6">
        <v>1.12280261516571</v>
      </c>
      <c r="K825" s="6">
        <v>-0.80180782079696711</v>
      </c>
      <c r="L825" s="6">
        <v>0.25748112797737099</v>
      </c>
      <c r="M825" s="6">
        <v>-0.48032641410827603</v>
      </c>
      <c r="N825" s="6">
        <v>0.504366147923069</v>
      </c>
      <c r="O825" s="6">
        <v>0.46726246716838304</v>
      </c>
      <c r="P825" s="6">
        <v>1.0001906157804481</v>
      </c>
      <c r="Q825" s="6">
        <v>0.96724151967948102</v>
      </c>
      <c r="R825" s="6">
        <v>11.85697235183749</v>
      </c>
      <c r="S825" s="6">
        <v>9.2475151391669641</v>
      </c>
      <c r="T825" s="6">
        <v>9.1604413986206055</v>
      </c>
      <c r="U825" s="6">
        <f>_xll.BDP($A825,"TRAILING_12M_R&amp;D_%_SALES",$A$1,$A$2)</f>
        <v>4.3937774611091323</v>
      </c>
      <c r="V825" s="6">
        <v>25</v>
      </c>
      <c r="W825" s="6">
        <v>251020</v>
      </c>
      <c r="X825" s="6">
        <v>25102010</v>
      </c>
      <c r="Y825" s="7" t="s">
        <v>108</v>
      </c>
      <c r="Z825" s="7" t="s">
        <v>422</v>
      </c>
      <c r="AA825" s="7" t="s">
        <v>423</v>
      </c>
      <c r="AB825" s="6">
        <v>49.642894744873047</v>
      </c>
      <c r="AC825" s="6">
        <v>0.33179088436583404</v>
      </c>
      <c r="AD825" s="6">
        <v>-13.177194303662764</v>
      </c>
      <c r="AE825" s="6">
        <v>69193</v>
      </c>
      <c r="AF825" s="6">
        <v>62992</v>
      </c>
    </row>
    <row r="826" spans="1:32" s="4" customFormat="1" ht="12.75" x14ac:dyDescent="0.2">
      <c r="A826" s="7" t="s">
        <v>2652</v>
      </c>
      <c r="B826" s="7" t="s">
        <v>2653</v>
      </c>
      <c r="C826" s="7" t="s">
        <v>2654</v>
      </c>
      <c r="D826" s="6">
        <v>-0.77168208360672008</v>
      </c>
      <c r="E826" s="6">
        <v>-0.7491817474365231</v>
      </c>
      <c r="F826" s="6">
        <v>0.99747037887573209</v>
      </c>
      <c r="G826" s="6">
        <v>-0.66625022888183605</v>
      </c>
      <c r="H826" s="6">
        <v>-0.72395318746566806</v>
      </c>
      <c r="I826" s="6">
        <v>0.43884000182151806</v>
      </c>
      <c r="J826" s="6">
        <v>1.12280261516571</v>
      </c>
      <c r="K826" s="6">
        <v>-0.80180782079696711</v>
      </c>
      <c r="L826" s="6">
        <v>0.25748112797737099</v>
      </c>
      <c r="M826" s="6">
        <v>-0.48032641410827603</v>
      </c>
      <c r="N826" s="6">
        <v>0.504366147923069</v>
      </c>
      <c r="O826" s="6"/>
      <c r="P826" s="6">
        <v>1.0001906157804481</v>
      </c>
      <c r="Q826" s="6"/>
      <c r="R826" s="6">
        <v>11.85697235183749</v>
      </c>
      <c r="S826" s="6"/>
      <c r="T826" s="6">
        <v>9.1604413986206055</v>
      </c>
      <c r="U826" s="6">
        <f>_xll.BDP($A826,"TRAILING_12M_R&amp;D_%_SALES",$A$1,$A$2)</f>
        <v>4.3937774611091323</v>
      </c>
      <c r="V826" s="6">
        <v>25</v>
      </c>
      <c r="W826" s="6">
        <v>251020</v>
      </c>
      <c r="X826" s="6">
        <v>25102010</v>
      </c>
      <c r="Y826" s="7" t="s">
        <v>108</v>
      </c>
      <c r="Z826" s="7" t="s">
        <v>422</v>
      </c>
      <c r="AA826" s="7" t="s">
        <v>423</v>
      </c>
      <c r="AB826" s="6">
        <v>49.642894744873047</v>
      </c>
      <c r="AC826" s="6">
        <v>0.70837805750175509</v>
      </c>
      <c r="AD826" s="6">
        <v>-14.755898188427818</v>
      </c>
      <c r="AE826" s="6">
        <v>69193</v>
      </c>
      <c r="AF826" s="6">
        <v>62992</v>
      </c>
    </row>
    <row r="827" spans="1:32" s="4" customFormat="1" ht="12.75" x14ac:dyDescent="0.2">
      <c r="A827" s="7" t="s">
        <v>2655</v>
      </c>
      <c r="B827" s="7" t="s">
        <v>2656</v>
      </c>
      <c r="C827" s="7" t="s">
        <v>2657</v>
      </c>
      <c r="D827" s="6">
        <v>-0.29196214675903304</v>
      </c>
      <c r="E827" s="6">
        <v>-0.86039990186691306</v>
      </c>
      <c r="F827" s="6">
        <v>0.37130093574523904</v>
      </c>
      <c r="G827" s="6">
        <v>-0.62757581472396906</v>
      </c>
      <c r="H827" s="6">
        <v>-0.54861038923263505</v>
      </c>
      <c r="I827" s="6">
        <v>0.12229788303375201</v>
      </c>
      <c r="J827" s="6">
        <v>0.21614028513431502</v>
      </c>
      <c r="K827" s="6">
        <v>-0.86550229787826505</v>
      </c>
      <c r="L827" s="6">
        <v>1.7198327779769902</v>
      </c>
      <c r="M827" s="6">
        <v>-1.039639353752136</v>
      </c>
      <c r="N827" s="6">
        <v>0.64625296689429501</v>
      </c>
      <c r="O827" s="6"/>
      <c r="P827" s="6">
        <v>1.490464054597689</v>
      </c>
      <c r="Q827" s="6"/>
      <c r="R827" s="6">
        <v>11.520159915971854</v>
      </c>
      <c r="S827" s="6"/>
      <c r="T827" s="6">
        <v>9.8640775680541992</v>
      </c>
      <c r="U827" s="6" t="str">
        <f>_xll.BDP($A827,"TRAILING_12M_R&amp;D_%_SALES",$A$1,$A$2)</f>
        <v>#N/A N/A</v>
      </c>
      <c r="V827" s="6">
        <v>40</v>
      </c>
      <c r="W827" s="6">
        <v>403010</v>
      </c>
      <c r="X827" s="6">
        <v>40301020</v>
      </c>
      <c r="Y827" s="7" t="s">
        <v>53</v>
      </c>
      <c r="Z827" s="7" t="s">
        <v>54</v>
      </c>
      <c r="AA827" s="7" t="s">
        <v>55</v>
      </c>
      <c r="AB827" s="6">
        <v>56.121116638183594</v>
      </c>
      <c r="AC827" s="6">
        <v>0.76443939870572308</v>
      </c>
      <c r="AD827" s="6">
        <v>-14.927592956982627</v>
      </c>
      <c r="AE827" s="6">
        <v>10219</v>
      </c>
      <c r="AF827" s="6">
        <v>7801</v>
      </c>
    </row>
    <row r="828" spans="1:32" s="4" customFormat="1" ht="12.75" x14ac:dyDescent="0.2">
      <c r="A828" s="7" t="s">
        <v>2658</v>
      </c>
      <c r="B828" s="7" t="s">
        <v>2659</v>
      </c>
      <c r="C828" s="7" t="s">
        <v>2660</v>
      </c>
      <c r="D828" s="6">
        <v>0.91583633422851607</v>
      </c>
      <c r="E828" s="6">
        <v>-0.49682381749153104</v>
      </c>
      <c r="F828" s="6">
        <v>0.88184148073196411</v>
      </c>
      <c r="G828" s="6">
        <v>-8.1714794039726008E-2</v>
      </c>
      <c r="H828" s="6">
        <v>1.00716245174408</v>
      </c>
      <c r="I828" s="6">
        <v>0.63889074325561501</v>
      </c>
      <c r="J828" s="6">
        <v>1.581350445747375</v>
      </c>
      <c r="K828" s="6">
        <v>-1.3925225734710689</v>
      </c>
      <c r="L828" s="6">
        <v>2.1380236148834229</v>
      </c>
      <c r="M828" s="6">
        <v>-0.77218580245971702</v>
      </c>
      <c r="N828" s="6">
        <v>1.012561074895608</v>
      </c>
      <c r="O828" s="6">
        <v>1.0680492836066779</v>
      </c>
      <c r="P828" s="6">
        <v>1.0717866638476969</v>
      </c>
      <c r="Q828" s="6">
        <v>0.94298158315149705</v>
      </c>
      <c r="R828" s="6">
        <v>6.1588837586217453</v>
      </c>
      <c r="S828" s="6">
        <v>7.2546663120327599</v>
      </c>
      <c r="T828" s="6">
        <v>13.862749099731445</v>
      </c>
      <c r="U828" s="6" t="str">
        <f>_xll.BDP($A828,"TRAILING_12M_R&amp;D_%_SALES",$A$1,$A$2)</f>
        <v>#N/A N/A</v>
      </c>
      <c r="V828" s="6">
        <v>50</v>
      </c>
      <c r="W828" s="6">
        <v>501010</v>
      </c>
      <c r="X828" s="6">
        <v>50101020</v>
      </c>
      <c r="Y828" s="7" t="s">
        <v>367</v>
      </c>
      <c r="Z828" s="7" t="s">
        <v>458</v>
      </c>
      <c r="AA828" s="7" t="s">
        <v>459</v>
      </c>
      <c r="AB828" s="6">
        <v>74.167587280273438</v>
      </c>
      <c r="AC828" s="6">
        <v>0.66558426334021703</v>
      </c>
      <c r="AD828" s="6">
        <v>5.0399612842241481</v>
      </c>
      <c r="AE828" s="6">
        <v>203000</v>
      </c>
      <c r="AF828" s="6">
        <v>268540</v>
      </c>
    </row>
    <row r="829" spans="1:32" s="4" customFormat="1" ht="12.75" x14ac:dyDescent="0.2">
      <c r="A829" s="7" t="s">
        <v>2661</v>
      </c>
      <c r="B829" s="7" t="s">
        <v>2662</v>
      </c>
      <c r="C829" s="7" t="s">
        <v>2663</v>
      </c>
      <c r="D829" s="6">
        <v>-0.11403629183769201</v>
      </c>
      <c r="E829" s="6">
        <v>-0.83481246232986506</v>
      </c>
      <c r="F829" s="6">
        <v>-0.22801087796688102</v>
      </c>
      <c r="G829" s="6">
        <v>-0.64712107181549106</v>
      </c>
      <c r="H829" s="6">
        <v>0.31578513979911804</v>
      </c>
      <c r="I829" s="6">
        <v>1.098695755004883</v>
      </c>
      <c r="J829" s="6">
        <v>0.8444604873657231</v>
      </c>
      <c r="K829" s="6">
        <v>-0.59848833084106401</v>
      </c>
      <c r="L829" s="6">
        <v>1.296940922737122</v>
      </c>
      <c r="M829" s="6">
        <v>-0.65438753366470304</v>
      </c>
      <c r="N829" s="6">
        <v>1.703926652650481</v>
      </c>
      <c r="O829" s="6">
        <v>1.6378317145712922</v>
      </c>
      <c r="P829" s="6">
        <v>0.95199019711049004</v>
      </c>
      <c r="Q829" s="6">
        <v>1.10911781755261</v>
      </c>
      <c r="R829" s="6">
        <v>29.939552225296111</v>
      </c>
      <c r="S829" s="6">
        <v>14.840594537758502</v>
      </c>
      <c r="T829" s="6">
        <v>3.541903018951416</v>
      </c>
      <c r="U829" s="6">
        <f>_xll.BDP($A829,"TRAILING_12M_R&amp;D_%_SALES",$A$1,$A$2)</f>
        <v>15.505934565489</v>
      </c>
      <c r="V829" s="6">
        <v>35</v>
      </c>
      <c r="W829" s="6">
        <v>352020</v>
      </c>
      <c r="X829" s="6">
        <v>35202010</v>
      </c>
      <c r="Y829" s="7" t="s">
        <v>86</v>
      </c>
      <c r="Z829" s="7" t="s">
        <v>271</v>
      </c>
      <c r="AA829" s="7" t="s">
        <v>271</v>
      </c>
      <c r="AB829" s="6">
        <v>60.778594970703125</v>
      </c>
      <c r="AC829" s="6">
        <v>0.62315035437127408</v>
      </c>
      <c r="AD829" s="6">
        <v>20.487992328383942</v>
      </c>
      <c r="AE829" s="6">
        <v>47347</v>
      </c>
      <c r="AF829" s="6">
        <v>29900</v>
      </c>
    </row>
    <row r="830" spans="1:32" s="4" customFormat="1" ht="12.75" x14ac:dyDescent="0.2">
      <c r="A830" s="7" t="s">
        <v>2664</v>
      </c>
      <c r="B830" s="7" t="s">
        <v>2665</v>
      </c>
      <c r="C830" s="7" t="s">
        <v>2666</v>
      </c>
      <c r="D830" s="6">
        <v>-0.7815608978271481</v>
      </c>
      <c r="E830" s="6">
        <v>-0.78315728902816806</v>
      </c>
      <c r="F830" s="6">
        <v>-1.663108110427856</v>
      </c>
      <c r="G830" s="6">
        <v>1.2560771703720091</v>
      </c>
      <c r="H830" s="6">
        <v>1.229469776153564</v>
      </c>
      <c r="I830" s="6">
        <v>0.20245505869388603</v>
      </c>
      <c r="J830" s="6">
        <v>1.3742163181304932</v>
      </c>
      <c r="K830" s="6">
        <v>-0.38032594323158303</v>
      </c>
      <c r="L830" s="6">
        <v>-9.1830454766750003E-2</v>
      </c>
      <c r="M830" s="6">
        <v>-0.38172715902328502</v>
      </c>
      <c r="N830" s="6">
        <v>0.56162693184838308</v>
      </c>
      <c r="O830" s="6"/>
      <c r="P830" s="6">
        <v>1.2020441308882031</v>
      </c>
      <c r="Q830" s="6"/>
      <c r="R830" s="6">
        <v>3.3894990057798369</v>
      </c>
      <c r="S830" s="6"/>
      <c r="T830" s="6">
        <v>42.562587738037109</v>
      </c>
      <c r="U830" s="6">
        <f>_xll.BDP($A830,"TRAILING_12M_R&amp;D_%_SALES",$A$1,$A$2)</f>
        <v>0.41916230891673506</v>
      </c>
      <c r="V830" s="6">
        <v>15</v>
      </c>
      <c r="W830" s="6">
        <v>151040</v>
      </c>
      <c r="X830" s="6">
        <v>15104050</v>
      </c>
      <c r="Y830" s="7" t="s">
        <v>38</v>
      </c>
      <c r="Z830" s="7" t="s">
        <v>71</v>
      </c>
      <c r="AA830" s="7" t="s">
        <v>303</v>
      </c>
      <c r="AB830" s="6"/>
      <c r="AC830" s="6"/>
      <c r="AD830" s="6"/>
      <c r="AE830" s="6">
        <v>72551</v>
      </c>
      <c r="AF830" s="6">
        <v>34989</v>
      </c>
    </row>
    <row r="831" spans="1:32" s="4" customFormat="1" ht="12.75" x14ac:dyDescent="0.2">
      <c r="A831" s="7" t="s">
        <v>2667</v>
      </c>
      <c r="B831" s="7" t="s">
        <v>2668</v>
      </c>
      <c r="C831" s="7" t="s">
        <v>2669</v>
      </c>
      <c r="D831" s="6">
        <v>0.99144631624221813</v>
      </c>
      <c r="E831" s="6">
        <v>0.53764724731445301</v>
      </c>
      <c r="F831" s="6">
        <v>1.6976521015167241</v>
      </c>
      <c r="G831" s="6">
        <v>-0.76420599222183205</v>
      </c>
      <c r="H831" s="6">
        <v>-0.40298876166343706</v>
      </c>
      <c r="I831" s="6">
        <v>-0.47814652323722806</v>
      </c>
      <c r="J831" s="6">
        <v>2.5702591985464002E-2</v>
      </c>
      <c r="K831" s="6">
        <v>0.55690479278564509</v>
      </c>
      <c r="L831" s="6">
        <v>-0.57933521270752009</v>
      </c>
      <c r="M831" s="6">
        <v>-0.26565092802047702</v>
      </c>
      <c r="N831" s="6">
        <v>5.0862003270057219</v>
      </c>
      <c r="O831" s="6">
        <v>4.5486185822629759</v>
      </c>
      <c r="P831" s="6">
        <v>3.743371812295488</v>
      </c>
      <c r="Q831" s="6">
        <v>2.7479751176788909</v>
      </c>
      <c r="R831" s="6">
        <v>15.921144344434166</v>
      </c>
      <c r="S831" s="6">
        <v>20.307563441520383</v>
      </c>
      <c r="T831" s="6">
        <v>21.945777893066406</v>
      </c>
      <c r="U831" s="6">
        <f>_xll.BDP($A831,"TRAILING_12M_R&amp;D_%_SALES",$A$1,$A$2)</f>
        <v>10.463027618672891</v>
      </c>
      <c r="V831" s="6">
        <v>50</v>
      </c>
      <c r="W831" s="6">
        <v>502030</v>
      </c>
      <c r="X831" s="6">
        <v>50203010</v>
      </c>
      <c r="Y831" s="7" t="s">
        <v>367</v>
      </c>
      <c r="Z831" s="7" t="s">
        <v>418</v>
      </c>
      <c r="AA831" s="7" t="s">
        <v>418</v>
      </c>
      <c r="AB831" s="6">
        <v>58.102806091308594</v>
      </c>
      <c r="AC831" s="6">
        <v>0.94095228017057109</v>
      </c>
      <c r="AD831" s="6">
        <v>-26.448524757209491</v>
      </c>
      <c r="AE831" s="6">
        <v>112771</v>
      </c>
      <c r="AF831" s="6">
        <v>38775</v>
      </c>
    </row>
    <row r="832" spans="1:32" s="4" customFormat="1" ht="12.75" x14ac:dyDescent="0.2">
      <c r="A832" s="7" t="s">
        <v>2670</v>
      </c>
      <c r="B832" s="7" t="s">
        <v>2671</v>
      </c>
      <c r="C832" s="7" t="s">
        <v>2672</v>
      </c>
      <c r="D832" s="6">
        <v>-0.82183772325515703</v>
      </c>
      <c r="E832" s="6">
        <v>-0.261618971824646</v>
      </c>
      <c r="F832" s="6">
        <v>1.846692681312561</v>
      </c>
      <c r="G832" s="6">
        <v>-0.20336177945137002</v>
      </c>
      <c r="H832" s="6">
        <v>-0.42687064409256004</v>
      </c>
      <c r="I832" s="6">
        <v>1.4795963764190669</v>
      </c>
      <c r="J832" s="6">
        <v>2.0933716297149658</v>
      </c>
      <c r="K832" s="6">
        <v>-1.263763546943665</v>
      </c>
      <c r="L832" s="6">
        <v>-0.35146248340606701</v>
      </c>
      <c r="M832" s="6">
        <v>0.19647322595119501</v>
      </c>
      <c r="N832" s="6">
        <v>1.3703827141536831</v>
      </c>
      <c r="O832" s="6"/>
      <c r="P832" s="6">
        <v>1.0404475337114441</v>
      </c>
      <c r="Q832" s="6"/>
      <c r="R832" s="6">
        <v>5.2437480256518443</v>
      </c>
      <c r="S832" s="6"/>
      <c r="T832" s="6">
        <v>19.415979385375977</v>
      </c>
      <c r="U832" s="6">
        <f>_xll.BDP($A832,"TRAILING_12M_R&amp;D_%_SALES",$A$1,$A$2)</f>
        <v>0.48130322102924838</v>
      </c>
      <c r="V832" s="6">
        <v>15</v>
      </c>
      <c r="W832" s="6">
        <v>151040</v>
      </c>
      <c r="X832" s="6">
        <v>15104020</v>
      </c>
      <c r="Y832" s="7" t="s">
        <v>38</v>
      </c>
      <c r="Z832" s="7" t="s">
        <v>71</v>
      </c>
      <c r="AA832" s="7" t="s">
        <v>72</v>
      </c>
      <c r="AB832" s="6">
        <v>76.823257446289063</v>
      </c>
      <c r="AC832" s="6">
        <v>0.31500242245960403</v>
      </c>
      <c r="AD832" s="6">
        <v>47.149719884719765</v>
      </c>
      <c r="AE832" s="6">
        <v>10600</v>
      </c>
      <c r="AF832" s="6">
        <v>9400</v>
      </c>
    </row>
    <row r="833" spans="1:32" s="4" customFormat="1" ht="12.75" x14ac:dyDescent="0.2">
      <c r="A833" s="7" t="s">
        <v>2673</v>
      </c>
      <c r="B833" s="7" t="s">
        <v>2674</v>
      </c>
      <c r="C833" s="7" t="s">
        <v>2675</v>
      </c>
      <c r="D833" s="6">
        <v>0.99144631624221813</v>
      </c>
      <c r="E833" s="6">
        <v>0.53764724731445301</v>
      </c>
      <c r="F833" s="6">
        <v>1.6976521015167241</v>
      </c>
      <c r="G833" s="6">
        <v>-0.76420599222183205</v>
      </c>
      <c r="H833" s="6">
        <v>-0.40298876166343706</v>
      </c>
      <c r="I833" s="6">
        <v>-0.47814652323722806</v>
      </c>
      <c r="J833" s="6">
        <v>2.5702591985464002E-2</v>
      </c>
      <c r="K833" s="6">
        <v>0.55690479278564509</v>
      </c>
      <c r="L833" s="6">
        <v>-0.57933521270752009</v>
      </c>
      <c r="M833" s="6">
        <v>-0.26565092802047702</v>
      </c>
      <c r="N833" s="6">
        <v>5.0862003270057219</v>
      </c>
      <c r="O833" s="6">
        <v>4.5368064432788664</v>
      </c>
      <c r="P833" s="6">
        <v>3.743371812295488</v>
      </c>
      <c r="Q833" s="6">
        <v>2.7408391665433882</v>
      </c>
      <c r="R833" s="6">
        <v>15.921144344434166</v>
      </c>
      <c r="S833" s="6">
        <v>20.254828691679474</v>
      </c>
      <c r="T833" s="6">
        <v>21.945777893066406</v>
      </c>
      <c r="U833" s="6">
        <f>_xll.BDP($A833,"TRAILING_12M_R&amp;D_%_SALES",$A$1,$A$2)</f>
        <v>10.463027618672891</v>
      </c>
      <c r="V833" s="6">
        <v>50</v>
      </c>
      <c r="W833" s="6">
        <v>502030</v>
      </c>
      <c r="X833" s="6">
        <v>50203010</v>
      </c>
      <c r="Y833" s="7" t="s">
        <v>367</v>
      </c>
      <c r="Z833" s="7" t="s">
        <v>418</v>
      </c>
      <c r="AA833" s="7" t="s">
        <v>418</v>
      </c>
      <c r="AB833" s="6">
        <v>58.102806091308594</v>
      </c>
      <c r="AC833" s="6">
        <v>0.89150766044313812</v>
      </c>
      <c r="AD833" s="6">
        <v>-26.327715754787139</v>
      </c>
      <c r="AE833" s="6">
        <v>112771</v>
      </c>
      <c r="AF833" s="6">
        <v>38775</v>
      </c>
    </row>
    <row r="834" spans="1:32" s="4" customFormat="1" ht="12.75" x14ac:dyDescent="0.2">
      <c r="A834" s="7" t="s">
        <v>2676</v>
      </c>
      <c r="B834" s="7" t="s">
        <v>2677</v>
      </c>
      <c r="C834" s="7" t="s">
        <v>2678</v>
      </c>
      <c r="D834" s="6">
        <v>0.99170184135437012</v>
      </c>
      <c r="E834" s="6">
        <v>-0.73926627635955811</v>
      </c>
      <c r="F834" s="6">
        <v>-0.16712720692157701</v>
      </c>
      <c r="G834" s="6">
        <v>-0.536057889461517</v>
      </c>
      <c r="H834" s="6">
        <v>-1.133344173431396</v>
      </c>
      <c r="I834" s="6">
        <v>4.5139919966459004E-2</v>
      </c>
      <c r="J834" s="6">
        <v>-0.31411209702491805</v>
      </c>
      <c r="K834" s="6">
        <v>-0.51827758550643899</v>
      </c>
      <c r="L834" s="6">
        <v>1.3101407289505</v>
      </c>
      <c r="M834" s="6">
        <v>-0.77874386310577404</v>
      </c>
      <c r="N834" s="6">
        <v>2.5310145289048331</v>
      </c>
      <c r="O834" s="6">
        <v>3.0671043958839772</v>
      </c>
      <c r="P834" s="6">
        <v>1.595010876006036</v>
      </c>
      <c r="Q834" s="6">
        <v>1.4574494960177191</v>
      </c>
      <c r="R834" s="6">
        <v>9.9775058925859064</v>
      </c>
      <c r="S834" s="6">
        <v>9.6051089234342566</v>
      </c>
      <c r="T834" s="6">
        <v>17.678432464599609</v>
      </c>
      <c r="U834" s="6" t="str">
        <f>_xll.BDP($A834,"TRAILING_12M_R&amp;D_%_SALES",$A$1,$A$2)</f>
        <v>#N/A N/A</v>
      </c>
      <c r="V834" s="6">
        <v>40</v>
      </c>
      <c r="W834" s="6">
        <v>401010</v>
      </c>
      <c r="X834" s="6">
        <v>40101010</v>
      </c>
      <c r="Y834" s="7" t="s">
        <v>53</v>
      </c>
      <c r="Z834" s="7" t="s">
        <v>76</v>
      </c>
      <c r="AA834" s="7" t="s">
        <v>77</v>
      </c>
      <c r="AB834" s="6">
        <v>62.428325653076172</v>
      </c>
      <c r="AC834" s="6">
        <v>0.7895201880128041</v>
      </c>
      <c r="AD834" s="6">
        <v>-11.715616512615091</v>
      </c>
      <c r="AE834" s="6">
        <v>94945</v>
      </c>
      <c r="AF834" s="6">
        <v>82571</v>
      </c>
    </row>
    <row r="835" spans="1:32" s="4" customFormat="1" ht="12.75" x14ac:dyDescent="0.2">
      <c r="A835" s="7" t="s">
        <v>2679</v>
      </c>
      <c r="B835" s="7" t="s">
        <v>2680</v>
      </c>
      <c r="C835" s="7" t="s">
        <v>2681</v>
      </c>
      <c r="D835" s="6">
        <v>-0.83222782611846902</v>
      </c>
      <c r="E835" s="6">
        <v>-1.1982096433639531</v>
      </c>
      <c r="F835" s="6">
        <v>0.22209604084491702</v>
      </c>
      <c r="G835" s="6">
        <v>-0.45670488476753202</v>
      </c>
      <c r="H835" s="6">
        <v>-0.9038171172142031</v>
      </c>
      <c r="I835" s="6">
        <v>0.22775867581367501</v>
      </c>
      <c r="J835" s="6">
        <v>-0.23161202669143702</v>
      </c>
      <c r="K835" s="6">
        <v>-0.70579314231872603</v>
      </c>
      <c r="L835" s="6">
        <v>1.46119749546051</v>
      </c>
      <c r="M835" s="6">
        <v>-0.84766459465026911</v>
      </c>
      <c r="N835" s="6">
        <v>0.37551059263685205</v>
      </c>
      <c r="O835" s="6"/>
      <c r="P835" s="6">
        <v>1.083112486934819</v>
      </c>
      <c r="Q835" s="6"/>
      <c r="R835" s="6"/>
      <c r="S835" s="6"/>
      <c r="T835" s="6">
        <v>-12.647463798522949</v>
      </c>
      <c r="U835" s="6" t="str">
        <f>_xll.BDP($A835,"TRAILING_12M_R&amp;D_%_SALES",$A$1,$A$2)</f>
        <v>#N/A N/A</v>
      </c>
      <c r="V835" s="6">
        <v>40</v>
      </c>
      <c r="W835" s="6">
        <v>403010</v>
      </c>
      <c r="X835" s="6">
        <v>40301020</v>
      </c>
      <c r="Y835" s="7" t="s">
        <v>53</v>
      </c>
      <c r="Z835" s="7" t="s">
        <v>54</v>
      </c>
      <c r="AA835" s="7" t="s">
        <v>55</v>
      </c>
      <c r="AB835" s="6">
        <v>53.676692962646484</v>
      </c>
      <c r="AC835" s="6">
        <v>0.11538084894634801</v>
      </c>
      <c r="AD835" s="6"/>
      <c r="AE835" s="6">
        <v>19645</v>
      </c>
      <c r="AF835" s="6">
        <v>19816</v>
      </c>
    </row>
    <row r="836" spans="1:32" s="4" customFormat="1" ht="12.75" x14ac:dyDescent="0.2">
      <c r="A836" s="7" t="s">
        <v>2682</v>
      </c>
      <c r="B836" s="7" t="s">
        <v>2683</v>
      </c>
      <c r="C836" s="7" t="s">
        <v>2684</v>
      </c>
      <c r="D836" s="6">
        <v>-0.681293785572052</v>
      </c>
      <c r="E836" s="6">
        <v>-1.5289531946182251</v>
      </c>
      <c r="F836" s="6">
        <v>0.13634787499904602</v>
      </c>
      <c r="G836" s="6">
        <v>-0.41581127047538802</v>
      </c>
      <c r="H836" s="6">
        <v>-0.98496603965759311</v>
      </c>
      <c r="I836" s="6">
        <v>0.78305745124816906</v>
      </c>
      <c r="J836" s="6">
        <v>-1.2059346437454219</v>
      </c>
      <c r="K836" s="6">
        <v>0.43610054254531905</v>
      </c>
      <c r="L836" s="6">
        <v>0.74836319684982311</v>
      </c>
      <c r="M836" s="6">
        <v>-0.75224775075912509</v>
      </c>
      <c r="N836" s="6">
        <v>0.37551059263685205</v>
      </c>
      <c r="O836" s="6"/>
      <c r="P836" s="6">
        <v>1.083112486934819</v>
      </c>
      <c r="Q836" s="6"/>
      <c r="R836" s="6"/>
      <c r="S836" s="6"/>
      <c r="T836" s="6">
        <v>-12.647463798522949</v>
      </c>
      <c r="U836" s="6" t="str">
        <f>_xll.BDP($A836,"TRAILING_12M_R&amp;D_%_SALES",$A$1,$A$2)</f>
        <v>#N/A N/A</v>
      </c>
      <c r="V836" s="6">
        <v>40</v>
      </c>
      <c r="W836" s="6">
        <v>403010</v>
      </c>
      <c r="X836" s="6">
        <v>40301020</v>
      </c>
      <c r="Y836" s="7" t="s">
        <v>53</v>
      </c>
      <c r="Z836" s="7" t="s">
        <v>54</v>
      </c>
      <c r="AA836" s="7" t="s">
        <v>55</v>
      </c>
      <c r="AB836" s="6">
        <v>53.676692962646484</v>
      </c>
      <c r="AC836" s="6">
        <v>0.57188369199606603</v>
      </c>
      <c r="AD836" s="6">
        <v>16.632866642106016</v>
      </c>
      <c r="AE836" s="6">
        <v>19645</v>
      </c>
      <c r="AF836" s="6">
        <v>19816</v>
      </c>
    </row>
    <row r="837" spans="1:32" s="4" customFormat="1" ht="12.75" x14ac:dyDescent="0.2">
      <c r="A837" s="7" t="s">
        <v>2685</v>
      </c>
      <c r="B837" s="7" t="s">
        <v>2686</v>
      </c>
      <c r="C837" s="7" t="s">
        <v>2687</v>
      </c>
      <c r="D837" s="6">
        <v>-0.82183772325515703</v>
      </c>
      <c r="E837" s="6">
        <v>-0.261618971824646</v>
      </c>
      <c r="F837" s="6">
        <v>1.846692681312561</v>
      </c>
      <c r="G837" s="6">
        <v>-0.20336177945137002</v>
      </c>
      <c r="H837" s="6">
        <v>-0.42687064409256004</v>
      </c>
      <c r="I837" s="6">
        <v>1.4795963764190669</v>
      </c>
      <c r="J837" s="6">
        <v>2.0933716297149658</v>
      </c>
      <c r="K837" s="6">
        <v>-1.263763546943665</v>
      </c>
      <c r="L837" s="6">
        <v>-0.35146248340606701</v>
      </c>
      <c r="M837" s="6">
        <v>0.19647322595119501</v>
      </c>
      <c r="N837" s="6">
        <v>1.3703827141536831</v>
      </c>
      <c r="O837" s="6">
        <v>1.6641099821809702</v>
      </c>
      <c r="P837" s="6">
        <v>1.0404475337114441</v>
      </c>
      <c r="Q837" s="6">
        <v>0.93993146221217805</v>
      </c>
      <c r="R837" s="6">
        <v>5.2437480256518443</v>
      </c>
      <c r="S837" s="6">
        <v>8.9385086145288195</v>
      </c>
      <c r="T837" s="6">
        <v>19.415979385375977</v>
      </c>
      <c r="U837" s="6">
        <f>_xll.BDP($A837,"TRAILING_12M_R&amp;D_%_SALES",$A$1,$A$2)</f>
        <v>0.48130322102924838</v>
      </c>
      <c r="V837" s="6">
        <v>15</v>
      </c>
      <c r="W837" s="6">
        <v>151040</v>
      </c>
      <c r="X837" s="6">
        <v>15104020</v>
      </c>
      <c r="Y837" s="7" t="s">
        <v>38</v>
      </c>
      <c r="Z837" s="7" t="s">
        <v>71</v>
      </c>
      <c r="AA837" s="7" t="s">
        <v>72</v>
      </c>
      <c r="AB837" s="6">
        <v>76.823257446289063</v>
      </c>
      <c r="AC837" s="6">
        <v>1.00257202263513</v>
      </c>
      <c r="AD837" s="6">
        <v>35.771331191693889</v>
      </c>
      <c r="AE837" s="6">
        <v>10600</v>
      </c>
      <c r="AF837" s="6">
        <v>9400</v>
      </c>
    </row>
    <row r="838" spans="1:32" s="4" customFormat="1" ht="12.75" x14ac:dyDescent="0.2">
      <c r="A838" s="7" t="s">
        <v>2688</v>
      </c>
      <c r="B838" s="7" t="s">
        <v>2689</v>
      </c>
      <c r="C838" s="7" t="s">
        <v>2690</v>
      </c>
      <c r="D838" s="6">
        <v>-0.28258639574050903</v>
      </c>
      <c r="E838" s="6">
        <v>-0.95506525039672907</v>
      </c>
      <c r="F838" s="6">
        <v>0.35362875461578402</v>
      </c>
      <c r="G838" s="6">
        <v>-0.68917489051818803</v>
      </c>
      <c r="H838" s="6">
        <v>1.407124876976013</v>
      </c>
      <c r="I838" s="6">
        <v>0.14732673764228801</v>
      </c>
      <c r="J838" s="6">
        <v>1.6708970069885249</v>
      </c>
      <c r="K838" s="6">
        <v>-1.224517822265625</v>
      </c>
      <c r="L838" s="6">
        <v>2.6620063781738281</v>
      </c>
      <c r="M838" s="6">
        <v>-0.53729867935180708</v>
      </c>
      <c r="N838" s="6">
        <v>0.48886852604169106</v>
      </c>
      <c r="O838" s="6">
        <v>0.48013750408111505</v>
      </c>
      <c r="P838" s="6">
        <v>0.7571641099028551</v>
      </c>
      <c r="Q838" s="6">
        <v>0.81372269112444606</v>
      </c>
      <c r="R838" s="6">
        <v>169.25000330619523</v>
      </c>
      <c r="S838" s="6">
        <v>10.672521357929583</v>
      </c>
      <c r="T838" s="6">
        <v>1.17488694190979</v>
      </c>
      <c r="U838" s="6" t="str">
        <f>_xll.BDP($A838,"TRAILING_12M_R&amp;D_%_SALES",$A$1,$A$2)</f>
        <v>#N/A N/A</v>
      </c>
      <c r="V838" s="6">
        <v>50</v>
      </c>
      <c r="W838" s="6">
        <v>501010</v>
      </c>
      <c r="X838" s="6">
        <v>50101020</v>
      </c>
      <c r="Y838" s="7" t="s">
        <v>367</v>
      </c>
      <c r="Z838" s="7" t="s">
        <v>458</v>
      </c>
      <c r="AA838" s="7" t="s">
        <v>459</v>
      </c>
      <c r="AB838" s="6">
        <v>73.433258056640625</v>
      </c>
      <c r="AC838" s="6">
        <v>0.70151233344689101</v>
      </c>
      <c r="AD838" s="6">
        <v>-10.032955808573918</v>
      </c>
      <c r="AE838" s="6">
        <v>104150</v>
      </c>
      <c r="AF838" s="6">
        <v>127323</v>
      </c>
    </row>
    <row r="839" spans="1:32" s="4" customFormat="1" ht="12.75" x14ac:dyDescent="0.2">
      <c r="A839" s="7" t="s">
        <v>2691</v>
      </c>
      <c r="B839" s="7" t="s">
        <v>2692</v>
      </c>
      <c r="C839" s="7" t="s">
        <v>2693</v>
      </c>
      <c r="D839" s="6">
        <v>-0.28258639574050903</v>
      </c>
      <c r="E839" s="6">
        <v>-0.95506525039672907</v>
      </c>
      <c r="F839" s="6">
        <v>0.35362875461578402</v>
      </c>
      <c r="G839" s="6">
        <v>-0.68917489051818803</v>
      </c>
      <c r="H839" s="6">
        <v>1.407124876976013</v>
      </c>
      <c r="I839" s="6">
        <v>0.14732673764228801</v>
      </c>
      <c r="J839" s="6">
        <v>1.6708970069885249</v>
      </c>
      <c r="K839" s="6">
        <v>-1.224517822265625</v>
      </c>
      <c r="L839" s="6">
        <v>2.6620063781738281</v>
      </c>
      <c r="M839" s="6">
        <v>-0.53729867935180708</v>
      </c>
      <c r="N839" s="6">
        <v>0.48886852604169106</v>
      </c>
      <c r="O839" s="6">
        <v>0.49358672458624403</v>
      </c>
      <c r="P839" s="6">
        <v>0.7571641099028551</v>
      </c>
      <c r="Q839" s="6">
        <v>0.83878504527360409</v>
      </c>
      <c r="R839" s="6">
        <v>169.25000330619523</v>
      </c>
      <c r="S839" s="6">
        <v>11.001223269287193</v>
      </c>
      <c r="T839" s="6">
        <v>1.17488694190979</v>
      </c>
      <c r="U839" s="6" t="str">
        <f>_xll.BDP($A839,"TRAILING_12M_R&amp;D_%_SALES",$A$1,$A$2)</f>
        <v>#N/A N/A</v>
      </c>
      <c r="V839" s="6">
        <v>50</v>
      </c>
      <c r="W839" s="6">
        <v>501010</v>
      </c>
      <c r="X839" s="6">
        <v>50101020</v>
      </c>
      <c r="Y839" s="7" t="s">
        <v>367</v>
      </c>
      <c r="Z839" s="7" t="s">
        <v>458</v>
      </c>
      <c r="AA839" s="7" t="s">
        <v>459</v>
      </c>
      <c r="AB839" s="6">
        <v>73.433258056640625</v>
      </c>
      <c r="AC839" s="6">
        <v>0.57595566509836904</v>
      </c>
      <c r="AD839" s="6">
        <v>-6.6800776212243562</v>
      </c>
      <c r="AE839" s="6">
        <v>104150</v>
      </c>
      <c r="AF839" s="6">
        <v>127323</v>
      </c>
    </row>
    <row r="840" spans="1:32" s="4" customFormat="1" ht="12.75" x14ac:dyDescent="0.2">
      <c r="A840" s="7" t="s">
        <v>2694</v>
      </c>
      <c r="B840" s="7" t="s">
        <v>2695</v>
      </c>
      <c r="C840" s="7" t="s">
        <v>2696</v>
      </c>
      <c r="D840" s="6">
        <v>0.34682413935661305</v>
      </c>
      <c r="E840" s="6">
        <v>-0.85826247930526711</v>
      </c>
      <c r="F840" s="6">
        <v>9.6431754529476013E-2</v>
      </c>
      <c r="G840" s="6">
        <v>-0.37216001749038702</v>
      </c>
      <c r="H840" s="6">
        <v>-6.3232243061066007E-2</v>
      </c>
      <c r="I840" s="6">
        <v>-0.60062950849533103</v>
      </c>
      <c r="J840" s="6">
        <v>1.292174220085144</v>
      </c>
      <c r="K840" s="6">
        <v>-5.0304375588894001E-2</v>
      </c>
      <c r="L840" s="6">
        <v>1.5540473461151121</v>
      </c>
      <c r="M840" s="6">
        <v>-0.9978891015052801</v>
      </c>
      <c r="N840" s="6">
        <v>2.420355453074801</v>
      </c>
      <c r="O840" s="6">
        <v>2.2705962458193572</v>
      </c>
      <c r="P840" s="6">
        <v>1.054989166774067</v>
      </c>
      <c r="Q840" s="6">
        <v>0.96404187662201513</v>
      </c>
      <c r="R840" s="6">
        <v>8.5322418975955934</v>
      </c>
      <c r="S840" s="6">
        <v>8.2922373055079834</v>
      </c>
      <c r="T840" s="6">
        <v>10.041086196899414</v>
      </c>
      <c r="U840" s="6" t="str">
        <f>_xll.BDP($A840,"TRAILING_12M_R&amp;D_%_SALES",$A$1,$A$2)</f>
        <v>#N/A N/A</v>
      </c>
      <c r="V840" s="6">
        <v>40</v>
      </c>
      <c r="W840" s="6">
        <v>401010</v>
      </c>
      <c r="X840" s="6">
        <v>40101015</v>
      </c>
      <c r="Y840" s="7" t="s">
        <v>53</v>
      </c>
      <c r="Z840" s="7" t="s">
        <v>76</v>
      </c>
      <c r="AA840" s="7" t="s">
        <v>675</v>
      </c>
      <c r="AB840" s="6">
        <v>59.943668365478516</v>
      </c>
      <c r="AC840" s="6">
        <v>0.97128318078372211</v>
      </c>
      <c r="AD840" s="6">
        <v>-23.448362681940726</v>
      </c>
      <c r="AE840" s="6">
        <v>51348</v>
      </c>
      <c r="AF840" s="6">
        <v>37500</v>
      </c>
    </row>
    <row r="841" spans="1:32" s="4" customFormat="1" ht="12.75" x14ac:dyDescent="0.2">
      <c r="A841" s="7" t="s">
        <v>2697</v>
      </c>
      <c r="B841" s="7" t="s">
        <v>2698</v>
      </c>
      <c r="C841" s="7" t="s">
        <v>2699</v>
      </c>
      <c r="D841" s="6">
        <v>9.4308614730835003E-2</v>
      </c>
      <c r="E841" s="6">
        <v>-0.55415284633636508</v>
      </c>
      <c r="F841" s="6">
        <v>0.81570869684219405</v>
      </c>
      <c r="G841" s="6">
        <v>0.37921899557113603</v>
      </c>
      <c r="H841" s="6">
        <v>0.42863437533378601</v>
      </c>
      <c r="I841" s="6">
        <v>-0.75431507825851407</v>
      </c>
      <c r="J841" s="6">
        <v>4.0827896445990004E-2</v>
      </c>
      <c r="K841" s="6">
        <v>0.36654782295227101</v>
      </c>
      <c r="L841" s="6">
        <v>0.62004470825195301</v>
      </c>
      <c r="M841" s="6">
        <v>0.31198689341545105</v>
      </c>
      <c r="N841" s="6">
        <v>0.63862025905661601</v>
      </c>
      <c r="O841" s="6">
        <v>0.62390662581107204</v>
      </c>
      <c r="P841" s="6">
        <v>6.2258606106228926</v>
      </c>
      <c r="Q841" s="6">
        <v>6.3219902951839329</v>
      </c>
      <c r="R841" s="6">
        <v>20.274725514857057</v>
      </c>
      <c r="S841" s="6">
        <v>16.242961267757046</v>
      </c>
      <c r="T841" s="6">
        <v>27.781806945800781</v>
      </c>
      <c r="U841" s="6" t="str">
        <f>_xll.BDP($A841,"TRAILING_12M_R&amp;D_%_SALES",$A$1,$A$2)</f>
        <v>#N/A N/A</v>
      </c>
      <c r="V841" s="6">
        <v>30</v>
      </c>
      <c r="W841" s="6">
        <v>301010</v>
      </c>
      <c r="X841" s="6">
        <v>30101040</v>
      </c>
      <c r="Y841" s="7" t="s">
        <v>91</v>
      </c>
      <c r="Z841" s="7" t="s">
        <v>133</v>
      </c>
      <c r="AA841" s="7" t="s">
        <v>329</v>
      </c>
      <c r="AB841" s="6">
        <v>62.830699920654297</v>
      </c>
      <c r="AC841" s="6">
        <v>1.098885907337563</v>
      </c>
      <c r="AD841" s="6">
        <v>-34.402745397909825</v>
      </c>
      <c r="AE841" s="6">
        <v>450000</v>
      </c>
      <c r="AF841" s="6">
        <v>323000</v>
      </c>
    </row>
    <row r="842" spans="1:32" s="4" customFormat="1" ht="12.75" x14ac:dyDescent="0.2">
      <c r="A842" s="7" t="s">
        <v>2700</v>
      </c>
      <c r="B842" s="7" t="s">
        <v>2701</v>
      </c>
      <c r="C842" s="7" t="s">
        <v>2702</v>
      </c>
      <c r="D842" s="6">
        <v>-0.70524322986602805</v>
      </c>
      <c r="E842" s="6">
        <v>-0.56655281782150302</v>
      </c>
      <c r="F842" s="6">
        <v>1.6626861095428471</v>
      </c>
      <c r="G842" s="6">
        <v>-0.96392232179641713</v>
      </c>
      <c r="H842" s="6">
        <v>-0.46794372797012301</v>
      </c>
      <c r="I842" s="6">
        <v>1.5992099046707149</v>
      </c>
      <c r="J842" s="6">
        <v>0.21965779364109</v>
      </c>
      <c r="K842" s="6">
        <v>-0.65682137012481701</v>
      </c>
      <c r="L842" s="6">
        <v>0.27255135774612405</v>
      </c>
      <c r="M842" s="6">
        <v>-0.72409164905548107</v>
      </c>
      <c r="N842" s="6">
        <v>1.5836974333732372</v>
      </c>
      <c r="O842" s="6">
        <v>1.326623594607885</v>
      </c>
      <c r="P842" s="6">
        <v>3.354940241650942</v>
      </c>
      <c r="Q842" s="6">
        <v>2.8089645271062729</v>
      </c>
      <c r="R842" s="6">
        <v>23.215311531338251</v>
      </c>
      <c r="S842" s="6">
        <v>15.073114884572453</v>
      </c>
      <c r="T842" s="6">
        <v>18.437810897827148</v>
      </c>
      <c r="U842" s="6">
        <f>_xll.BDP($A842,"TRAILING_12M_R&amp;D_%_SALES",$A$1,$A$2)</f>
        <v>6.218660668259993</v>
      </c>
      <c r="V842" s="6">
        <v>20</v>
      </c>
      <c r="W842" s="6">
        <v>201010</v>
      </c>
      <c r="X842" s="6">
        <v>20101010</v>
      </c>
      <c r="Y842" s="7" t="s">
        <v>43</v>
      </c>
      <c r="Z842" s="7" t="s">
        <v>393</v>
      </c>
      <c r="AA842" s="7" t="s">
        <v>393</v>
      </c>
      <c r="AB842" s="6">
        <v>58.092746734619141</v>
      </c>
      <c r="AC842" s="6">
        <v>0.35215428665908804</v>
      </c>
      <c r="AD842" s="6">
        <v>31.834128330791334</v>
      </c>
      <c r="AE842" s="6">
        <v>81098</v>
      </c>
      <c r="AF842" s="6">
        <v>63783</v>
      </c>
    </row>
    <row r="843" spans="1:32" s="4" customFormat="1" ht="12.75" x14ac:dyDescent="0.2">
      <c r="A843" s="7" t="s">
        <v>2703</v>
      </c>
      <c r="B843" s="7" t="s">
        <v>2704</v>
      </c>
      <c r="C843" s="7" t="s">
        <v>2705</v>
      </c>
      <c r="D843" s="6">
        <v>-0.70524322986602805</v>
      </c>
      <c r="E843" s="6">
        <v>-0.56655281782150302</v>
      </c>
      <c r="F843" s="6">
        <v>1.6626861095428471</v>
      </c>
      <c r="G843" s="6">
        <v>-0.96392232179641713</v>
      </c>
      <c r="H843" s="6">
        <v>-0.46794372797012301</v>
      </c>
      <c r="I843" s="6">
        <v>1.5992099046707149</v>
      </c>
      <c r="J843" s="6">
        <v>0.21965779364109</v>
      </c>
      <c r="K843" s="6">
        <v>-0.65682137012481701</v>
      </c>
      <c r="L843" s="6">
        <v>0.27255135774612405</v>
      </c>
      <c r="M843" s="6">
        <v>-0.72409164905548107</v>
      </c>
      <c r="N843" s="6">
        <v>1.5836974333732372</v>
      </c>
      <c r="O843" s="6"/>
      <c r="P843" s="6">
        <v>3.354940241650942</v>
      </c>
      <c r="Q843" s="6"/>
      <c r="R843" s="6">
        <v>23.215311531338251</v>
      </c>
      <c r="S843" s="6"/>
      <c r="T843" s="6">
        <v>18.437810897827148</v>
      </c>
      <c r="U843" s="6">
        <f>_xll.BDP($A843,"TRAILING_12M_R&amp;D_%_SALES",$A$1,$A$2)</f>
        <v>6.218660668259993</v>
      </c>
      <c r="V843" s="6">
        <v>20</v>
      </c>
      <c r="W843" s="6">
        <v>201010</v>
      </c>
      <c r="X843" s="6">
        <v>20101010</v>
      </c>
      <c r="Y843" s="7" t="s">
        <v>43</v>
      </c>
      <c r="Z843" s="7" t="s">
        <v>393</v>
      </c>
      <c r="AA843" s="7" t="s">
        <v>393</v>
      </c>
      <c r="AB843" s="6">
        <v>58.092746734619141</v>
      </c>
      <c r="AC843" s="6">
        <v>0.52092847588917701</v>
      </c>
      <c r="AD843" s="6">
        <v>53.657253208204025</v>
      </c>
      <c r="AE843" s="6">
        <v>81098</v>
      </c>
      <c r="AF843" s="6">
        <v>63783</v>
      </c>
    </row>
    <row r="844" spans="1:32" s="4" customFormat="1" ht="12.75" x14ac:dyDescent="0.2">
      <c r="A844" s="7" t="s">
        <v>2706</v>
      </c>
      <c r="B844" s="7" t="s">
        <v>2707</v>
      </c>
      <c r="C844" s="7" t="s">
        <v>2708</v>
      </c>
      <c r="D844" s="6">
        <v>-0.159163013100624</v>
      </c>
      <c r="E844" s="6">
        <v>2.046949788928E-2</v>
      </c>
      <c r="F844" s="6">
        <v>0.46900174021720903</v>
      </c>
      <c r="G844" s="6">
        <v>-0.27418717741966203</v>
      </c>
      <c r="H844" s="6">
        <v>0.32170554995536804</v>
      </c>
      <c r="I844" s="6">
        <v>0.49926349520683305</v>
      </c>
      <c r="J844" s="6">
        <v>-0.331533223390579</v>
      </c>
      <c r="K844" s="6">
        <v>1.3684622943401002E-2</v>
      </c>
      <c r="L844" s="6">
        <v>-8.9846454560757003E-2</v>
      </c>
      <c r="M844" s="6">
        <v>0.27310681343078602</v>
      </c>
      <c r="N844" s="6">
        <v>1.9037485212113061</v>
      </c>
      <c r="O844" s="6">
        <v>1.7680760371074331</v>
      </c>
      <c r="P844" s="6">
        <v>16.247795548699987</v>
      </c>
      <c r="Q844" s="6">
        <v>13.72036334876147</v>
      </c>
      <c r="R844" s="6">
        <v>28.961725026771294</v>
      </c>
      <c r="S844" s="6">
        <v>22.736926096119927</v>
      </c>
      <c r="T844" s="6">
        <v>56.148166656494141</v>
      </c>
      <c r="U844" s="6" t="str">
        <f>_xll.BDP($A844,"TRAILING_12M_R&amp;D_%_SALES",$A$1,$A$2)</f>
        <v>#N/A N/A</v>
      </c>
      <c r="V844" s="6">
        <v>25</v>
      </c>
      <c r="W844" s="6">
        <v>255040</v>
      </c>
      <c r="X844" s="6">
        <v>25504010</v>
      </c>
      <c r="Y844" s="7" t="s">
        <v>108</v>
      </c>
      <c r="Z844" s="7" t="s">
        <v>388</v>
      </c>
      <c r="AA844" s="7" t="s">
        <v>1247</v>
      </c>
      <c r="AB844" s="6">
        <v>54.913993835449219</v>
      </c>
      <c r="AC844" s="6">
        <v>0.9161648850902141</v>
      </c>
      <c r="AD844" s="6">
        <v>7.2868306174334494</v>
      </c>
      <c r="AE844" s="6">
        <v>340000</v>
      </c>
      <c r="AF844" s="6">
        <v>235000</v>
      </c>
    </row>
    <row r="845" spans="1:32" s="4" customFormat="1" ht="12.75" x14ac:dyDescent="0.2">
      <c r="A845" s="7" t="s">
        <v>2709</v>
      </c>
      <c r="B845" s="7" t="s">
        <v>2710</v>
      </c>
      <c r="C845" s="7" t="s">
        <v>2711</v>
      </c>
      <c r="D845" s="6">
        <v>-0.708079934120178</v>
      </c>
      <c r="E845" s="6">
        <v>-1.404173016548157</v>
      </c>
      <c r="F845" s="6">
        <v>1.4474084377288821</v>
      </c>
      <c r="G845" s="6">
        <v>1.6170378923416142</v>
      </c>
      <c r="H845" s="6">
        <v>1.587303638458252</v>
      </c>
      <c r="I845" s="6">
        <v>1.8358685970306401</v>
      </c>
      <c r="J845" s="6">
        <v>0.72870504856109608</v>
      </c>
      <c r="K845" s="6">
        <v>-0.42598477005958602</v>
      </c>
      <c r="L845" s="6">
        <v>-0.81727248430252109</v>
      </c>
      <c r="M845" s="6">
        <v>-0.69789040088653609</v>
      </c>
      <c r="N845" s="6">
        <v>0.115471944123002</v>
      </c>
      <c r="O845" s="6">
        <v>0.11247065050697001</v>
      </c>
      <c r="P845" s="6">
        <v>0.342756625419876</v>
      </c>
      <c r="Q845" s="6">
        <v>0.30564490131153205</v>
      </c>
      <c r="R845" s="6"/>
      <c r="S845" s="6">
        <v>4.2542723602730907</v>
      </c>
      <c r="T845" s="6">
        <v>-9.2783613204956055</v>
      </c>
      <c r="U845" s="6" t="str">
        <f>_xll.BDP($A845,"TRAILING_12M_R&amp;D_%_SALES",$A$1,$A$2)</f>
        <v>#N/A N/A</v>
      </c>
      <c r="V845" s="6">
        <v>55</v>
      </c>
      <c r="W845" s="6">
        <v>551010</v>
      </c>
      <c r="X845" s="6">
        <v>55101010</v>
      </c>
      <c r="Y845" s="7" t="s">
        <v>181</v>
      </c>
      <c r="Z845" s="7" t="s">
        <v>186</v>
      </c>
      <c r="AA845" s="7" t="s">
        <v>186</v>
      </c>
      <c r="AB845" s="6">
        <v>72.326728820800781</v>
      </c>
      <c r="AC845" s="6">
        <v>0.36679714592134305</v>
      </c>
      <c r="AD845" s="6">
        <v>37.795277660028617</v>
      </c>
      <c r="AE845" s="6">
        <v>37939</v>
      </c>
      <c r="AF845" s="6">
        <v>42060</v>
      </c>
    </row>
    <row r="846" spans="1:32" s="4" customFormat="1" ht="12.75" x14ac:dyDescent="0.2">
      <c r="A846" s="7" t="s">
        <v>2712</v>
      </c>
      <c r="B846" s="7" t="s">
        <v>2713</v>
      </c>
      <c r="C846" s="7" t="s">
        <v>2714</v>
      </c>
      <c r="D846" s="6">
        <v>-0.708079934120178</v>
      </c>
      <c r="E846" s="6">
        <v>-1.404173016548157</v>
      </c>
      <c r="F846" s="6">
        <v>1.4474084377288821</v>
      </c>
      <c r="G846" s="6">
        <v>1.6170378923416142</v>
      </c>
      <c r="H846" s="6">
        <v>1.587303638458252</v>
      </c>
      <c r="I846" s="6">
        <v>1.8358685970306401</v>
      </c>
      <c r="J846" s="6">
        <v>0.72870504856109608</v>
      </c>
      <c r="K846" s="6">
        <v>-0.42598477005958602</v>
      </c>
      <c r="L846" s="6">
        <v>-0.81727248430252109</v>
      </c>
      <c r="M846" s="6">
        <v>-0.69789040088653609</v>
      </c>
      <c r="N846" s="6">
        <v>0.115471944123002</v>
      </c>
      <c r="O846" s="6"/>
      <c r="P846" s="6">
        <v>0.342756625419876</v>
      </c>
      <c r="Q846" s="6"/>
      <c r="R846" s="6"/>
      <c r="S846" s="6"/>
      <c r="T846" s="6">
        <v>-9.2783613204956055</v>
      </c>
      <c r="U846" s="6" t="str">
        <f>_xll.BDP($A846,"TRAILING_12M_R&amp;D_%_SALES",$A$1,$A$2)</f>
        <v>#N/A N/A</v>
      </c>
      <c r="V846" s="6">
        <v>55</v>
      </c>
      <c r="W846" s="6">
        <v>551010</v>
      </c>
      <c r="X846" s="6">
        <v>55101010</v>
      </c>
      <c r="Y846" s="7" t="s">
        <v>181</v>
      </c>
      <c r="Z846" s="7" t="s">
        <v>186</v>
      </c>
      <c r="AA846" s="7" t="s">
        <v>186</v>
      </c>
      <c r="AB846" s="6">
        <v>72.326728820800781</v>
      </c>
      <c r="AC846" s="6">
        <v>0.89309635919891006</v>
      </c>
      <c r="AD846" s="6">
        <v>35.000004584972856</v>
      </c>
      <c r="AE846" s="6">
        <v>37939</v>
      </c>
      <c r="AF846" s="6">
        <v>42060</v>
      </c>
    </row>
    <row r="847" spans="1:32" s="4" customFormat="1" ht="12.75" x14ac:dyDescent="0.2">
      <c r="A847" s="7" t="s">
        <v>2715</v>
      </c>
      <c r="B847" s="7" t="s">
        <v>2716</v>
      </c>
      <c r="C847" s="7" t="s">
        <v>2717</v>
      </c>
      <c r="D847" s="6">
        <v>0.14146666228771201</v>
      </c>
      <c r="E847" s="6">
        <v>-0.94191586971283003</v>
      </c>
      <c r="F847" s="6">
        <v>1.6758818626403811</v>
      </c>
      <c r="G847" s="6">
        <v>-0.734910368919373</v>
      </c>
      <c r="H847" s="6">
        <v>-1.19949734210968</v>
      </c>
      <c r="I847" s="6">
        <v>1.2751872539520259</v>
      </c>
      <c r="J847" s="6">
        <v>0.56222575902938809</v>
      </c>
      <c r="K847" s="6">
        <v>-0.90057480335235607</v>
      </c>
      <c r="L847" s="6">
        <v>0.85431444644928012</v>
      </c>
      <c r="M847" s="6">
        <v>-1.014546275138855</v>
      </c>
      <c r="N847" s="6">
        <v>0.93071502050620003</v>
      </c>
      <c r="O847" s="6">
        <v>0.93934881381195012</v>
      </c>
      <c r="P847" s="6">
        <v>1.539826489247883</v>
      </c>
      <c r="Q847" s="6">
        <v>1.394363800910791</v>
      </c>
      <c r="R847" s="6">
        <v>24.247492172894326</v>
      </c>
      <c r="S847" s="6">
        <v>12.653168690407261</v>
      </c>
      <c r="T847" s="6">
        <v>6.2530841827392578</v>
      </c>
      <c r="U847" s="6" t="str">
        <f>_xll.BDP($A847,"TRAILING_12M_R&amp;D_%_SALES",$A$1,$A$2)</f>
        <v>#N/A N/A</v>
      </c>
      <c r="V847" s="6">
        <v>40</v>
      </c>
      <c r="W847" s="6">
        <v>403010</v>
      </c>
      <c r="X847" s="6">
        <v>40301040</v>
      </c>
      <c r="Y847" s="7" t="s">
        <v>53</v>
      </c>
      <c r="Z847" s="7" t="s">
        <v>54</v>
      </c>
      <c r="AA847" s="7" t="s">
        <v>125</v>
      </c>
      <c r="AB847" s="6">
        <v>48.506187438964844</v>
      </c>
      <c r="AC847" s="6">
        <v>0.39463369387027203</v>
      </c>
      <c r="AD847" s="6">
        <v>20.271195578295487</v>
      </c>
      <c r="AE847" s="6">
        <v>43048</v>
      </c>
      <c r="AF847" s="6">
        <v>38842</v>
      </c>
    </row>
    <row r="848" spans="1:32" s="4" customFormat="1" ht="12.75" x14ac:dyDescent="0.2">
      <c r="A848" s="7" t="s">
        <v>2718</v>
      </c>
      <c r="B848" s="7" t="s">
        <v>2719</v>
      </c>
      <c r="C848" s="7" t="s">
        <v>2720</v>
      </c>
      <c r="D848" s="6">
        <v>0.14146666228771201</v>
      </c>
      <c r="E848" s="6">
        <v>-0.94191586971283003</v>
      </c>
      <c r="F848" s="6">
        <v>1.6758818626403811</v>
      </c>
      <c r="G848" s="6">
        <v>-0.734910368919373</v>
      </c>
      <c r="H848" s="6">
        <v>-1.19949734210968</v>
      </c>
      <c r="I848" s="6">
        <v>1.2751872539520259</v>
      </c>
      <c r="J848" s="6">
        <v>0.56222575902938809</v>
      </c>
      <c r="K848" s="6">
        <v>-0.90057480335235607</v>
      </c>
      <c r="L848" s="6">
        <v>0.85431444644928012</v>
      </c>
      <c r="M848" s="6">
        <v>-1.014546275138855</v>
      </c>
      <c r="N848" s="6">
        <v>0.93071502050620003</v>
      </c>
      <c r="O848" s="6"/>
      <c r="P848" s="6">
        <v>1.539826489247883</v>
      </c>
      <c r="Q848" s="6"/>
      <c r="R848" s="6">
        <v>24.247492172894326</v>
      </c>
      <c r="S848" s="6">
        <v>13.181303160507296</v>
      </c>
      <c r="T848" s="6">
        <v>6.2530841827392578</v>
      </c>
      <c r="U848" s="6" t="str">
        <f>_xll.BDP($A848,"TRAILING_12M_R&amp;D_%_SALES",$A$1,$A$2)</f>
        <v>#N/A N/A</v>
      </c>
      <c r="V848" s="6">
        <v>40</v>
      </c>
      <c r="W848" s="6">
        <v>403010</v>
      </c>
      <c r="X848" s="6">
        <v>40301040</v>
      </c>
      <c r="Y848" s="7" t="s">
        <v>53</v>
      </c>
      <c r="Z848" s="7" t="s">
        <v>54</v>
      </c>
      <c r="AA848" s="7" t="s">
        <v>125</v>
      </c>
      <c r="AB848" s="6">
        <v>48.506187438964844</v>
      </c>
      <c r="AC848" s="6">
        <v>0.603301817095941</v>
      </c>
      <c r="AD848" s="6">
        <v>19.486088748699903</v>
      </c>
      <c r="AE848" s="6">
        <v>43048</v>
      </c>
      <c r="AF848" s="6">
        <v>38842</v>
      </c>
    </row>
    <row r="849" spans="1:32" s="4" customFormat="1" ht="12.75" x14ac:dyDescent="0.2">
      <c r="A849" s="7" t="s">
        <v>2721</v>
      </c>
      <c r="B849" s="7" t="s">
        <v>2722</v>
      </c>
      <c r="C849" s="7" t="s">
        <v>2723</v>
      </c>
      <c r="D849" s="6">
        <v>-0.11403629183769201</v>
      </c>
      <c r="E849" s="6">
        <v>-0.83481246232986506</v>
      </c>
      <c r="F849" s="6">
        <v>-0.22801087796688102</v>
      </c>
      <c r="G849" s="6">
        <v>-0.64712107181549106</v>
      </c>
      <c r="H849" s="6">
        <v>0.31578513979911804</v>
      </c>
      <c r="I849" s="6">
        <v>1.098695755004883</v>
      </c>
      <c r="J849" s="6">
        <v>0.8444604873657231</v>
      </c>
      <c r="K849" s="6">
        <v>-0.59848833084106401</v>
      </c>
      <c r="L849" s="6">
        <v>1.296940922737122</v>
      </c>
      <c r="M849" s="6">
        <v>-0.65438753366470304</v>
      </c>
      <c r="N849" s="6">
        <v>1.703926652650481</v>
      </c>
      <c r="O849" s="6">
        <v>1.665057446169516</v>
      </c>
      <c r="P849" s="6">
        <v>0.95199019711049004</v>
      </c>
      <c r="Q849" s="6">
        <v>1.077919095891718</v>
      </c>
      <c r="R849" s="6">
        <v>29.939552225296111</v>
      </c>
      <c r="S849" s="6">
        <v>8.2998521442900408</v>
      </c>
      <c r="T849" s="6">
        <v>3.541903018951416</v>
      </c>
      <c r="U849" s="6">
        <f>_xll.BDP($A849,"TRAILING_12M_R&amp;D_%_SALES",$A$1,$A$2)</f>
        <v>15.505934565489</v>
      </c>
      <c r="V849" s="6">
        <v>35</v>
      </c>
      <c r="W849" s="6">
        <v>352020</v>
      </c>
      <c r="X849" s="6">
        <v>35202010</v>
      </c>
      <c r="Y849" s="7" t="s">
        <v>86</v>
      </c>
      <c r="Z849" s="7" t="s">
        <v>271</v>
      </c>
      <c r="AA849" s="7" t="s">
        <v>271</v>
      </c>
      <c r="AB849" s="6">
        <v>60.778594970703125</v>
      </c>
      <c r="AC849" s="6">
        <v>0.42414208126158304</v>
      </c>
      <c r="AD849" s="6">
        <v>20.39404799057052</v>
      </c>
      <c r="AE849" s="6">
        <v>47347</v>
      </c>
      <c r="AF849" s="6">
        <v>29900</v>
      </c>
    </row>
    <row r="850" spans="1:32" s="4" customFormat="1" ht="12.75" x14ac:dyDescent="0.2">
      <c r="A850" s="7" t="s">
        <v>2724</v>
      </c>
      <c r="B850" s="7" t="s">
        <v>2725</v>
      </c>
      <c r="C850" s="7" t="s">
        <v>2726</v>
      </c>
      <c r="D850" s="6">
        <v>-0.74026554822921808</v>
      </c>
      <c r="E850" s="6">
        <v>-0.61491650342941306</v>
      </c>
      <c r="F850" s="6">
        <v>-1.63080894947052</v>
      </c>
      <c r="G850" s="6">
        <v>-0.78250735998153709</v>
      </c>
      <c r="H850" s="6">
        <v>0.20327806472778301</v>
      </c>
      <c r="I850" s="6">
        <v>0.26262900233268704</v>
      </c>
      <c r="J850" s="6">
        <v>0.30003616213798501</v>
      </c>
      <c r="K850" s="6">
        <v>-1.2756505012512211</v>
      </c>
      <c r="L850" s="6">
        <v>0.81583881378173806</v>
      </c>
      <c r="M850" s="6">
        <v>-0.56646668910980202</v>
      </c>
      <c r="N850" s="6">
        <v>2.204102052145557</v>
      </c>
      <c r="O850" s="6"/>
      <c r="P850" s="6">
        <v>3.0035931253927171</v>
      </c>
      <c r="Q850" s="6"/>
      <c r="R850" s="6">
        <v>27.753819469511228</v>
      </c>
      <c r="S850" s="6"/>
      <c r="T850" s="6">
        <v>11.27701473236084</v>
      </c>
      <c r="U850" s="6">
        <f>_xll.BDP($A850,"TRAILING_12M_R&amp;D_%_SALES",$A$1,$A$2)</f>
        <v>0</v>
      </c>
      <c r="V850" s="6">
        <v>50</v>
      </c>
      <c r="W850" s="6">
        <v>501010</v>
      </c>
      <c r="X850" s="6">
        <v>50101020</v>
      </c>
      <c r="Y850" s="7" t="s">
        <v>367</v>
      </c>
      <c r="Z850" s="7" t="s">
        <v>458</v>
      </c>
      <c r="AA850" s="7" t="s">
        <v>459</v>
      </c>
      <c r="AB850" s="6">
        <v>72.024948120117188</v>
      </c>
      <c r="AC850" s="6">
        <v>0.79305849904164505</v>
      </c>
      <c r="AD850" s="6"/>
      <c r="AE850" s="6">
        <v>28889</v>
      </c>
      <c r="AF850" s="6">
        <v>32293</v>
      </c>
    </row>
    <row r="851" spans="1:32" s="4" customFormat="1" ht="12.75" x14ac:dyDescent="0.2">
      <c r="A851" s="7" t="s">
        <v>2727</v>
      </c>
      <c r="B851" s="7" t="s">
        <v>2728</v>
      </c>
      <c r="C851" s="7" t="s">
        <v>2729</v>
      </c>
      <c r="D851" s="6">
        <v>1.2777925729751591</v>
      </c>
      <c r="E851" s="6">
        <v>-0.71522665023803711</v>
      </c>
      <c r="F851" s="6">
        <v>0.59831845760345503</v>
      </c>
      <c r="G851" s="6">
        <v>-0.98530715703964211</v>
      </c>
      <c r="H851" s="6">
        <v>0.40589156746864302</v>
      </c>
      <c r="I851" s="6">
        <v>0.21978005766868602</v>
      </c>
      <c r="J851" s="6">
        <v>0.87020808458328203</v>
      </c>
      <c r="K851" s="6">
        <v>-0.71009284257888805</v>
      </c>
      <c r="L851" s="6">
        <v>0.59614199399948109</v>
      </c>
      <c r="M851" s="6">
        <v>-0.82315832376480103</v>
      </c>
      <c r="N851" s="6">
        <v>0.74227446283147402</v>
      </c>
      <c r="O851" s="6">
        <v>0.79558684055651008</v>
      </c>
      <c r="P851" s="6">
        <v>0.88484310482673312</v>
      </c>
      <c r="Q851" s="6"/>
      <c r="R851" s="6">
        <v>10.00055166196428</v>
      </c>
      <c r="S851" s="6">
        <v>7.5941461478698349</v>
      </c>
      <c r="T851" s="6">
        <v>9.4845972061157227</v>
      </c>
      <c r="U851" s="6">
        <f>_xll.BDP($A851,"TRAILING_12M_R&amp;D_%_SALES",$A$1,$A$2)</f>
        <v>2.7394191821144629</v>
      </c>
      <c r="V851" s="6">
        <v>25</v>
      </c>
      <c r="W851" s="6">
        <v>251020</v>
      </c>
      <c r="X851" s="6">
        <v>25102010</v>
      </c>
      <c r="Y851" s="7" t="s">
        <v>108</v>
      </c>
      <c r="Z851" s="7" t="s">
        <v>422</v>
      </c>
      <c r="AA851" s="7" t="s">
        <v>423</v>
      </c>
      <c r="AB851" s="6">
        <v>67.427825927734375</v>
      </c>
      <c r="AC851" s="6">
        <v>0.83472266565306308</v>
      </c>
      <c r="AD851" s="6">
        <v>-23.909808170986491</v>
      </c>
      <c r="AE851" s="6">
        <v>372817</v>
      </c>
      <c r="AF851" s="6">
        <v>364445</v>
      </c>
    </row>
    <row r="852" spans="1:32" s="4" customFormat="1" ht="12.75" x14ac:dyDescent="0.2">
      <c r="A852" s="7" t="s">
        <v>2730</v>
      </c>
      <c r="B852" s="7" t="s">
        <v>2731</v>
      </c>
      <c r="C852" s="7" t="s">
        <v>2732</v>
      </c>
      <c r="D852" s="6">
        <v>0.40817266702652005</v>
      </c>
      <c r="E852" s="6">
        <v>-0.24408857524395003</v>
      </c>
      <c r="F852" s="6">
        <v>-0.24803751707077001</v>
      </c>
      <c r="G852" s="6">
        <v>-0.58480858802795399</v>
      </c>
      <c r="H852" s="6">
        <v>-0.114590957760811</v>
      </c>
      <c r="I852" s="6">
        <v>-4.4606007635593005E-2</v>
      </c>
      <c r="J852" s="6">
        <v>-0.30705413222312905</v>
      </c>
      <c r="K852" s="6">
        <v>-4.3619610369205003E-2</v>
      </c>
      <c r="L852" s="6">
        <v>-0.71015012264251709</v>
      </c>
      <c r="M852" s="6">
        <v>-0.14307425916194902</v>
      </c>
      <c r="N852" s="6">
        <v>4.8936156977857035</v>
      </c>
      <c r="O852" s="6">
        <v>4.919327013465578</v>
      </c>
      <c r="P852" s="6">
        <v>4.9594289665257971</v>
      </c>
      <c r="Q852" s="6">
        <v>4.5132166627109669</v>
      </c>
      <c r="R852" s="6">
        <v>28.010515822089616</v>
      </c>
      <c r="S852" s="6">
        <v>23.782290735636376</v>
      </c>
      <c r="T852" s="6">
        <v>17.097217559814453</v>
      </c>
      <c r="U852" s="6">
        <f>_xll.BDP($A852,"TRAILING_12M_R&amp;D_%_SALES",$A$1,$A$2)</f>
        <v>3.2416800764943217</v>
      </c>
      <c r="V852" s="6">
        <v>35</v>
      </c>
      <c r="W852" s="6">
        <v>352030</v>
      </c>
      <c r="X852" s="6">
        <v>35203010</v>
      </c>
      <c r="Y852" s="7" t="s">
        <v>86</v>
      </c>
      <c r="Z852" s="7" t="s">
        <v>953</v>
      </c>
      <c r="AA852" s="7" t="s">
        <v>953</v>
      </c>
      <c r="AB852" s="6">
        <v>63.766220092773438</v>
      </c>
      <c r="AC852" s="6">
        <v>0.99395101319470303</v>
      </c>
      <c r="AD852" s="6">
        <v>-17.063066229827427</v>
      </c>
      <c r="AE852" s="6">
        <v>130000</v>
      </c>
      <c r="AF852" s="6">
        <v>55000</v>
      </c>
    </row>
    <row r="853" spans="1:32" s="4" customFormat="1" ht="12.75" x14ac:dyDescent="0.2">
      <c r="A853" s="7" t="s">
        <v>2733</v>
      </c>
      <c r="B853" s="7" t="s">
        <v>2734</v>
      </c>
      <c r="C853" s="7" t="s">
        <v>2735</v>
      </c>
      <c r="D853" s="6">
        <v>0.70192205905914307</v>
      </c>
      <c r="E853" s="6">
        <v>-0.92862379550933805</v>
      </c>
      <c r="F853" s="6">
        <v>-0.66480410099029508</v>
      </c>
      <c r="G853" s="6">
        <v>-0.52962797880172707</v>
      </c>
      <c r="H853" s="6">
        <v>1.012402415275574</v>
      </c>
      <c r="I853" s="6">
        <v>0.78844195604324308</v>
      </c>
      <c r="J853" s="6">
        <v>4.6338263899088003E-2</v>
      </c>
      <c r="K853" s="6">
        <v>0.37845519185066201</v>
      </c>
      <c r="L853" s="6">
        <v>-0.81727248430252109</v>
      </c>
      <c r="M853" s="6">
        <v>-0.58192437887191806</v>
      </c>
      <c r="N853" s="6">
        <v>2.1884572828343152</v>
      </c>
      <c r="O853" s="6">
        <v>2.1020958522767539</v>
      </c>
      <c r="P853" s="6">
        <v>2.494862780426113</v>
      </c>
      <c r="Q853" s="6">
        <v>2.5491947521572951</v>
      </c>
      <c r="R853" s="6">
        <v>23.838717972977314</v>
      </c>
      <c r="S853" s="6">
        <v>20.795005869691014</v>
      </c>
      <c r="T853" s="6">
        <v>2.2153749465942378</v>
      </c>
      <c r="U853" s="6">
        <f>_xll.BDP($A853,"TRAILING_12M_R&amp;D_%_SALES",$A$1,$A$2)</f>
        <v>0</v>
      </c>
      <c r="V853" s="6">
        <v>50</v>
      </c>
      <c r="W853" s="6">
        <v>501020</v>
      </c>
      <c r="X853" s="6">
        <v>50102010</v>
      </c>
      <c r="Y853" s="7" t="s">
        <v>367</v>
      </c>
      <c r="Z853" s="7" t="s">
        <v>1626</v>
      </c>
      <c r="AA853" s="7" t="s">
        <v>1626</v>
      </c>
      <c r="AB853" s="6">
        <v>66.864501953125</v>
      </c>
      <c r="AC853" s="6">
        <v>0.80166389402844207</v>
      </c>
      <c r="AD853" s="6">
        <v>20.161357336774934</v>
      </c>
      <c r="AE853" s="6">
        <v>75000</v>
      </c>
      <c r="AF853" s="6">
        <v>50000</v>
      </c>
    </row>
    <row r="854" spans="1:32" s="4" customFormat="1" ht="12.75" x14ac:dyDescent="0.2">
      <c r="A854" s="7" t="s">
        <v>2736</v>
      </c>
      <c r="B854" s="7" t="s">
        <v>2737</v>
      </c>
      <c r="C854" s="7" t="s">
        <v>2738</v>
      </c>
      <c r="D854" s="6">
        <v>-0.76685595512390103</v>
      </c>
      <c r="E854" s="6">
        <v>0.6447117924690251</v>
      </c>
      <c r="F854" s="6">
        <v>1.000028133392334</v>
      </c>
      <c r="G854" s="6">
        <v>0.21961785852909102</v>
      </c>
      <c r="H854" s="6">
        <v>-1.401592969894409</v>
      </c>
      <c r="I854" s="6">
        <v>-0.34343117475509605</v>
      </c>
      <c r="J854" s="6">
        <v>0.17439363896846802</v>
      </c>
      <c r="K854" s="6">
        <v>-4.9488294869661005E-2</v>
      </c>
      <c r="L854" s="6">
        <v>0.76555061340332009</v>
      </c>
      <c r="M854" s="6">
        <v>0.36794951558113104</v>
      </c>
      <c r="N854" s="6">
        <v>2.687341305896926</v>
      </c>
      <c r="O854" s="6">
        <v>3.1810670997879731</v>
      </c>
      <c r="P854" s="6">
        <v>4.0656585590315242</v>
      </c>
      <c r="Q854" s="6">
        <v>3.7066285459567871</v>
      </c>
      <c r="R854" s="6">
        <v>12.015315610735867</v>
      </c>
      <c r="S854" s="6">
        <v>17.282990893637134</v>
      </c>
      <c r="T854" s="6">
        <v>37.654148101806641</v>
      </c>
      <c r="U854" s="6">
        <f>_xll.BDP($A854,"TRAILING_12M_R&amp;D_%_SALES",$A$1,$A$2)</f>
        <v>10.144487163319861</v>
      </c>
      <c r="V854" s="6">
        <v>45</v>
      </c>
      <c r="W854" s="6">
        <v>453010</v>
      </c>
      <c r="X854" s="6">
        <v>45301010</v>
      </c>
      <c r="Y854" s="7" t="s">
        <v>66</v>
      </c>
      <c r="Z854" s="7" t="s">
        <v>163</v>
      </c>
      <c r="AA854" s="7" t="s">
        <v>278</v>
      </c>
      <c r="AB854" s="6">
        <v>62.166782379150391</v>
      </c>
      <c r="AC854" s="6">
        <v>0.81082974117903905</v>
      </c>
      <c r="AD854" s="6">
        <v>-47.864399304903607</v>
      </c>
      <c r="AE854" s="6">
        <v>15634</v>
      </c>
      <c r="AF854" s="6">
        <v>11241</v>
      </c>
    </row>
    <row r="855" spans="1:32" s="4" customFormat="1" ht="12.75" x14ac:dyDescent="0.2">
      <c r="A855" s="7" t="s">
        <v>2739</v>
      </c>
      <c r="B855" s="7" t="s">
        <v>2740</v>
      </c>
      <c r="C855" s="7" t="s">
        <v>2741</v>
      </c>
      <c r="D855" s="6">
        <v>-0.76685595512390103</v>
      </c>
      <c r="E855" s="6">
        <v>0.6447117924690251</v>
      </c>
      <c r="F855" s="6">
        <v>1.000028133392334</v>
      </c>
      <c r="G855" s="6">
        <v>0.21961785852909102</v>
      </c>
      <c r="H855" s="6">
        <v>-1.401592969894409</v>
      </c>
      <c r="I855" s="6">
        <v>-0.34343117475509605</v>
      </c>
      <c r="J855" s="6">
        <v>0.17439363896846802</v>
      </c>
      <c r="K855" s="6">
        <v>-4.9488294869661005E-2</v>
      </c>
      <c r="L855" s="6">
        <v>0.76555061340332009</v>
      </c>
      <c r="M855" s="6">
        <v>0.36794951558113104</v>
      </c>
      <c r="N855" s="6">
        <v>2.687341305896926</v>
      </c>
      <c r="O855" s="6"/>
      <c r="P855" s="6">
        <v>4.0656585590315242</v>
      </c>
      <c r="Q855" s="6"/>
      <c r="R855" s="6">
        <v>12.015315610735867</v>
      </c>
      <c r="S855" s="6"/>
      <c r="T855" s="6">
        <v>37.654148101806641</v>
      </c>
      <c r="U855" s="6">
        <f>_xll.BDP($A855,"TRAILING_12M_R&amp;D_%_SALES",$A$1,$A$2)</f>
        <v>10.144487163319861</v>
      </c>
      <c r="V855" s="6">
        <v>45</v>
      </c>
      <c r="W855" s="6">
        <v>453010</v>
      </c>
      <c r="X855" s="6">
        <v>45301010</v>
      </c>
      <c r="Y855" s="7" t="s">
        <v>66</v>
      </c>
      <c r="Z855" s="7" t="s">
        <v>163</v>
      </c>
      <c r="AA855" s="7" t="s">
        <v>278</v>
      </c>
      <c r="AB855" s="6">
        <v>62.166782379150391</v>
      </c>
      <c r="AC855" s="6">
        <v>1.1201867644614221</v>
      </c>
      <c r="AD855" s="6">
        <v>-47.876175876738159</v>
      </c>
      <c r="AE855" s="6">
        <v>15634</v>
      </c>
      <c r="AF855" s="6">
        <v>11241</v>
      </c>
    </row>
    <row r="856" spans="1:32" s="4" customFormat="1" ht="12.75" x14ac:dyDescent="0.2">
      <c r="A856" s="7" t="s">
        <v>2742</v>
      </c>
      <c r="B856" s="7" t="s">
        <v>2743</v>
      </c>
      <c r="C856" s="7" t="s">
        <v>2744</v>
      </c>
      <c r="D856" s="6">
        <v>-0.88932067155838002</v>
      </c>
      <c r="E856" s="6">
        <v>-0.44896590709686302</v>
      </c>
      <c r="F856" s="6">
        <v>-0.20143520832061801</v>
      </c>
      <c r="G856" s="6">
        <v>-0.51056152582168601</v>
      </c>
      <c r="H856" s="6">
        <v>-0.6723719239234921</v>
      </c>
      <c r="I856" s="6">
        <v>0.32346940040588401</v>
      </c>
      <c r="J856" s="6">
        <v>0.48517027497291604</v>
      </c>
      <c r="K856" s="6">
        <v>-2.6537561416625981</v>
      </c>
      <c r="L856" s="6">
        <v>0.52992445230484009</v>
      </c>
      <c r="M856" s="6">
        <v>1.1852389574050901</v>
      </c>
      <c r="N856" s="6">
        <v>0.58841227890832803</v>
      </c>
      <c r="O856" s="6">
        <v>0.60926518259012707</v>
      </c>
      <c r="P856" s="6">
        <v>1.5984629433580011</v>
      </c>
      <c r="Q856" s="6">
        <v>1.5788268704498849</v>
      </c>
      <c r="R856" s="6">
        <v>8.4544034554115388</v>
      </c>
      <c r="S856" s="6">
        <v>15.532518472837934</v>
      </c>
      <c r="T856" s="6">
        <v>20.560174942016602</v>
      </c>
      <c r="U856" s="6">
        <f>_xll.BDP($A856,"TRAILING_12M_R&amp;D_%_SALES",$A$1,$A$2)</f>
        <v>4.7326660541447705</v>
      </c>
      <c r="V856" s="6">
        <v>20</v>
      </c>
      <c r="W856" s="6">
        <v>201050</v>
      </c>
      <c r="X856" s="6">
        <v>20105010</v>
      </c>
      <c r="Y856" s="7" t="s">
        <v>43</v>
      </c>
      <c r="Z856" s="7" t="s">
        <v>1427</v>
      </c>
      <c r="AA856" s="7" t="s">
        <v>1427</v>
      </c>
      <c r="AB856" s="6">
        <v>62.780403137207031</v>
      </c>
      <c r="AC856" s="6">
        <v>0.34850281187644</v>
      </c>
      <c r="AD856" s="6">
        <v>-9.6888092343760164</v>
      </c>
      <c r="AE856" s="6">
        <v>116224</v>
      </c>
      <c r="AF856" s="6">
        <v>153492</v>
      </c>
    </row>
    <row r="857" spans="1:32" s="4" customFormat="1" ht="12.75" x14ac:dyDescent="0.2">
      <c r="A857" s="7" t="s">
        <v>2745</v>
      </c>
      <c r="B857" s="7" t="s">
        <v>2746</v>
      </c>
      <c r="C857" s="7" t="s">
        <v>2747</v>
      </c>
      <c r="D857" s="6">
        <v>-0.88932067155838002</v>
      </c>
      <c r="E857" s="6">
        <v>-0.44896590709686302</v>
      </c>
      <c r="F857" s="6">
        <v>-0.20143520832061801</v>
      </c>
      <c r="G857" s="6">
        <v>-0.51056152582168601</v>
      </c>
      <c r="H857" s="6">
        <v>-0.6723719239234921</v>
      </c>
      <c r="I857" s="6">
        <v>0.32346940040588401</v>
      </c>
      <c r="J857" s="6">
        <v>0.48517027497291604</v>
      </c>
      <c r="K857" s="6">
        <v>-2.6537561416625981</v>
      </c>
      <c r="L857" s="6">
        <v>0.52992445230484009</v>
      </c>
      <c r="M857" s="6">
        <v>1.1852389574050901</v>
      </c>
      <c r="N857" s="6">
        <v>0.58841227890832803</v>
      </c>
      <c r="O857" s="6"/>
      <c r="P857" s="6">
        <v>1.5984629433580011</v>
      </c>
      <c r="Q857" s="6"/>
      <c r="R857" s="6">
        <v>8.4544034554115388</v>
      </c>
      <c r="S857" s="6"/>
      <c r="T857" s="6">
        <v>20.560174942016602</v>
      </c>
      <c r="U857" s="6">
        <f>_xll.BDP($A857,"TRAILING_12M_R&amp;D_%_SALES",$A$1,$A$2)</f>
        <v>4.7326660541447705</v>
      </c>
      <c r="V857" s="6">
        <v>20</v>
      </c>
      <c r="W857" s="6">
        <v>201050</v>
      </c>
      <c r="X857" s="6">
        <v>20105010</v>
      </c>
      <c r="Y857" s="7" t="s">
        <v>43</v>
      </c>
      <c r="Z857" s="7" t="s">
        <v>1427</v>
      </c>
      <c r="AA857" s="7" t="s">
        <v>1427</v>
      </c>
      <c r="AB857" s="6">
        <v>62.780403137207031</v>
      </c>
      <c r="AC857" s="6">
        <v>0.56716296675281508</v>
      </c>
      <c r="AD857" s="6">
        <v>-11.037608268098831</v>
      </c>
      <c r="AE857" s="6">
        <v>116224</v>
      </c>
      <c r="AF857" s="6">
        <v>153492</v>
      </c>
    </row>
    <row r="858" spans="1:32" s="4" customFormat="1" ht="12.75" x14ac:dyDescent="0.2">
      <c r="A858" s="7" t="s">
        <v>2748</v>
      </c>
      <c r="B858" s="7" t="s">
        <v>2749</v>
      </c>
      <c r="C858" s="7" t="s">
        <v>2750</v>
      </c>
      <c r="D858" s="6">
        <v>1.2777925729751591</v>
      </c>
      <c r="E858" s="6">
        <v>-0.71522665023803711</v>
      </c>
      <c r="F858" s="6">
        <v>0.59831845760345503</v>
      </c>
      <c r="G858" s="6">
        <v>-0.98530715703964211</v>
      </c>
      <c r="H858" s="6">
        <v>0.40589156746864302</v>
      </c>
      <c r="I858" s="6">
        <v>0.21978005766868602</v>
      </c>
      <c r="J858" s="6">
        <v>0.87020808458328203</v>
      </c>
      <c r="K858" s="6">
        <v>-0.71009284257888805</v>
      </c>
      <c r="L858" s="6">
        <v>0.59614199399948109</v>
      </c>
      <c r="M858" s="6">
        <v>-0.82315832376480103</v>
      </c>
      <c r="N858" s="6">
        <v>0.74227446283147402</v>
      </c>
      <c r="O858" s="6">
        <v>0.76277277060599302</v>
      </c>
      <c r="P858" s="6">
        <v>0.88484310482673312</v>
      </c>
      <c r="Q858" s="6">
        <v>0.82109025214729203</v>
      </c>
      <c r="R858" s="6">
        <v>10.00055166196428</v>
      </c>
      <c r="S858" s="6">
        <v>8.3535237494513446</v>
      </c>
      <c r="T858" s="6">
        <v>9.4845972061157227</v>
      </c>
      <c r="U858" s="6">
        <f>_xll.BDP($A858,"TRAILING_12M_R&amp;D_%_SALES",$A$1,$A$2)</f>
        <v>2.7394191821144629</v>
      </c>
      <c r="V858" s="6">
        <v>25</v>
      </c>
      <c r="W858" s="6">
        <v>251020</v>
      </c>
      <c r="X858" s="6">
        <v>25102010</v>
      </c>
      <c r="Y858" s="7" t="s">
        <v>108</v>
      </c>
      <c r="Z858" s="7" t="s">
        <v>422</v>
      </c>
      <c r="AA858" s="7" t="s">
        <v>423</v>
      </c>
      <c r="AB858" s="6">
        <v>67.427825927734375</v>
      </c>
      <c r="AC858" s="6">
        <v>0.78627646824543407</v>
      </c>
      <c r="AD858" s="6">
        <v>-24.12384803033617</v>
      </c>
      <c r="AE858" s="6">
        <v>372817</v>
      </c>
      <c r="AF858" s="6">
        <v>364445</v>
      </c>
    </row>
    <row r="859" spans="1:32" s="4" customFormat="1" ht="12.75" x14ac:dyDescent="0.2">
      <c r="A859" s="7" t="s">
        <v>2751</v>
      </c>
      <c r="B859" s="7" t="s">
        <v>2752</v>
      </c>
      <c r="C859" s="7" t="s">
        <v>2753</v>
      </c>
      <c r="D859" s="6">
        <v>-0.98492616415023804</v>
      </c>
      <c r="E859" s="6">
        <v>-0.19679923355579401</v>
      </c>
      <c r="F859" s="6">
        <v>-0.41926628351211503</v>
      </c>
      <c r="G859" s="6">
        <v>0.14499372243881201</v>
      </c>
      <c r="H859" s="6">
        <v>1.584351658821106</v>
      </c>
      <c r="I859" s="6">
        <v>1.2329603433609011</v>
      </c>
      <c r="J859" s="6">
        <v>0.21043059229850802</v>
      </c>
      <c r="K859" s="6">
        <v>0.39305499196052601</v>
      </c>
      <c r="L859" s="6">
        <v>0.12662236392498</v>
      </c>
      <c r="M859" s="6">
        <v>0.48283669352531405</v>
      </c>
      <c r="N859" s="6">
        <v>0.76766274000636403</v>
      </c>
      <c r="O859" s="6">
        <v>0.65518970555771106</v>
      </c>
      <c r="P859" s="6">
        <v>6.9741905399911124</v>
      </c>
      <c r="Q859" s="6">
        <v>4.5660252959303733</v>
      </c>
      <c r="R859" s="6">
        <v>18.019347348169173</v>
      </c>
      <c r="S859" s="6">
        <v>12.368901807183406</v>
      </c>
      <c r="T859" s="6">
        <v>11.068181991577148</v>
      </c>
      <c r="U859" s="6" t="str">
        <f>_xll.BDP($A859,"TRAILING_12M_R&amp;D_%_SALES",$A$1,$A$2)</f>
        <v>#N/A N/A</v>
      </c>
      <c r="V859" s="6">
        <v>10</v>
      </c>
      <c r="W859" s="6">
        <v>101020</v>
      </c>
      <c r="X859" s="6">
        <v>10102040</v>
      </c>
      <c r="Y859" s="7" t="s">
        <v>505</v>
      </c>
      <c r="Z859" s="7" t="s">
        <v>556</v>
      </c>
      <c r="AA859" s="7" t="s">
        <v>1122</v>
      </c>
      <c r="AB859" s="6">
        <v>56.865505218505859</v>
      </c>
      <c r="AC859" s="6">
        <v>0.96724490380228212</v>
      </c>
      <c r="AD859" s="6">
        <v>45.744572054803797</v>
      </c>
      <c r="AE859" s="6">
        <v>2430</v>
      </c>
      <c r="AF859" s="6">
        <v>1970</v>
      </c>
    </row>
    <row r="860" spans="1:32" s="4" customFormat="1" ht="12.75" x14ac:dyDescent="0.2">
      <c r="A860" s="7" t="s">
        <v>2754</v>
      </c>
      <c r="B860" s="7" t="s">
        <v>2755</v>
      </c>
      <c r="C860" s="7" t="s">
        <v>2756</v>
      </c>
      <c r="D860" s="6">
        <v>-0.42327958345413202</v>
      </c>
      <c r="E860" s="6">
        <v>-0.55929404497146606</v>
      </c>
      <c r="F860" s="6">
        <v>-0.563360154628754</v>
      </c>
      <c r="G860" s="6">
        <v>-5.3303204476833004E-2</v>
      </c>
      <c r="H860" s="6">
        <v>1.2463982105255131</v>
      </c>
      <c r="I860" s="6">
        <v>0.27900043129921004</v>
      </c>
      <c r="J860" s="6">
        <v>0.33470460772514304</v>
      </c>
      <c r="K860" s="6">
        <v>-0.74401307106018111</v>
      </c>
      <c r="L860" s="6">
        <v>2.3905529975891109</v>
      </c>
      <c r="M860" s="6">
        <v>-0.97581338882446311</v>
      </c>
      <c r="N860" s="6">
        <v>3.6661658749649728</v>
      </c>
      <c r="O860" s="6">
        <v>3.5318737082232099</v>
      </c>
      <c r="P860" s="6">
        <v>1.6417550454511181</v>
      </c>
      <c r="Q860" s="6">
        <v>1.564005522375417</v>
      </c>
      <c r="R860" s="6">
        <v>12.276638420797925</v>
      </c>
      <c r="S860" s="6">
        <v>12.535905807649613</v>
      </c>
      <c r="T860" s="6">
        <v>10.311997413635254</v>
      </c>
      <c r="U860" s="6" t="str">
        <f>_xll.BDP($A860,"TRAILING_12M_R&amp;D_%_SALES",$A$1,$A$2)</f>
        <v>#N/A N/A</v>
      </c>
      <c r="V860" s="6">
        <v>10</v>
      </c>
      <c r="W860" s="6">
        <v>101020</v>
      </c>
      <c r="X860" s="6">
        <v>10102040</v>
      </c>
      <c r="Y860" s="7" t="s">
        <v>505</v>
      </c>
      <c r="Z860" s="7" t="s">
        <v>556</v>
      </c>
      <c r="AA860" s="7" t="s">
        <v>1122</v>
      </c>
      <c r="AB860" s="6">
        <v>74.952217102050781</v>
      </c>
      <c r="AC860" s="6">
        <v>0.71775646837144202</v>
      </c>
      <c r="AD860" s="6">
        <v>-8.5679454655421488</v>
      </c>
      <c r="AE860" s="6"/>
      <c r="AF860" s="6">
        <v>7165</v>
      </c>
    </row>
    <row r="861" spans="1:32" s="4" customFormat="1" ht="12.75" x14ac:dyDescent="0.2">
      <c r="A861" s="7" t="s">
        <v>2757</v>
      </c>
      <c r="B861" s="7" t="s">
        <v>2758</v>
      </c>
      <c r="C861" s="7" t="s">
        <v>2759</v>
      </c>
      <c r="D861" s="6">
        <v>-7.2793141007423012E-2</v>
      </c>
      <c r="E861" s="6">
        <v>-0.653342485427856</v>
      </c>
      <c r="F861" s="6">
        <v>-0.19855862855911302</v>
      </c>
      <c r="G861" s="6">
        <v>-0.24229165911674502</v>
      </c>
      <c r="H861" s="6">
        <v>-0.66674023866653409</v>
      </c>
      <c r="I861" s="6">
        <v>0.75325125455856301</v>
      </c>
      <c r="J861" s="6">
        <v>0.54903012514114402</v>
      </c>
      <c r="K861" s="6">
        <v>-0.55767351388931308</v>
      </c>
      <c r="L861" s="6">
        <v>0.14193214476108601</v>
      </c>
      <c r="M861" s="6">
        <v>-0.90398520231246904</v>
      </c>
      <c r="N861" s="6">
        <v>1.2386224540159709</v>
      </c>
      <c r="O861" s="6">
        <v>1.0974424434966621</v>
      </c>
      <c r="P861" s="6">
        <v>2.206817360144385</v>
      </c>
      <c r="Q861" s="6">
        <v>1.8912848549967691</v>
      </c>
      <c r="R861" s="6">
        <v>13.213786488359849</v>
      </c>
      <c r="S861" s="6">
        <v>12.676099354899479</v>
      </c>
      <c r="T861" s="6">
        <v>13.770153045654297</v>
      </c>
      <c r="U861" s="6" t="str">
        <f>_xll.BDP($A861,"TRAILING_12M_R&amp;D_%_SALES",$A$1,$A$2)</f>
        <v>#N/A N/A</v>
      </c>
      <c r="V861" s="6">
        <v>40</v>
      </c>
      <c r="W861" s="6">
        <v>403010</v>
      </c>
      <c r="X861" s="6">
        <v>40301040</v>
      </c>
      <c r="Y861" s="7" t="s">
        <v>53</v>
      </c>
      <c r="Z861" s="7" t="s">
        <v>54</v>
      </c>
      <c r="AA861" s="7" t="s">
        <v>125</v>
      </c>
      <c r="AB861" s="6">
        <v>54.833518981933594</v>
      </c>
      <c r="AC861" s="6">
        <v>0.62550916213408403</v>
      </c>
      <c r="AD861" s="6">
        <v>22.115721945329227</v>
      </c>
      <c r="AE861" s="6">
        <v>30184</v>
      </c>
      <c r="AF861" s="6">
        <v>30900</v>
      </c>
    </row>
    <row r="862" spans="1:32" s="4" customFormat="1" ht="12.75" x14ac:dyDescent="0.2">
      <c r="A862" s="7" t="s">
        <v>2760</v>
      </c>
      <c r="B862" s="7" t="s">
        <v>2761</v>
      </c>
      <c r="C862" s="7" t="s">
        <v>2762</v>
      </c>
      <c r="D862" s="6">
        <v>-0.35246676206588701</v>
      </c>
      <c r="E862" s="6">
        <v>-0.96679615974426303</v>
      </c>
      <c r="F862" s="6">
        <v>0.64175540208816506</v>
      </c>
      <c r="G862" s="6">
        <v>-0.88615918159484908</v>
      </c>
      <c r="H862" s="6">
        <v>0.6512315273284911</v>
      </c>
      <c r="I862" s="6">
        <v>-0.30253928899765004</v>
      </c>
      <c r="J862" s="6">
        <v>1.051182627677917</v>
      </c>
      <c r="K862" s="6">
        <v>-0.95566153526306208</v>
      </c>
      <c r="L862" s="6">
        <v>1.689591765403748</v>
      </c>
      <c r="M862" s="6">
        <v>-0.41811498999595603</v>
      </c>
      <c r="N862" s="6">
        <v>0.26738126398873702</v>
      </c>
      <c r="O862" s="6">
        <v>0.24832195416652103</v>
      </c>
      <c r="P862" s="6">
        <v>1.225624806248431</v>
      </c>
      <c r="Q862" s="6">
        <v>1.065370296922175</v>
      </c>
      <c r="R862" s="6">
        <v>17.899912551508564</v>
      </c>
      <c r="S862" s="6">
        <v>10.585244335682891</v>
      </c>
      <c r="T862" s="6">
        <v>7.1183152198791504</v>
      </c>
      <c r="U862" s="6">
        <f>_xll.BDP($A862,"TRAILING_12M_R&amp;D_%_SALES",$A$1,$A$2)</f>
        <v>0</v>
      </c>
      <c r="V862" s="6">
        <v>30</v>
      </c>
      <c r="W862" s="6">
        <v>301010</v>
      </c>
      <c r="X862" s="6">
        <v>30101030</v>
      </c>
      <c r="Y862" s="7" t="s">
        <v>91</v>
      </c>
      <c r="Z862" s="7" t="s">
        <v>133</v>
      </c>
      <c r="AA862" s="7" t="s">
        <v>134</v>
      </c>
      <c r="AB862" s="6">
        <v>55.095062255859375</v>
      </c>
      <c r="AC862" s="6">
        <v>0.60365889103916204</v>
      </c>
      <c r="AD862" s="6">
        <v>-27.9043502856834</v>
      </c>
      <c r="AE862" s="6">
        <v>231223</v>
      </c>
      <c r="AF862" s="6">
        <v>464520</v>
      </c>
    </row>
    <row r="863" spans="1:32" s="4" customFormat="1" ht="12.75" x14ac:dyDescent="0.2">
      <c r="A863" s="7" t="s">
        <v>2763</v>
      </c>
      <c r="B863" s="7" t="s">
        <v>2764</v>
      </c>
      <c r="C863" s="7" t="s">
        <v>2765</v>
      </c>
      <c r="D863" s="6">
        <v>-0.35246676206588701</v>
      </c>
      <c r="E863" s="6">
        <v>-0.96679615974426303</v>
      </c>
      <c r="F863" s="6">
        <v>0.64175540208816506</v>
      </c>
      <c r="G863" s="6">
        <v>-0.88615918159484908</v>
      </c>
      <c r="H863" s="6">
        <v>0.6512315273284911</v>
      </c>
      <c r="I863" s="6">
        <v>-0.30253928899765004</v>
      </c>
      <c r="J863" s="6">
        <v>1.051182627677917</v>
      </c>
      <c r="K863" s="6">
        <v>-0.95566153526306208</v>
      </c>
      <c r="L863" s="6">
        <v>1.689591765403748</v>
      </c>
      <c r="M863" s="6">
        <v>-0.41811498999595603</v>
      </c>
      <c r="N863" s="6">
        <v>0.26738126398873702</v>
      </c>
      <c r="O863" s="6">
        <v>0.24793928687736602</v>
      </c>
      <c r="P863" s="6">
        <v>1.225624806248431</v>
      </c>
      <c r="Q863" s="6">
        <v>1.0633985448412651</v>
      </c>
      <c r="R863" s="6">
        <v>17.899912551508564</v>
      </c>
      <c r="S863" s="6">
        <v>10.565639710510697</v>
      </c>
      <c r="T863" s="6">
        <v>7.1183152198791504</v>
      </c>
      <c r="U863" s="6">
        <f>_xll.BDP($A863,"TRAILING_12M_R&amp;D_%_SALES",$A$1,$A$2)</f>
        <v>0</v>
      </c>
      <c r="V863" s="6">
        <v>30</v>
      </c>
      <c r="W863" s="6">
        <v>301010</v>
      </c>
      <c r="X863" s="6">
        <v>30101030</v>
      </c>
      <c r="Y863" s="7" t="s">
        <v>91</v>
      </c>
      <c r="Z863" s="7" t="s">
        <v>133</v>
      </c>
      <c r="AA863" s="7" t="s">
        <v>134</v>
      </c>
      <c r="AB863" s="6">
        <v>55.095062255859375</v>
      </c>
      <c r="AC863" s="6">
        <v>0.723878296988403</v>
      </c>
      <c r="AD863" s="6">
        <v>-28.806834218488842</v>
      </c>
      <c r="AE863" s="6">
        <v>231223</v>
      </c>
      <c r="AF863" s="6">
        <v>464520</v>
      </c>
    </row>
    <row r="864" spans="1:32" s="4" customFormat="1" ht="12.75" x14ac:dyDescent="0.2">
      <c r="A864" s="7" t="s">
        <v>2766</v>
      </c>
      <c r="B864" s="7" t="s">
        <v>2767</v>
      </c>
      <c r="C864" s="7" t="s">
        <v>2768</v>
      </c>
      <c r="D864" s="6">
        <v>0.629097700119019</v>
      </c>
      <c r="E864" s="6">
        <v>-3.1034871935844002E-2</v>
      </c>
      <c r="F864" s="6">
        <v>-0.49724653363227805</v>
      </c>
      <c r="G864" s="6">
        <v>3.0002627372741699</v>
      </c>
      <c r="H864" s="6">
        <v>-1.1711409091949461</v>
      </c>
      <c r="I864" s="6">
        <v>-1.5502171516418461</v>
      </c>
      <c r="J864" s="6">
        <v>-0.33309456706047103</v>
      </c>
      <c r="K864" s="6">
        <v>3.0000851154327388</v>
      </c>
      <c r="L864" s="6">
        <v>-0.81727248430252109</v>
      </c>
      <c r="M864" s="6">
        <v>2.2459759712219238</v>
      </c>
      <c r="N864" s="6">
        <v>5.1052320552832722</v>
      </c>
      <c r="O864" s="6">
        <v>3.4669048597769181</v>
      </c>
      <c r="P864" s="6">
        <v>9.7614217966426509</v>
      </c>
      <c r="Q864" s="6">
        <v>6.7465562438372233</v>
      </c>
      <c r="R864" s="6">
        <v>37.680764573554299</v>
      </c>
      <c r="S864" s="6">
        <v>23.202522237356447</v>
      </c>
      <c r="T864" s="6">
        <v>33.450916290283203</v>
      </c>
      <c r="U864" s="6">
        <f>_xll.BDP($A864,"TRAILING_12M_R&amp;D_%_SALES",$A$1,$A$2)</f>
        <v>4.6473538745009719</v>
      </c>
      <c r="V864" s="6">
        <v>25</v>
      </c>
      <c r="W864" s="6">
        <v>251020</v>
      </c>
      <c r="X864" s="6">
        <v>25102010</v>
      </c>
      <c r="Y864" s="7" t="s">
        <v>108</v>
      </c>
      <c r="Z864" s="7" t="s">
        <v>422</v>
      </c>
      <c r="AA864" s="7" t="s">
        <v>423</v>
      </c>
      <c r="AB864" s="6">
        <v>54.360729217529297</v>
      </c>
      <c r="AC864" s="6">
        <v>1.5016454670441979</v>
      </c>
      <c r="AD864" s="6">
        <v>-65.474521910805151</v>
      </c>
      <c r="AE864" s="6">
        <v>99290</v>
      </c>
      <c r="AF864" s="6">
        <v>17782</v>
      </c>
    </row>
    <row r="865" spans="1:32" s="4" customFormat="1" ht="12.75" x14ac:dyDescent="0.2">
      <c r="A865" s="7" t="s">
        <v>2769</v>
      </c>
      <c r="B865" s="7" t="s">
        <v>2770</v>
      </c>
      <c r="C865" s="7" t="s">
        <v>2771</v>
      </c>
      <c r="D865" s="6">
        <v>-0.52670711278915405</v>
      </c>
      <c r="E865" s="6">
        <v>-0.48323142528533902</v>
      </c>
      <c r="F865" s="6">
        <v>-0.27049747109413103</v>
      </c>
      <c r="G865" s="6">
        <v>0.20501740276813502</v>
      </c>
      <c r="H865" s="6">
        <v>-0.102604538202286</v>
      </c>
      <c r="I865" s="6">
        <v>-0.43174403905868503</v>
      </c>
      <c r="J865" s="6">
        <v>1.2653849124908449</v>
      </c>
      <c r="K865" s="6">
        <v>-0.29240357875824002</v>
      </c>
      <c r="L865" s="6">
        <v>0.70484137535095204</v>
      </c>
      <c r="M865" s="6">
        <v>-0.43991175293922402</v>
      </c>
      <c r="N865" s="6">
        <v>0.37569415856398203</v>
      </c>
      <c r="O865" s="6">
        <v>0.40272156417123706</v>
      </c>
      <c r="P865" s="6">
        <v>1.13744794134956</v>
      </c>
      <c r="Q865" s="6">
        <v>1.0473048066297961</v>
      </c>
      <c r="R865" s="6">
        <v>7.1380788501427856</v>
      </c>
      <c r="S865" s="6">
        <v>9.444741834262901</v>
      </c>
      <c r="T865" s="6">
        <v>17.30394172668457</v>
      </c>
      <c r="U865" s="6" t="str">
        <f>_xll.BDP($A865,"TRAILING_12M_R&amp;D_%_SALES",$A$1,$A$2)</f>
        <v>#N/A N/A</v>
      </c>
      <c r="V865" s="6">
        <v>30</v>
      </c>
      <c r="W865" s="6">
        <v>302020</v>
      </c>
      <c r="X865" s="6">
        <v>30202030</v>
      </c>
      <c r="Y865" s="7" t="s">
        <v>91</v>
      </c>
      <c r="Z865" s="7" t="s">
        <v>168</v>
      </c>
      <c r="AA865" s="7" t="s">
        <v>906</v>
      </c>
      <c r="AB865" s="6">
        <v>69.00714111328125</v>
      </c>
      <c r="AC865" s="6">
        <v>0.68950661103851207</v>
      </c>
      <c r="AD865" s="6">
        <v>-26.179274943484732</v>
      </c>
      <c r="AE865" s="6">
        <v>142000</v>
      </c>
      <c r="AF865" s="6">
        <v>122000</v>
      </c>
    </row>
    <row r="866" spans="1:32" s="4" customFormat="1" ht="12.75" x14ac:dyDescent="0.2">
      <c r="A866" s="7" t="s">
        <v>2772</v>
      </c>
      <c r="B866" s="7" t="s">
        <v>2773</v>
      </c>
      <c r="C866" s="7" t="s">
        <v>2774</v>
      </c>
      <c r="D866" s="6">
        <v>-0.80599987506866511</v>
      </c>
      <c r="E866" s="6">
        <v>0.156790211796761</v>
      </c>
      <c r="F866" s="6">
        <v>0.18630327284336101</v>
      </c>
      <c r="G866" s="6">
        <v>-0.19946289062500003</v>
      </c>
      <c r="H866" s="6">
        <v>-0.33150464296340904</v>
      </c>
      <c r="I866" s="6">
        <v>-7.250951975584001E-2</v>
      </c>
      <c r="J866" s="6">
        <v>-0.23617359995842002</v>
      </c>
      <c r="K866" s="6">
        <v>-0.94325095415115412</v>
      </c>
      <c r="L866" s="6">
        <v>-4.0564779192209001E-2</v>
      </c>
      <c r="M866" s="6">
        <v>-0.59895902872085605</v>
      </c>
      <c r="N866" s="6">
        <v>2.5503949654456513</v>
      </c>
      <c r="O866" s="6">
        <v>2.3577072333799012</v>
      </c>
      <c r="P866" s="6">
        <v>6.607910996713124</v>
      </c>
      <c r="Q866" s="6">
        <v>6.2310739633413821</v>
      </c>
      <c r="R866" s="6">
        <v>24.099722772388237</v>
      </c>
      <c r="S866" s="6">
        <v>21.351107247440559</v>
      </c>
      <c r="T866" s="6">
        <v>26.516613006591797</v>
      </c>
      <c r="U866" s="6" t="str">
        <f>_xll.BDP($A866,"TRAILING_12M_R&amp;D_%_SALES",$A$1,$A$2)</f>
        <v>#N/A N/A</v>
      </c>
      <c r="V866" s="6">
        <v>20</v>
      </c>
      <c r="W866" s="6">
        <v>201020</v>
      </c>
      <c r="X866" s="6">
        <v>20102010</v>
      </c>
      <c r="Y866" s="7" t="s">
        <v>43</v>
      </c>
      <c r="Z866" s="7" t="s">
        <v>626</v>
      </c>
      <c r="AA866" s="7" t="s">
        <v>626</v>
      </c>
      <c r="AB866" s="6">
        <v>74.821449279785156</v>
      </c>
      <c r="AC866" s="6">
        <v>0.98893988440482905</v>
      </c>
      <c r="AD866" s="6">
        <v>-14.852597885789532</v>
      </c>
      <c r="AE866" s="6">
        <v>37000</v>
      </c>
      <c r="AF866" s="6">
        <v>45000</v>
      </c>
    </row>
    <row r="867" spans="1:32" s="4" customFormat="1" ht="12.75" x14ac:dyDescent="0.2">
      <c r="A867" s="7" t="s">
        <v>2775</v>
      </c>
      <c r="B867" s="7" t="s">
        <v>2776</v>
      </c>
      <c r="C867" s="7" t="s">
        <v>2777</v>
      </c>
      <c r="D867" s="6">
        <v>1.0660016536712651</v>
      </c>
      <c r="E867" s="6">
        <v>-0.47398376464843806</v>
      </c>
      <c r="F867" s="6">
        <v>-0.21735748648643502</v>
      </c>
      <c r="G867" s="6">
        <v>-0.80515980720520008</v>
      </c>
      <c r="H867" s="6">
        <v>-0.40113374590873702</v>
      </c>
      <c r="I867" s="6">
        <v>1.1514953374862671</v>
      </c>
      <c r="J867" s="6">
        <v>2.1285006999969482</v>
      </c>
      <c r="K867" s="6">
        <v>-0.97318178415298506</v>
      </c>
      <c r="L867" s="6">
        <v>1.413329005241394</v>
      </c>
      <c r="M867" s="6">
        <v>-4.5010156929493006E-2</v>
      </c>
      <c r="N867" s="6">
        <v>0.64655046845383501</v>
      </c>
      <c r="O867" s="6">
        <v>0.57718025989544008</v>
      </c>
      <c r="P867" s="6">
        <v>1.3964731440003411</v>
      </c>
      <c r="Q867" s="6">
        <v>1.090419719436879</v>
      </c>
      <c r="R867" s="6">
        <v>7.1631832951387953</v>
      </c>
      <c r="S867" s="6">
        <v>5.2890981606488516</v>
      </c>
      <c r="T867" s="6">
        <v>20.276777267456055</v>
      </c>
      <c r="U867" s="6" t="str">
        <f>_xll.BDP($A867,"TRAILING_12M_R&amp;D_%_SALES",$A$1,$A$2)</f>
        <v>#N/A N/A</v>
      </c>
      <c r="V867" s="6">
        <v>10</v>
      </c>
      <c r="W867" s="6">
        <v>101020</v>
      </c>
      <c r="X867" s="6">
        <v>10102010</v>
      </c>
      <c r="Y867" s="7" t="s">
        <v>505</v>
      </c>
      <c r="Z867" s="7" t="s">
        <v>556</v>
      </c>
      <c r="AA867" s="7" t="s">
        <v>557</v>
      </c>
      <c r="AB867" s="6">
        <v>71.411323547363281</v>
      </c>
      <c r="AC867" s="6">
        <v>0.75706593175573711</v>
      </c>
      <c r="AD867" s="6">
        <v>33.252107511218696</v>
      </c>
      <c r="AE867" s="6">
        <v>101309</v>
      </c>
      <c r="AF867" s="6">
        <v>102168</v>
      </c>
    </row>
    <row r="868" spans="1:32" s="4" customFormat="1" ht="12.75" x14ac:dyDescent="0.2">
      <c r="A868" s="7" t="s">
        <v>2778</v>
      </c>
      <c r="B868" s="7" t="s">
        <v>2779</v>
      </c>
      <c r="C868" s="7" t="s">
        <v>2780</v>
      </c>
      <c r="D868" s="6">
        <v>1.0660016536712651</v>
      </c>
      <c r="E868" s="6">
        <v>-0.47398376464843806</v>
      </c>
      <c r="F868" s="6">
        <v>-0.21735748648643502</v>
      </c>
      <c r="G868" s="6">
        <v>-0.80515980720520008</v>
      </c>
      <c r="H868" s="6">
        <v>-0.40113374590873702</v>
      </c>
      <c r="I868" s="6">
        <v>1.1514953374862671</v>
      </c>
      <c r="J868" s="6">
        <v>2.1285006999969482</v>
      </c>
      <c r="K868" s="6">
        <v>-0.97318178415298506</v>
      </c>
      <c r="L868" s="6">
        <v>1.413329005241394</v>
      </c>
      <c r="M868" s="6">
        <v>-4.5010156929493006E-2</v>
      </c>
      <c r="N868" s="6">
        <v>0.64655046845383501</v>
      </c>
      <c r="O868" s="6">
        <v>0.59382255248001703</v>
      </c>
      <c r="P868" s="6">
        <v>1.3964731440003411</v>
      </c>
      <c r="Q868" s="6">
        <v>1.1218605712234451</v>
      </c>
      <c r="R868" s="6">
        <v>7.1631832951387953</v>
      </c>
      <c r="S868" s="6">
        <v>5.4416025113950397</v>
      </c>
      <c r="T868" s="6">
        <v>20.276777267456055</v>
      </c>
      <c r="U868" s="6" t="str">
        <f>_xll.BDP($A868,"TRAILING_12M_R&amp;D_%_SALES",$A$1,$A$2)</f>
        <v>#N/A N/A</v>
      </c>
      <c r="V868" s="6">
        <v>10</v>
      </c>
      <c r="W868" s="6">
        <v>101020</v>
      </c>
      <c r="X868" s="6">
        <v>10102010</v>
      </c>
      <c r="Y868" s="7" t="s">
        <v>505</v>
      </c>
      <c r="Z868" s="7" t="s">
        <v>556</v>
      </c>
      <c r="AA868" s="7" t="s">
        <v>557</v>
      </c>
      <c r="AB868" s="6">
        <v>71.411323547363281</v>
      </c>
      <c r="AC868" s="6">
        <v>0.69774393811177005</v>
      </c>
      <c r="AD868" s="6">
        <v>33.798501678150217</v>
      </c>
      <c r="AE868" s="6">
        <v>101309</v>
      </c>
      <c r="AF868" s="6">
        <v>102168</v>
      </c>
    </row>
    <row r="869" spans="1:32" s="4" customFormat="1" ht="12.75" x14ac:dyDescent="0.2">
      <c r="A869" s="7" t="s">
        <v>2781</v>
      </c>
      <c r="B869" s="7" t="s">
        <v>2782</v>
      </c>
      <c r="C869" s="7" t="s">
        <v>2783</v>
      </c>
      <c r="D869" s="6">
        <v>-0.65940523147583008</v>
      </c>
      <c r="E869" s="6">
        <v>-1.6716674566268921</v>
      </c>
      <c r="F869" s="6">
        <v>-2.0383529663085942</v>
      </c>
      <c r="G869" s="6">
        <v>0.17222182452678703</v>
      </c>
      <c r="H869" s="6">
        <v>1.044360756874084</v>
      </c>
      <c r="I869" s="6">
        <v>-0.38731959462165805</v>
      </c>
      <c r="J869" s="6">
        <v>-0.20259436964988703</v>
      </c>
      <c r="K869" s="6">
        <v>0.117070570588112</v>
      </c>
      <c r="L869" s="6">
        <v>-0.81727248430252109</v>
      </c>
      <c r="M869" s="6">
        <v>-0.28386524319648704</v>
      </c>
      <c r="N869" s="6">
        <v>0.53969251439855503</v>
      </c>
      <c r="O869" s="6">
        <v>0.37302886687190101</v>
      </c>
      <c r="P869" s="6">
        <v>3.3343016586138639</v>
      </c>
      <c r="Q869" s="6">
        <v>2.925356737619516</v>
      </c>
      <c r="R869" s="6"/>
      <c r="S869" s="6">
        <v>18.058973330545676</v>
      </c>
      <c r="T869" s="6">
        <v>-22.926969528198242</v>
      </c>
      <c r="U869" s="6">
        <f>_xll.BDP($A869,"TRAILING_12M_R&amp;D_%_SALES",$A$1,$A$2)</f>
        <v>2.502403535633285</v>
      </c>
      <c r="V869" s="6">
        <v>25</v>
      </c>
      <c r="W869" s="6">
        <v>251020</v>
      </c>
      <c r="X869" s="6">
        <v>25102010</v>
      </c>
      <c r="Y869" s="7" t="s">
        <v>108</v>
      </c>
      <c r="Z869" s="7" t="s">
        <v>422</v>
      </c>
      <c r="AA869" s="7" t="s">
        <v>423</v>
      </c>
      <c r="AB869" s="6"/>
      <c r="AC869" s="6">
        <v>1.0124978361454311</v>
      </c>
      <c r="AD869" s="6">
        <v>-26.23683157794958</v>
      </c>
      <c r="AE869" s="6">
        <v>25585</v>
      </c>
      <c r="AF869" s="6">
        <v>79558</v>
      </c>
    </row>
    <row r="870" spans="1:32" s="4" customFormat="1" ht="12.75" x14ac:dyDescent="0.2">
      <c r="A870" s="7" t="s">
        <v>2784</v>
      </c>
      <c r="B870" s="7" t="s">
        <v>2725</v>
      </c>
      <c r="C870" s="7" t="s">
        <v>2785</v>
      </c>
      <c r="D870" s="6">
        <v>-0.74026554822921808</v>
      </c>
      <c r="E870" s="6">
        <v>-0.61491650342941306</v>
      </c>
      <c r="F870" s="6">
        <v>-1.63080894947052</v>
      </c>
      <c r="G870" s="6">
        <v>-0.78250735998153709</v>
      </c>
      <c r="H870" s="6">
        <v>0.20327806472778301</v>
      </c>
      <c r="I870" s="6">
        <v>0.26262900233268704</v>
      </c>
      <c r="J870" s="6">
        <v>0.30003616213798501</v>
      </c>
      <c r="K870" s="6">
        <v>-1.2756505012512211</v>
      </c>
      <c r="L870" s="6">
        <v>0.81583881378173806</v>
      </c>
      <c r="M870" s="6">
        <v>-0.56646668910980202</v>
      </c>
      <c r="N870" s="6">
        <v>2.204102052145557</v>
      </c>
      <c r="O870" s="6">
        <v>1.9499399411329361</v>
      </c>
      <c r="P870" s="6">
        <v>3.0035931253927171</v>
      </c>
      <c r="Q870" s="6">
        <v>3.0331431174278869</v>
      </c>
      <c r="R870" s="6">
        <v>27.753819469511228</v>
      </c>
      <c r="S870" s="6">
        <v>22.790081786464214</v>
      </c>
      <c r="T870" s="6">
        <v>11.27701473236084</v>
      </c>
      <c r="U870" s="6">
        <f>_xll.BDP($A870,"TRAILING_12M_R&amp;D_%_SALES",$A$1,$A$2)</f>
        <v>0</v>
      </c>
      <c r="V870" s="6">
        <v>50</v>
      </c>
      <c r="W870" s="6">
        <v>501010</v>
      </c>
      <c r="X870" s="6">
        <v>50101020</v>
      </c>
      <c r="Y870" s="7" t="s">
        <v>367</v>
      </c>
      <c r="Z870" s="7" t="s">
        <v>458</v>
      </c>
      <c r="AA870" s="7" t="s">
        <v>459</v>
      </c>
      <c r="AB870" s="6">
        <v>72.024948120117188</v>
      </c>
      <c r="AC870" s="6">
        <v>0.34640146506321501</v>
      </c>
      <c r="AD870" s="6">
        <v>-8.1355934121149165</v>
      </c>
      <c r="AE870" s="6">
        <v>28889</v>
      </c>
      <c r="AF870" s="6">
        <v>32293</v>
      </c>
    </row>
    <row r="871" spans="1:32" s="4" customFormat="1" ht="12.75" x14ac:dyDescent="0.2">
      <c r="A871" s="7" t="s">
        <v>2786</v>
      </c>
      <c r="B871" s="7" t="s">
        <v>2787</v>
      </c>
      <c r="C871" s="7" t="s">
        <v>2788</v>
      </c>
      <c r="D871" s="6">
        <v>-0.71255391836166404</v>
      </c>
      <c r="E871" s="6">
        <v>-0.53373682498931907</v>
      </c>
      <c r="F871" s="6">
        <v>-1.06820285320282</v>
      </c>
      <c r="G871" s="6">
        <v>-0.62459981441497803</v>
      </c>
      <c r="H871" s="6">
        <v>0.88498735427856412</v>
      </c>
      <c r="I871" s="6">
        <v>0.13167954981327101</v>
      </c>
      <c r="J871" s="6">
        <v>0.32617023587226901</v>
      </c>
      <c r="K871" s="6">
        <v>-0.20479552447795901</v>
      </c>
      <c r="L871" s="6">
        <v>1.7889508008956909</v>
      </c>
      <c r="M871" s="6">
        <v>-0.86492687463760409</v>
      </c>
      <c r="N871" s="6">
        <v>1.9793435698147921</v>
      </c>
      <c r="O871" s="6">
        <v>1.839793938810333</v>
      </c>
      <c r="P871" s="6">
        <v>2.211239537600076</v>
      </c>
      <c r="Q871" s="6">
        <v>2.212388524929175</v>
      </c>
      <c r="R871" s="6">
        <v>19.270337076006847</v>
      </c>
      <c r="S871" s="6">
        <v>18.81817063668748</v>
      </c>
      <c r="T871" s="6">
        <v>12.650185585021973</v>
      </c>
      <c r="U871" s="6">
        <f>_xll.BDP($A871,"TRAILING_12M_R&amp;D_%_SALES",$A$1,$A$2)</f>
        <v>0</v>
      </c>
      <c r="V871" s="6">
        <v>50</v>
      </c>
      <c r="W871" s="6">
        <v>501010</v>
      </c>
      <c r="X871" s="6">
        <v>50101020</v>
      </c>
      <c r="Y871" s="7" t="s">
        <v>367</v>
      </c>
      <c r="Z871" s="7" t="s">
        <v>458</v>
      </c>
      <c r="AA871" s="7" t="s">
        <v>459</v>
      </c>
      <c r="AB871" s="6">
        <v>67.015388488769531</v>
      </c>
      <c r="AC871" s="6">
        <v>0.71881129830675305</v>
      </c>
      <c r="AD871" s="6">
        <v>-13.617060816518356</v>
      </c>
      <c r="AE871" s="6">
        <v>90800</v>
      </c>
      <c r="AF871" s="6">
        <v>50500</v>
      </c>
    </row>
    <row r="872" spans="1:32" s="4" customFormat="1" ht="12.75" x14ac:dyDescent="0.2">
      <c r="A872" s="7" t="s">
        <v>2789</v>
      </c>
      <c r="B872" s="7" t="s">
        <v>2790</v>
      </c>
      <c r="C872" s="7" t="s">
        <v>2791</v>
      </c>
      <c r="D872" s="6">
        <v>0</v>
      </c>
      <c r="E872" s="6">
        <v>0</v>
      </c>
      <c r="F872" s="6">
        <v>0</v>
      </c>
      <c r="G872" s="6">
        <v>0</v>
      </c>
      <c r="H872" s="6">
        <v>0</v>
      </c>
      <c r="I872" s="6">
        <v>0</v>
      </c>
      <c r="J872" s="6">
        <v>0</v>
      </c>
      <c r="K872" s="6">
        <v>0</v>
      </c>
      <c r="L872" s="6">
        <v>0</v>
      </c>
      <c r="M872" s="6">
        <v>0</v>
      </c>
      <c r="N872" s="6"/>
      <c r="O872" s="6"/>
      <c r="P872" s="6"/>
      <c r="Q872" s="6"/>
      <c r="R872" s="6"/>
      <c r="S872" s="6"/>
      <c r="T872" s="6"/>
      <c r="U872" s="6" t="str">
        <f>_xll.BDP($A872,"TRAILING_12M_R&amp;D_%_SALES",$A$1,$A$2)</f>
        <v>#N/A Field Not Applicable</v>
      </c>
      <c r="V872" s="6"/>
      <c r="W872" s="6"/>
      <c r="X872" s="6"/>
      <c r="Y872" s="7" t="s">
        <v>1202</v>
      </c>
      <c r="Z872" s="7" t="s">
        <v>1202</v>
      </c>
      <c r="AA872" s="7" t="s">
        <v>1202</v>
      </c>
      <c r="AB872" s="6"/>
      <c r="AC872" s="6">
        <v>-0.9372277130744201</v>
      </c>
      <c r="AD872" s="6">
        <v>-80.124224223342239</v>
      </c>
      <c r="AE872" s="6"/>
      <c r="AF872" s="6"/>
    </row>
    <row r="873" spans="1:32" s="4" customFormat="1" ht="12.75" x14ac:dyDescent="0.2">
      <c r="A873" s="7" t="s">
        <v>2792</v>
      </c>
      <c r="B873" s="7" t="s">
        <v>2793</v>
      </c>
      <c r="C873" s="7" t="s">
        <v>2794</v>
      </c>
      <c r="D873" s="6">
        <v>-0.21850039064884202</v>
      </c>
      <c r="E873" s="6">
        <v>1.322465777397156</v>
      </c>
      <c r="F873" s="6">
        <v>-0.68495512008667003</v>
      </c>
      <c r="G873" s="6">
        <v>-0.16291064023971602</v>
      </c>
      <c r="H873" s="6">
        <v>-0.36262157559394803</v>
      </c>
      <c r="I873" s="6">
        <v>-9.128320962191001E-3</v>
      </c>
      <c r="J873" s="6">
        <v>-0.16409550607204401</v>
      </c>
      <c r="K873" s="6">
        <v>-0.173769846558571</v>
      </c>
      <c r="L873" s="6">
        <v>0.67541867494583108</v>
      </c>
      <c r="M873" s="6">
        <v>0.61450809240341209</v>
      </c>
      <c r="N873" s="6">
        <v>7.5273599887380094</v>
      </c>
      <c r="O873" s="6">
        <v>8.1641090965046921</v>
      </c>
      <c r="P873" s="6">
        <v>10.363976144021244</v>
      </c>
      <c r="Q873" s="6">
        <v>9.4838924959012338</v>
      </c>
      <c r="R873" s="6">
        <v>17.096196675943741</v>
      </c>
      <c r="S873" s="6">
        <v>20.550563217190476</v>
      </c>
      <c r="T873" s="6">
        <v>66.666664123535156</v>
      </c>
      <c r="U873" s="6">
        <f>_xll.BDP($A873,"TRAILING_12M_R&amp;D_%_SALES",$A$1,$A$2)</f>
        <v>12.524774630778083</v>
      </c>
      <c r="V873" s="6">
        <v>45</v>
      </c>
      <c r="W873" s="6">
        <v>453010</v>
      </c>
      <c r="X873" s="6">
        <v>45301020</v>
      </c>
      <c r="Y873" s="7" t="s">
        <v>66</v>
      </c>
      <c r="Z873" s="7" t="s">
        <v>163</v>
      </c>
      <c r="AA873" s="7" t="s">
        <v>164</v>
      </c>
      <c r="AB873" s="6">
        <v>71.974647521972656</v>
      </c>
      <c r="AC873" s="6">
        <v>1.053224018324036</v>
      </c>
      <c r="AD873" s="6">
        <v>-10.350534173925396</v>
      </c>
      <c r="AE873" s="6">
        <v>31000</v>
      </c>
      <c r="AF873" s="6">
        <v>29865</v>
      </c>
    </row>
    <row r="874" spans="1:32" s="4" customFormat="1" ht="12.75" x14ac:dyDescent="0.2">
      <c r="A874" s="7" t="s">
        <v>2795</v>
      </c>
      <c r="B874" s="7" t="s">
        <v>2796</v>
      </c>
      <c r="C874" s="7" t="s">
        <v>2797</v>
      </c>
      <c r="D874" s="6">
        <v>-0.33623817563056901</v>
      </c>
      <c r="E874" s="6">
        <v>-0.52282178401946999</v>
      </c>
      <c r="F874" s="6">
        <v>0.27225255966186501</v>
      </c>
      <c r="G874" s="6">
        <v>0.20872382819652602</v>
      </c>
      <c r="H874" s="6">
        <v>0.95524811744689908</v>
      </c>
      <c r="I874" s="6">
        <v>-0.45715281367301902</v>
      </c>
      <c r="J874" s="6">
        <v>2.5064952373504639</v>
      </c>
      <c r="K874" s="6">
        <v>-0.25205209851265004</v>
      </c>
      <c r="L874" s="6">
        <v>0.42688301205635104</v>
      </c>
      <c r="M874" s="6">
        <v>-0.64097303152084406</v>
      </c>
      <c r="N874" s="6">
        <v>0.7118317812207261</v>
      </c>
      <c r="O874" s="6"/>
      <c r="P874" s="6">
        <v>0.8711050601422371</v>
      </c>
      <c r="Q874" s="6"/>
      <c r="R874" s="6">
        <v>2.8736242278862152</v>
      </c>
      <c r="S874" s="6"/>
      <c r="T874" s="6">
        <v>40.14886474609375</v>
      </c>
      <c r="U874" s="6" t="str">
        <f>_xll.BDP($A874,"TRAILING_12M_R&amp;D_%_SALES",$A$1,$A$2)</f>
        <v>#N/A N/A</v>
      </c>
      <c r="V874" s="6">
        <v>40</v>
      </c>
      <c r="W874" s="6">
        <v>401010</v>
      </c>
      <c r="X874" s="6">
        <v>40101010</v>
      </c>
      <c r="Y874" s="7" t="s">
        <v>53</v>
      </c>
      <c r="Z874" s="7" t="s">
        <v>76</v>
      </c>
      <c r="AA874" s="7" t="s">
        <v>77</v>
      </c>
      <c r="AB874" s="6">
        <v>47.88250732421875</v>
      </c>
      <c r="AC874" s="6"/>
      <c r="AD874" s="6"/>
      <c r="AE874" s="6">
        <v>27366</v>
      </c>
      <c r="AF874" s="6"/>
    </row>
    <row r="875" spans="1:32" s="4" customFormat="1" ht="12.75" x14ac:dyDescent="0.2">
      <c r="A875" s="7" t="s">
        <v>2798</v>
      </c>
      <c r="B875" s="7" t="s">
        <v>2799</v>
      </c>
      <c r="C875" s="7" t="s">
        <v>2800</v>
      </c>
      <c r="D875" s="6">
        <v>-0.59805393218994107</v>
      </c>
      <c r="E875" s="6">
        <v>-1.3593205213546751</v>
      </c>
      <c r="F875" s="6">
        <v>5.5133953690529001E-2</v>
      </c>
      <c r="G875" s="6">
        <v>3.0002627372741699</v>
      </c>
      <c r="H875" s="6">
        <v>2.020912647247314</v>
      </c>
      <c r="I875" s="6">
        <v>0.19465686380863201</v>
      </c>
      <c r="J875" s="6">
        <v>0.91235464811325107</v>
      </c>
      <c r="K875" s="6">
        <v>-0.51922881603241</v>
      </c>
      <c r="L875" s="6">
        <v>-0.81727248430252109</v>
      </c>
      <c r="M875" s="6">
        <v>0.24784423410892503</v>
      </c>
      <c r="N875" s="6">
        <v>0.301463400900016</v>
      </c>
      <c r="O875" s="6">
        <v>0.24509207409122102</v>
      </c>
      <c r="P875" s="6">
        <v>2.5163630400905728</v>
      </c>
      <c r="Q875" s="6">
        <v>1.54605209903908</v>
      </c>
      <c r="R875" s="6"/>
      <c r="S875" s="6">
        <v>6.1900985412942742</v>
      </c>
      <c r="T875" s="6">
        <v>-14.560944557189941</v>
      </c>
      <c r="U875" s="6" t="str">
        <f>_xll.BDP($A875,"TRAILING_12M_R&amp;D_%_SALES",$A$1,$A$2)</f>
        <v>#N/A N/A</v>
      </c>
      <c r="V875" s="6">
        <v>20</v>
      </c>
      <c r="W875" s="6">
        <v>203020</v>
      </c>
      <c r="X875" s="6">
        <v>20302010</v>
      </c>
      <c r="Y875" s="7" t="s">
        <v>43</v>
      </c>
      <c r="Z875" s="7" t="s">
        <v>62</v>
      </c>
      <c r="AA875" s="7" t="s">
        <v>62</v>
      </c>
      <c r="AB875" s="6">
        <v>58.253696441650391</v>
      </c>
      <c r="AC875" s="6">
        <v>1.2770487409137239</v>
      </c>
      <c r="AD875" s="6">
        <v>-14.570587241208067</v>
      </c>
      <c r="AE875" s="6">
        <v>84100</v>
      </c>
      <c r="AF875" s="6">
        <v>84000</v>
      </c>
    </row>
    <row r="876" spans="1:32" s="4" customFormat="1" ht="12.75" x14ac:dyDescent="0.2">
      <c r="A876" s="7" t="s">
        <v>2801</v>
      </c>
      <c r="B876" s="7" t="s">
        <v>2802</v>
      </c>
      <c r="C876" s="7" t="s">
        <v>2803</v>
      </c>
      <c r="D876" s="6">
        <v>-0.44268214702606201</v>
      </c>
      <c r="E876" s="6">
        <v>-2.9911069869995122</v>
      </c>
      <c r="F876" s="6">
        <v>-1.1029196977615361</v>
      </c>
      <c r="G876" s="6">
        <v>1.393318772315979</v>
      </c>
      <c r="H876" s="6">
        <v>0.41369968652725203</v>
      </c>
      <c r="I876" s="6">
        <v>-0.28258833289146401</v>
      </c>
      <c r="J876" s="6">
        <v>-1.2007144689559941</v>
      </c>
      <c r="K876" s="6">
        <v>0.25821098685264604</v>
      </c>
      <c r="L876" s="6">
        <v>-0.81727248430252109</v>
      </c>
      <c r="M876" s="6">
        <v>1.227421760559082</v>
      </c>
      <c r="N876" s="6">
        <v>1.6691360675685352</v>
      </c>
      <c r="O876" s="6">
        <v>1.3406053586335469</v>
      </c>
      <c r="P876" s="6">
        <v>6.9162964199736381</v>
      </c>
      <c r="Q876" s="6">
        <v>5.7761807539220342</v>
      </c>
      <c r="R876" s="6"/>
      <c r="S876" s="6">
        <v>107.84258303060282</v>
      </c>
      <c r="T876" s="6">
        <v>-84.133926391601563</v>
      </c>
      <c r="U876" s="6">
        <f>_xll.BDP($A876,"TRAILING_12M_R&amp;D_%_SALES",$A$1,$A$2)</f>
        <v>7.0694438128154982</v>
      </c>
      <c r="V876" s="6">
        <v>20</v>
      </c>
      <c r="W876" s="6">
        <v>203040</v>
      </c>
      <c r="X876" s="6">
        <v>20304040</v>
      </c>
      <c r="Y876" s="7" t="s">
        <v>43</v>
      </c>
      <c r="Z876" s="7" t="s">
        <v>728</v>
      </c>
      <c r="AA876" s="7" t="s">
        <v>957</v>
      </c>
      <c r="AB876" s="6">
        <v>50.18609619140625</v>
      </c>
      <c r="AC876" s="6">
        <v>1.3926112722938901</v>
      </c>
      <c r="AD876" s="6">
        <v>-42.030005553934544</v>
      </c>
      <c r="AE876" s="6">
        <v>29300</v>
      </c>
      <c r="AF876" s="6"/>
    </row>
    <row r="877" spans="1:32" s="4" customFormat="1" ht="12.75" x14ac:dyDescent="0.2">
      <c r="A877" s="7" t="s">
        <v>2804</v>
      </c>
      <c r="B877" s="7" t="s">
        <v>2805</v>
      </c>
      <c r="C877" s="7" t="s">
        <v>2806</v>
      </c>
      <c r="D877" s="6">
        <v>0.23629312217235601</v>
      </c>
      <c r="E877" s="6">
        <v>-1.035173296928406</v>
      </c>
      <c r="F877" s="6">
        <v>1.1213798522949221</v>
      </c>
      <c r="G877" s="6">
        <v>0.52456879615783703</v>
      </c>
      <c r="H877" s="6">
        <v>0.99363267421722412</v>
      </c>
      <c r="I877" s="6">
        <v>0.84229511022567705</v>
      </c>
      <c r="J877" s="6">
        <v>0.34017494320869401</v>
      </c>
      <c r="K877" s="6">
        <v>-1.026864647865295</v>
      </c>
      <c r="L877" s="6">
        <v>1.1414550542831421</v>
      </c>
      <c r="M877" s="6">
        <v>-0.42488518357276905</v>
      </c>
      <c r="N877" s="6">
        <v>1.4678230728402941</v>
      </c>
      <c r="O877" s="6">
        <v>1.3245087502297341</v>
      </c>
      <c r="P877" s="6">
        <v>0.47172536011651106</v>
      </c>
      <c r="Q877" s="6">
        <v>0.42404761383517103</v>
      </c>
      <c r="R877" s="6">
        <v>10.993862970920876</v>
      </c>
      <c r="S877" s="6">
        <v>6.0101210334946806</v>
      </c>
      <c r="T877" s="6">
        <v>5.529871940612793</v>
      </c>
      <c r="U877" s="6" t="str">
        <f>_xll.BDP($A877,"TRAILING_12M_R&amp;D_%_SALES",$A$1,$A$2)</f>
        <v>#N/A N/A</v>
      </c>
      <c r="V877" s="6">
        <v>40</v>
      </c>
      <c r="W877" s="6">
        <v>401010</v>
      </c>
      <c r="X877" s="6">
        <v>40101010</v>
      </c>
      <c r="Y877" s="7" t="s">
        <v>53</v>
      </c>
      <c r="Z877" s="7" t="s">
        <v>76</v>
      </c>
      <c r="AA877" s="7" t="s">
        <v>77</v>
      </c>
      <c r="AB877" s="6">
        <v>66.170402526855469</v>
      </c>
      <c r="AC877" s="6">
        <v>0.68661187851808203</v>
      </c>
      <c r="AD877" s="6">
        <v>-3.8137059445997989</v>
      </c>
      <c r="AE877" s="6">
        <v>78571</v>
      </c>
      <c r="AF877" s="6">
        <v>117659</v>
      </c>
    </row>
    <row r="878" spans="1:32" s="4" customFormat="1" ht="12.75" x14ac:dyDescent="0.2">
      <c r="A878" s="7" t="s">
        <v>2807</v>
      </c>
      <c r="B878" s="7" t="s">
        <v>2808</v>
      </c>
      <c r="C878" s="7" t="s">
        <v>2809</v>
      </c>
      <c r="D878" s="6">
        <v>0.23629312217235601</v>
      </c>
      <c r="E878" s="6">
        <v>-1.035173296928406</v>
      </c>
      <c r="F878" s="6">
        <v>1.1213798522949221</v>
      </c>
      <c r="G878" s="6">
        <v>0.52456879615783703</v>
      </c>
      <c r="H878" s="6">
        <v>0.99363267421722412</v>
      </c>
      <c r="I878" s="6">
        <v>0.84229511022567705</v>
      </c>
      <c r="J878" s="6">
        <v>0.34017494320869401</v>
      </c>
      <c r="K878" s="6">
        <v>-1.026864647865295</v>
      </c>
      <c r="L878" s="6">
        <v>1.1414550542831421</v>
      </c>
      <c r="M878" s="6">
        <v>-0.42488518357276905</v>
      </c>
      <c r="N878" s="6">
        <v>1.4678230728402941</v>
      </c>
      <c r="O878" s="6"/>
      <c r="P878" s="6">
        <v>0.47172536011651106</v>
      </c>
      <c r="Q878" s="6"/>
      <c r="R878" s="6">
        <v>10.993862970920876</v>
      </c>
      <c r="S878" s="6">
        <v>5.6994596120559669</v>
      </c>
      <c r="T878" s="6">
        <v>5.529871940612793</v>
      </c>
      <c r="U878" s="6" t="str">
        <f>_xll.BDP($A878,"TRAILING_12M_R&amp;D_%_SALES",$A$1,$A$2)</f>
        <v>#N/A N/A</v>
      </c>
      <c r="V878" s="6">
        <v>40</v>
      </c>
      <c r="W878" s="6">
        <v>401010</v>
      </c>
      <c r="X878" s="6">
        <v>40101010</v>
      </c>
      <c r="Y878" s="7" t="s">
        <v>53</v>
      </c>
      <c r="Z878" s="7" t="s">
        <v>76</v>
      </c>
      <c r="AA878" s="7" t="s">
        <v>77</v>
      </c>
      <c r="AB878" s="6">
        <v>66.170402526855469</v>
      </c>
      <c r="AC878" s="6">
        <v>0.97327240985016206</v>
      </c>
      <c r="AD878" s="6">
        <v>-2.250194541981732</v>
      </c>
      <c r="AE878" s="6">
        <v>78571</v>
      </c>
      <c r="AF878" s="6">
        <v>117659</v>
      </c>
    </row>
    <row r="879" spans="1:32" s="4" customFormat="1" ht="12.75" x14ac:dyDescent="0.2">
      <c r="A879" s="7" t="s">
        <v>2810</v>
      </c>
      <c r="B879" s="7" t="s">
        <v>2811</v>
      </c>
      <c r="C879" s="7" t="s">
        <v>2812</v>
      </c>
      <c r="D879" s="6">
        <v>1.3606142997741699</v>
      </c>
      <c r="E879" s="6">
        <v>-0.29809629917144803</v>
      </c>
      <c r="F879" s="6">
        <v>0.279233068227768</v>
      </c>
      <c r="G879" s="6">
        <v>-0.67882561683654807</v>
      </c>
      <c r="H879" s="6">
        <v>-0.40625724196434004</v>
      </c>
      <c r="I879" s="6">
        <v>0.58469349145889304</v>
      </c>
      <c r="J879" s="6">
        <v>-0.15887735784053802</v>
      </c>
      <c r="K879" s="6">
        <v>0.308259397745132</v>
      </c>
      <c r="L879" s="6">
        <v>-0.21142069995403301</v>
      </c>
      <c r="M879" s="6">
        <v>-8.1337608397007002E-2</v>
      </c>
      <c r="N879" s="6">
        <v>1.5843155393657029</v>
      </c>
      <c r="O879" s="6">
        <v>1.39236483149824</v>
      </c>
      <c r="P879" s="6">
        <v>6.6409221866765948</v>
      </c>
      <c r="Q879" s="6">
        <v>5.4234195253419424</v>
      </c>
      <c r="R879" s="6">
        <v>25.963759956631637</v>
      </c>
      <c r="S879" s="6">
        <v>21.3198329091434</v>
      </c>
      <c r="T879" s="6">
        <v>26.814054489135742</v>
      </c>
      <c r="U879" s="6" t="str">
        <f>_xll.BDP($A879,"TRAILING_12M_R&amp;D_%_SALES",$A$1,$A$2)</f>
        <v>#N/A N/A</v>
      </c>
      <c r="V879" s="6">
        <v>35</v>
      </c>
      <c r="W879" s="6">
        <v>351020</v>
      </c>
      <c r="X879" s="6">
        <v>35102030</v>
      </c>
      <c r="Y879" s="7" t="s">
        <v>86</v>
      </c>
      <c r="Z879" s="7" t="s">
        <v>601</v>
      </c>
      <c r="AA879" s="7" t="s">
        <v>762</v>
      </c>
      <c r="AB879" s="6">
        <v>57.931797027587891</v>
      </c>
      <c r="AC879" s="6">
        <v>0.71812061761666002</v>
      </c>
      <c r="AD879" s="6">
        <v>6.4613305244224373</v>
      </c>
      <c r="AE879" s="6">
        <v>350000</v>
      </c>
      <c r="AF879" s="6">
        <v>230000</v>
      </c>
    </row>
    <row r="880" spans="1:32" s="4" customFormat="1" ht="12.75" x14ac:dyDescent="0.2">
      <c r="A880" s="7" t="s">
        <v>2813</v>
      </c>
      <c r="B880" s="7" t="s">
        <v>2814</v>
      </c>
      <c r="C880" s="7" t="s">
        <v>2815</v>
      </c>
      <c r="D880" s="6">
        <v>2.9242379590869002E-2</v>
      </c>
      <c r="E880" s="6">
        <v>0.19245924055576302</v>
      </c>
      <c r="F880" s="6">
        <v>6.4960293471813008E-2</v>
      </c>
      <c r="G880" s="6">
        <v>-0.37069860100746205</v>
      </c>
      <c r="H880" s="6">
        <v>0.89614474773407005</v>
      </c>
      <c r="I880" s="6">
        <v>-9.1004922986031009E-2</v>
      </c>
      <c r="J880" s="6">
        <v>-0.11050384491682101</v>
      </c>
      <c r="K880" s="6">
        <v>-1.0637636184692381</v>
      </c>
      <c r="L880" s="6">
        <v>0.40208819508552601</v>
      </c>
      <c r="M880" s="6">
        <v>-0.65707749128341708</v>
      </c>
      <c r="N880" s="6">
        <v>5.3333216741159157</v>
      </c>
      <c r="O880" s="6">
        <v>4.9972525596919519</v>
      </c>
      <c r="P880" s="6">
        <v>10.858509232816237</v>
      </c>
      <c r="Q880" s="6">
        <v>11.134379497082582</v>
      </c>
      <c r="R880" s="6">
        <v>18.532764802736377</v>
      </c>
      <c r="S880" s="6">
        <v>17.501186924978018</v>
      </c>
      <c r="T880" s="6">
        <v>55.113014221191406</v>
      </c>
      <c r="U880" s="6">
        <f>_xll.BDP($A880,"TRAILING_12M_R&amp;D_%_SALES",$A$1,$A$2)</f>
        <v>0</v>
      </c>
      <c r="V880" s="6">
        <v>20</v>
      </c>
      <c r="W880" s="6">
        <v>203040</v>
      </c>
      <c r="X880" s="6">
        <v>20304010</v>
      </c>
      <c r="Y880" s="7" t="s">
        <v>43</v>
      </c>
      <c r="Z880" s="7" t="s">
        <v>728</v>
      </c>
      <c r="AA880" s="7" t="s">
        <v>729</v>
      </c>
      <c r="AB880" s="6">
        <v>65.586959838867188</v>
      </c>
      <c r="AC880" s="6">
        <v>0.78306531798328105</v>
      </c>
      <c r="AD880" s="6">
        <v>-15.12910213602856</v>
      </c>
      <c r="AE880" s="6">
        <v>32124</v>
      </c>
      <c r="AF880" s="6">
        <v>42919</v>
      </c>
    </row>
    <row r="881" spans="1:32" s="4" customFormat="1" ht="12.75" x14ac:dyDescent="0.2">
      <c r="A881" s="7" t="s">
        <v>2816</v>
      </c>
      <c r="B881" s="7" t="s">
        <v>2817</v>
      </c>
      <c r="C881" s="7" t="s">
        <v>2818</v>
      </c>
      <c r="D881" s="6">
        <v>-8.6678132414818004E-2</v>
      </c>
      <c r="E881" s="6">
        <v>-0.87873154878616311</v>
      </c>
      <c r="F881" s="6">
        <v>0.54131585359573409</v>
      </c>
      <c r="G881" s="6">
        <v>-0.95929235219955411</v>
      </c>
      <c r="H881" s="6">
        <v>-0.30948251485824602</v>
      </c>
      <c r="I881" s="6">
        <v>0.65914422273635909</v>
      </c>
      <c r="J881" s="6">
        <v>0.15256968140602101</v>
      </c>
      <c r="K881" s="6">
        <v>-0.35728475451469405</v>
      </c>
      <c r="L881" s="6">
        <v>1.062938928604126</v>
      </c>
      <c r="M881" s="6">
        <v>-0.96590209007263206</v>
      </c>
      <c r="N881" s="6">
        <v>3.8936879322714013</v>
      </c>
      <c r="O881" s="6">
        <v>3.9832075628110228</v>
      </c>
      <c r="P881" s="6">
        <v>1.2182582954252761</v>
      </c>
      <c r="Q881" s="6">
        <v>1.141127544969857</v>
      </c>
      <c r="R881" s="6">
        <v>11.754251463717237</v>
      </c>
      <c r="S881" s="6">
        <v>9.5367300224849529</v>
      </c>
      <c r="T881" s="6">
        <v>10.394926071166992</v>
      </c>
      <c r="U881" s="6" t="str">
        <f>_xll.BDP($A881,"TRAILING_12M_R&amp;D_%_SALES",$A$1,$A$2)</f>
        <v>#N/A N/A</v>
      </c>
      <c r="V881" s="6">
        <v>40</v>
      </c>
      <c r="W881" s="6">
        <v>401010</v>
      </c>
      <c r="X881" s="6">
        <v>40101010</v>
      </c>
      <c r="Y881" s="7" t="s">
        <v>53</v>
      </c>
      <c r="Z881" s="7" t="s">
        <v>76</v>
      </c>
      <c r="AA881" s="7" t="s">
        <v>77</v>
      </c>
      <c r="AB881" s="6">
        <v>60.406398773193359</v>
      </c>
      <c r="AC881" s="6">
        <v>0.39913452488832601</v>
      </c>
      <c r="AD881" s="6">
        <v>22.757709318679819</v>
      </c>
      <c r="AE881" s="6">
        <v>24346</v>
      </c>
      <c r="AF881" s="6">
        <v>24853</v>
      </c>
    </row>
    <row r="882" spans="1:32" s="4" customFormat="1" ht="12.75" x14ac:dyDescent="0.2">
      <c r="A882" s="7" t="s">
        <v>2819</v>
      </c>
      <c r="B882" s="7" t="s">
        <v>2820</v>
      </c>
      <c r="C882" s="7" t="s">
        <v>2821</v>
      </c>
      <c r="D882" s="6">
        <v>-8.6678132414818004E-2</v>
      </c>
      <c r="E882" s="6">
        <v>-0.87873154878616311</v>
      </c>
      <c r="F882" s="6">
        <v>0.54131585359573409</v>
      </c>
      <c r="G882" s="6">
        <v>-0.95929235219955411</v>
      </c>
      <c r="H882" s="6">
        <v>-0.30948251485824602</v>
      </c>
      <c r="I882" s="6">
        <v>0.65914422273635909</v>
      </c>
      <c r="J882" s="6">
        <v>0.15256968140602101</v>
      </c>
      <c r="K882" s="6">
        <v>-0.35728475451469405</v>
      </c>
      <c r="L882" s="6">
        <v>1.062938928604126</v>
      </c>
      <c r="M882" s="6">
        <v>-0.96590209007263206</v>
      </c>
      <c r="N882" s="6">
        <v>3.8936879322714013</v>
      </c>
      <c r="O882" s="6"/>
      <c r="P882" s="6">
        <v>1.2182582954252761</v>
      </c>
      <c r="Q882" s="6"/>
      <c r="R882" s="6">
        <v>11.754251463717237</v>
      </c>
      <c r="S882" s="6">
        <v>8.7033173445068091</v>
      </c>
      <c r="T882" s="6">
        <v>10.394926071166992</v>
      </c>
      <c r="U882" s="6" t="str">
        <f>_xll.BDP($A882,"TRAILING_12M_R&amp;D_%_SALES",$A$1,$A$2)</f>
        <v>#N/A N/A</v>
      </c>
      <c r="V882" s="6">
        <v>40</v>
      </c>
      <c r="W882" s="6">
        <v>401010</v>
      </c>
      <c r="X882" s="6">
        <v>40101010</v>
      </c>
      <c r="Y882" s="7" t="s">
        <v>53</v>
      </c>
      <c r="Z882" s="7" t="s">
        <v>76</v>
      </c>
      <c r="AA882" s="7" t="s">
        <v>77</v>
      </c>
      <c r="AB882" s="6">
        <v>60.406398773193359</v>
      </c>
      <c r="AC882" s="6">
        <v>0.68363745841785806</v>
      </c>
      <c r="AD882" s="6">
        <v>19.087244719420493</v>
      </c>
      <c r="AE882" s="6">
        <v>24346</v>
      </c>
      <c r="AF882" s="6">
        <v>24853</v>
      </c>
    </row>
    <row r="883" spans="1:32" s="4" customFormat="1" ht="12.75" x14ac:dyDescent="0.2">
      <c r="A883" s="7" t="s">
        <v>2822</v>
      </c>
      <c r="B883" s="7" t="s">
        <v>2823</v>
      </c>
      <c r="C883" s="7" t="s">
        <v>2824</v>
      </c>
      <c r="D883" s="6">
        <v>0.39773127436637901</v>
      </c>
      <c r="E883" s="6">
        <v>0.29382407665252702</v>
      </c>
      <c r="F883" s="6">
        <v>0.67346620559692405</v>
      </c>
      <c r="G883" s="6">
        <v>-0.47660425305366505</v>
      </c>
      <c r="H883" s="6">
        <v>9.1055311262608005E-2</v>
      </c>
      <c r="I883" s="6">
        <v>6.1364229768515008E-2</v>
      </c>
      <c r="J883" s="6">
        <v>0.18069669604301503</v>
      </c>
      <c r="K883" s="6">
        <v>0.13230448961257901</v>
      </c>
      <c r="L883" s="6">
        <v>0.8815782070159911</v>
      </c>
      <c r="M883" s="6">
        <v>0.19586111605167403</v>
      </c>
      <c r="N883" s="6">
        <v>1.5020081989123182</v>
      </c>
      <c r="O883" s="6">
        <v>1.4995707562277412</v>
      </c>
      <c r="P883" s="6">
        <v>8.8600204395703308</v>
      </c>
      <c r="Q883" s="6">
        <v>6.5093370310504373</v>
      </c>
      <c r="R883" s="6">
        <v>13.460225526010293</v>
      </c>
      <c r="S883" s="6">
        <v>14.267690353469714</v>
      </c>
      <c r="T883" s="6">
        <v>77.134681701660156</v>
      </c>
      <c r="U883" s="6">
        <f>_xll.BDP($A883,"TRAILING_12M_R&amp;D_%_SALES",$A$1,$A$2)</f>
        <v>0</v>
      </c>
      <c r="V883" s="6">
        <v>20</v>
      </c>
      <c r="W883" s="6">
        <v>203010</v>
      </c>
      <c r="X883" s="6">
        <v>20301010</v>
      </c>
      <c r="Y883" s="7" t="s">
        <v>43</v>
      </c>
      <c r="Z883" s="7" t="s">
        <v>949</v>
      </c>
      <c r="AA883" s="7" t="s">
        <v>949</v>
      </c>
      <c r="AB883" s="6">
        <v>65.405891418457031</v>
      </c>
      <c r="AC883" s="6">
        <v>0.92158252490642911</v>
      </c>
      <c r="AD883" s="6">
        <v>-16.093305355543229</v>
      </c>
      <c r="AE883" s="6">
        <v>534000</v>
      </c>
      <c r="AF883" s="6">
        <v>434000</v>
      </c>
    </row>
    <row r="884" spans="1:32" s="4" customFormat="1" ht="12.75" x14ac:dyDescent="0.2">
      <c r="A884" s="7" t="s">
        <v>2825</v>
      </c>
      <c r="B884" s="7" t="s">
        <v>2826</v>
      </c>
      <c r="C884" s="7" t="s">
        <v>2827</v>
      </c>
      <c r="D884" s="6">
        <v>-0.97010785341262806</v>
      </c>
      <c r="E884" s="6">
        <v>0.8238222599029541</v>
      </c>
      <c r="F884" s="6">
        <v>0.95172852277755704</v>
      </c>
      <c r="G884" s="6">
        <v>0.6370407342910771</v>
      </c>
      <c r="H884" s="6">
        <v>0.85565197467804011</v>
      </c>
      <c r="I884" s="6">
        <v>0.43197280168533303</v>
      </c>
      <c r="J884" s="6">
        <v>0.63465416431427002</v>
      </c>
      <c r="K884" s="6">
        <v>-0.24332554638385803</v>
      </c>
      <c r="L884" s="6">
        <v>-0.81727248430252109</v>
      </c>
      <c r="M884" s="6">
        <v>-0.54540741443634</v>
      </c>
      <c r="N884" s="6">
        <v>2.2822043163541879</v>
      </c>
      <c r="O884" s="6">
        <v>1.8877920452345951</v>
      </c>
      <c r="P884" s="6">
        <v>3.8774545687900179</v>
      </c>
      <c r="Q884" s="6">
        <v>2.7397485107636439</v>
      </c>
      <c r="R884" s="6">
        <v>16.431465896724074</v>
      </c>
      <c r="S884" s="6">
        <v>9.7406525707324771</v>
      </c>
      <c r="T884" s="6">
        <v>32.899627685546875</v>
      </c>
      <c r="U884" s="6">
        <f>_xll.BDP($A884,"TRAILING_12M_R&amp;D_%_SALES",$A$1,$A$2)</f>
        <v>0</v>
      </c>
      <c r="V884" s="6">
        <v>20</v>
      </c>
      <c r="W884" s="6">
        <v>201070</v>
      </c>
      <c r="X884" s="6">
        <v>20107010</v>
      </c>
      <c r="Y884" s="7" t="s">
        <v>43</v>
      </c>
      <c r="Z884" s="7" t="s">
        <v>44</v>
      </c>
      <c r="AA884" s="7" t="s">
        <v>44</v>
      </c>
      <c r="AB884" s="6">
        <v>57.509304046630859</v>
      </c>
      <c r="AC884" s="6">
        <v>1.2032734191495211</v>
      </c>
      <c r="AD884" s="6">
        <v>7.7389425704515791</v>
      </c>
      <c r="AE884" s="6">
        <v>20400</v>
      </c>
      <c r="AF884" s="6">
        <v>12500</v>
      </c>
    </row>
    <row r="885" spans="1:32" s="4" customFormat="1" ht="12.75" x14ac:dyDescent="0.2">
      <c r="A885" s="7" t="s">
        <v>2828</v>
      </c>
      <c r="B885" s="7" t="s">
        <v>2829</v>
      </c>
      <c r="C885" s="7" t="s">
        <v>2830</v>
      </c>
      <c r="D885" s="6">
        <v>0.43765866756439203</v>
      </c>
      <c r="E885" s="6">
        <v>-0.7715179920196531</v>
      </c>
      <c r="F885" s="6">
        <v>0.10033290088176701</v>
      </c>
      <c r="G885" s="6">
        <v>-0.28690150380134605</v>
      </c>
      <c r="H885" s="6">
        <v>-7.9077847301960005E-2</v>
      </c>
      <c r="I885" s="6">
        <v>-0.42377808690071106</v>
      </c>
      <c r="J885" s="6">
        <v>1.0345214605331421</v>
      </c>
      <c r="K885" s="6">
        <v>-0.26290959119796803</v>
      </c>
      <c r="L885" s="6">
        <v>1.33124303817749</v>
      </c>
      <c r="M885" s="6">
        <v>-1.0116991996765139</v>
      </c>
      <c r="N885" s="6">
        <v>2.5721310285902961</v>
      </c>
      <c r="O885" s="6">
        <v>2.3305271577111619</v>
      </c>
      <c r="P885" s="6">
        <v>1.600412474988524</v>
      </c>
      <c r="Q885" s="6">
        <v>1.405838612262643</v>
      </c>
      <c r="R885" s="6">
        <v>10.07536767606835</v>
      </c>
      <c r="S885" s="6">
        <v>8.5874064242595551</v>
      </c>
      <c r="T885" s="6">
        <v>14.150407791137695</v>
      </c>
      <c r="U885" s="6" t="str">
        <f>_xll.BDP($A885,"TRAILING_12M_R&amp;D_%_SALES",$A$1,$A$2)</f>
        <v>#N/A N/A</v>
      </c>
      <c r="V885" s="6">
        <v>40</v>
      </c>
      <c r="W885" s="6">
        <v>401010</v>
      </c>
      <c r="X885" s="6">
        <v>40101010</v>
      </c>
      <c r="Y885" s="7" t="s">
        <v>53</v>
      </c>
      <c r="Z885" s="7" t="s">
        <v>76</v>
      </c>
      <c r="AA885" s="7" t="s">
        <v>77</v>
      </c>
      <c r="AB885" s="6">
        <v>50.155918121337891</v>
      </c>
      <c r="AC885" s="6">
        <v>0.85356935595548511</v>
      </c>
      <c r="AD885" s="6">
        <v>-19.090692651783602</v>
      </c>
      <c r="AE885" s="6">
        <v>68796</v>
      </c>
      <c r="AF885" s="6">
        <v>71191</v>
      </c>
    </row>
    <row r="886" spans="1:32" s="4" customFormat="1" ht="12.75" x14ac:dyDescent="0.2">
      <c r="A886" s="7" t="s">
        <v>2831</v>
      </c>
      <c r="B886" s="7" t="s">
        <v>2832</v>
      </c>
      <c r="C886" s="7" t="s">
        <v>2833</v>
      </c>
      <c r="D886" s="6">
        <v>0</v>
      </c>
      <c r="E886" s="6">
        <v>0</v>
      </c>
      <c r="F886" s="6">
        <v>0</v>
      </c>
      <c r="G886" s="6">
        <v>0</v>
      </c>
      <c r="H886" s="6">
        <v>0</v>
      </c>
      <c r="I886" s="6">
        <v>0</v>
      </c>
      <c r="J886" s="6">
        <v>0</v>
      </c>
      <c r="K886" s="6">
        <v>0</v>
      </c>
      <c r="L886" s="6">
        <v>0</v>
      </c>
      <c r="M886" s="6">
        <v>0</v>
      </c>
      <c r="N886" s="6"/>
      <c r="O886" s="6"/>
      <c r="P886" s="6"/>
      <c r="Q886" s="6"/>
      <c r="R886" s="6"/>
      <c r="S886" s="6"/>
      <c r="T886" s="6"/>
      <c r="U886" s="6" t="str">
        <f>_xll.BDP($A886,"TRAILING_12M_R&amp;D_%_SALES",$A$1,$A$2)</f>
        <v>#N/A Field Not Applicable</v>
      </c>
      <c r="V886" s="6"/>
      <c r="W886" s="6"/>
      <c r="X886" s="6"/>
      <c r="Y886" s="7" t="s">
        <v>1202</v>
      </c>
      <c r="Z886" s="7" t="s">
        <v>1202</v>
      </c>
      <c r="AA886" s="7" t="s">
        <v>1202</v>
      </c>
      <c r="AB886" s="6"/>
      <c r="AC886" s="6">
        <v>-1.8672437423439701</v>
      </c>
      <c r="AD886" s="6">
        <v>-45.555556144243383</v>
      </c>
      <c r="AE886" s="6"/>
      <c r="AF886" s="6"/>
    </row>
    <row r="887" spans="1:32" s="4" customFormat="1" ht="12.75" x14ac:dyDescent="0.2">
      <c r="A887" s="7" t="s">
        <v>2834</v>
      </c>
      <c r="B887" s="7" t="s">
        <v>2835</v>
      </c>
      <c r="C887" s="7" t="s">
        <v>2836</v>
      </c>
      <c r="D887" s="6">
        <v>0.53531295061111506</v>
      </c>
      <c r="E887" s="6">
        <v>1.037549614906311</v>
      </c>
      <c r="F887" s="6">
        <v>-0.17593783140182501</v>
      </c>
      <c r="G887" s="6">
        <v>-0.39647197723388705</v>
      </c>
      <c r="H887" s="6">
        <v>-0.38293081521987904</v>
      </c>
      <c r="I887" s="6">
        <v>0.30631834268569902</v>
      </c>
      <c r="J887" s="6">
        <v>-0.43363791704177901</v>
      </c>
      <c r="K887" s="6">
        <v>-0.21130894124507901</v>
      </c>
      <c r="L887" s="6">
        <v>-0.39131504297256503</v>
      </c>
      <c r="M887" s="6">
        <v>-0.48301646113395702</v>
      </c>
      <c r="N887" s="6">
        <v>12.501124193487094</v>
      </c>
      <c r="O887" s="6">
        <v>13.466976145598913</v>
      </c>
      <c r="P887" s="6">
        <v>11.807029777269092</v>
      </c>
      <c r="Q887" s="6">
        <v>10.329241859797383</v>
      </c>
      <c r="R887" s="6">
        <v>29.330012574016827</v>
      </c>
      <c r="S887" s="6">
        <v>24.116440506086487</v>
      </c>
      <c r="T887" s="6">
        <v>44.143081665039063</v>
      </c>
      <c r="U887" s="6" t="str">
        <f>_xll.BDP($A887,"TRAILING_12M_R&amp;D_%_SALES",$A$1,$A$2)</f>
        <v>#N/A N/A</v>
      </c>
      <c r="V887" s="6">
        <v>40</v>
      </c>
      <c r="W887" s="6">
        <v>402010</v>
      </c>
      <c r="X887" s="6">
        <v>40201060</v>
      </c>
      <c r="Y887" s="7" t="s">
        <v>53</v>
      </c>
      <c r="Z887" s="7" t="s">
        <v>344</v>
      </c>
      <c r="AA887" s="7" t="s">
        <v>579</v>
      </c>
      <c r="AB887" s="6">
        <v>59.148979187011719</v>
      </c>
      <c r="AC887" s="6">
        <v>0.9843308721389421</v>
      </c>
      <c r="AD887" s="6">
        <v>-3.9047095571478563</v>
      </c>
      <c r="AE887" s="6">
        <v>26500</v>
      </c>
      <c r="AF887" s="6"/>
    </row>
    <row r="888" spans="1:32" s="4" customFormat="1" ht="12.75" x14ac:dyDescent="0.2">
      <c r="A888" s="7" t="s">
        <v>2837</v>
      </c>
      <c r="B888" s="7" t="s">
        <v>2838</v>
      </c>
      <c r="C888" s="7" t="s">
        <v>2839</v>
      </c>
      <c r="D888" s="6">
        <v>6.9180279970169012E-2</v>
      </c>
      <c r="E888" s="6">
        <v>1.623665571212769</v>
      </c>
      <c r="F888" s="6">
        <v>0.621562719345093</v>
      </c>
      <c r="G888" s="6">
        <v>-9.4535045325756004E-2</v>
      </c>
      <c r="H888" s="6">
        <v>-0.55778622627258301</v>
      </c>
      <c r="I888" s="6">
        <v>0.57891488075256303</v>
      </c>
      <c r="J888" s="6">
        <v>1.8919441699981689</v>
      </c>
      <c r="K888" s="6">
        <v>-0.32377862930297902</v>
      </c>
      <c r="L888" s="6">
        <v>0.290764480829239</v>
      </c>
      <c r="M888" s="6">
        <v>0.95792996883392312</v>
      </c>
      <c r="N888" s="6">
        <v>1.784352493767374</v>
      </c>
      <c r="O888" s="6">
        <v>2.0235547040511279</v>
      </c>
      <c r="P888" s="6">
        <v>2.248802600266544</v>
      </c>
      <c r="Q888" s="6">
        <v>1.9631831595597071</v>
      </c>
      <c r="R888" s="6">
        <v>3.8342571185438512</v>
      </c>
      <c r="S888" s="6">
        <v>6.9107447003274523</v>
      </c>
      <c r="T888" s="6">
        <v>59.157798767089844</v>
      </c>
      <c r="U888" s="6">
        <f>_xll.BDP($A888,"TRAILING_12M_R&amp;D_%_SALES",$A$1,$A$2)</f>
        <v>2.0907259532535618</v>
      </c>
      <c r="V888" s="6">
        <v>15</v>
      </c>
      <c r="W888" s="6">
        <v>151040</v>
      </c>
      <c r="X888" s="6">
        <v>15104050</v>
      </c>
      <c r="Y888" s="7" t="s">
        <v>38</v>
      </c>
      <c r="Z888" s="7" t="s">
        <v>71</v>
      </c>
      <c r="AA888" s="7" t="s">
        <v>303</v>
      </c>
      <c r="AB888" s="6">
        <v>68.725479125976563</v>
      </c>
      <c r="AC888" s="6">
        <v>0.70302519362768301</v>
      </c>
      <c r="AD888" s="6">
        <v>31.963555485614027</v>
      </c>
      <c r="AE888" s="6">
        <v>72266</v>
      </c>
      <c r="AF888" s="6">
        <v>64105</v>
      </c>
    </row>
    <row r="889" spans="1:32" s="4" customFormat="1" ht="12.75" x14ac:dyDescent="0.2">
      <c r="A889" s="7" t="s">
        <v>2840</v>
      </c>
      <c r="B889" s="7" t="s">
        <v>2841</v>
      </c>
      <c r="C889" s="7" t="s">
        <v>2842</v>
      </c>
      <c r="D889" s="6">
        <v>0.12596730887889901</v>
      </c>
      <c r="E889" s="6">
        <v>9.2568621039391008E-2</v>
      </c>
      <c r="F889" s="6">
        <v>0.7524582743644711</v>
      </c>
      <c r="G889" s="6">
        <v>-0.93472963571548506</v>
      </c>
      <c r="H889" s="6">
        <v>0.27488371729850802</v>
      </c>
      <c r="I889" s="6">
        <v>0.55362200736999501</v>
      </c>
      <c r="J889" s="6">
        <v>0.5334113240242</v>
      </c>
      <c r="K889" s="6">
        <v>-0.59344387054443404</v>
      </c>
      <c r="L889" s="6">
        <v>0.86906534433364901</v>
      </c>
      <c r="M889" s="6">
        <v>-0.77822160720825206</v>
      </c>
      <c r="N889" s="6">
        <v>0.92577650532194211</v>
      </c>
      <c r="O889" s="6">
        <v>0.89461018862383102</v>
      </c>
      <c r="P889" s="6">
        <v>2.183758540668566</v>
      </c>
      <c r="Q889" s="6">
        <v>2.0695686350902851</v>
      </c>
      <c r="R889" s="6">
        <v>13.506057913940309</v>
      </c>
      <c r="S889" s="6">
        <v>12.072043627035905</v>
      </c>
      <c r="T889" s="6">
        <v>16.73796272277832</v>
      </c>
      <c r="U889" s="6" t="str">
        <f>_xll.BDP($A889,"TRAILING_12M_R&amp;D_%_SALES",$A$1,$A$2)</f>
        <v>#N/A N/A</v>
      </c>
      <c r="V889" s="6">
        <v>20</v>
      </c>
      <c r="W889" s="6">
        <v>201030</v>
      </c>
      <c r="X889" s="6">
        <v>20103010</v>
      </c>
      <c r="Y889" s="7" t="s">
        <v>43</v>
      </c>
      <c r="Z889" s="7" t="s">
        <v>143</v>
      </c>
      <c r="AA889" s="7" t="s">
        <v>143</v>
      </c>
      <c r="AB889" s="6">
        <v>59.098682403564453</v>
      </c>
      <c r="AC889" s="6">
        <v>0.520751112719675</v>
      </c>
      <c r="AD889" s="6">
        <v>1.7971639177334131</v>
      </c>
      <c r="AE889" s="6">
        <v>218569</v>
      </c>
      <c r="AF889" s="6">
        <v>183487</v>
      </c>
    </row>
    <row r="890" spans="1:32" s="4" customFormat="1" ht="12.75" x14ac:dyDescent="0.2">
      <c r="A890" s="7" t="s">
        <v>2843</v>
      </c>
      <c r="B890" s="7" t="s">
        <v>2844</v>
      </c>
      <c r="C890" s="7" t="s">
        <v>2845</v>
      </c>
      <c r="D890" s="6">
        <v>0.12596730887889901</v>
      </c>
      <c r="E890" s="6">
        <v>9.2568621039391008E-2</v>
      </c>
      <c r="F890" s="6">
        <v>0.7524582743644711</v>
      </c>
      <c r="G890" s="6">
        <v>-0.93472963571548506</v>
      </c>
      <c r="H890" s="6">
        <v>0.27488371729850802</v>
      </c>
      <c r="I890" s="6">
        <v>0.55362200736999501</v>
      </c>
      <c r="J890" s="6">
        <v>0.5334113240242</v>
      </c>
      <c r="K890" s="6">
        <v>-0.59344387054443404</v>
      </c>
      <c r="L890" s="6">
        <v>0.86906534433364901</v>
      </c>
      <c r="M890" s="6">
        <v>-0.77822160720825206</v>
      </c>
      <c r="N890" s="6">
        <v>0.92577650532194211</v>
      </c>
      <c r="O890" s="6">
        <v>0.96119520253623603</v>
      </c>
      <c r="P890" s="6">
        <v>2.183758540668566</v>
      </c>
      <c r="Q890" s="6"/>
      <c r="R890" s="6">
        <v>13.506057913940309</v>
      </c>
      <c r="S890" s="6">
        <v>11.970253247740152</v>
      </c>
      <c r="T890" s="6">
        <v>16.73796272277832</v>
      </c>
      <c r="U890" s="6" t="str">
        <f>_xll.BDP($A890,"TRAILING_12M_R&amp;D_%_SALES",$A$1,$A$2)</f>
        <v>#N/A N/A</v>
      </c>
      <c r="V890" s="6">
        <v>20</v>
      </c>
      <c r="W890" s="6">
        <v>201030</v>
      </c>
      <c r="X890" s="6">
        <v>20103010</v>
      </c>
      <c r="Y890" s="7" t="s">
        <v>43</v>
      </c>
      <c r="Z890" s="7" t="s">
        <v>143</v>
      </c>
      <c r="AA890" s="7" t="s">
        <v>143</v>
      </c>
      <c r="AB890" s="6">
        <v>59.098682403564453</v>
      </c>
      <c r="AC890" s="6">
        <v>0.8713628003461551</v>
      </c>
      <c r="AD890" s="6">
        <v>-0.52530069206474506</v>
      </c>
      <c r="AE890" s="6">
        <v>218569</v>
      </c>
      <c r="AF890" s="6">
        <v>183487</v>
      </c>
    </row>
    <row r="891" spans="1:32" s="4" customFormat="1" ht="12.75" x14ac:dyDescent="0.2">
      <c r="A891" s="7" t="s">
        <v>2846</v>
      </c>
      <c r="B891" s="7" t="s">
        <v>2847</v>
      </c>
      <c r="C891" s="7" t="s">
        <v>2848</v>
      </c>
      <c r="D891" s="6">
        <v>-0.43851542472839405</v>
      </c>
      <c r="E891" s="6">
        <v>-1.032217264175415</v>
      </c>
      <c r="F891" s="6">
        <v>0.84160232543945301</v>
      </c>
      <c r="G891" s="6">
        <v>-0.74286270141601607</v>
      </c>
      <c r="H891" s="6">
        <v>1.123769283294678</v>
      </c>
      <c r="I891" s="6">
        <v>-6.5010242164135007E-2</v>
      </c>
      <c r="J891" s="6">
        <v>0.61281651258468606</v>
      </c>
      <c r="K891" s="6">
        <v>-0.29764544963836703</v>
      </c>
      <c r="L891" s="6">
        <v>1.2098672389984131</v>
      </c>
      <c r="M891" s="6">
        <v>-0.73513168096542403</v>
      </c>
      <c r="N891" s="6">
        <v>0.45430926708567504</v>
      </c>
      <c r="O891" s="6">
        <v>0.41123232797067305</v>
      </c>
      <c r="P891" s="6">
        <v>1.373378236119456</v>
      </c>
      <c r="Q891" s="6">
        <v>1.332110116458066</v>
      </c>
      <c r="R891" s="6">
        <v>48.009504769449933</v>
      </c>
      <c r="S891" s="6">
        <v>13.130284626413287</v>
      </c>
      <c r="T891" s="6">
        <v>3.3655390739440918</v>
      </c>
      <c r="U891" s="6" t="str">
        <f>_xll.BDP($A891,"TRAILING_12M_R&amp;D_%_SALES",$A$1,$A$2)</f>
        <v>#N/A N/A</v>
      </c>
      <c r="V891" s="6">
        <v>55</v>
      </c>
      <c r="W891" s="6">
        <v>551030</v>
      </c>
      <c r="X891" s="6">
        <v>55103010</v>
      </c>
      <c r="Y891" s="7" t="s">
        <v>181</v>
      </c>
      <c r="Z891" s="7" t="s">
        <v>182</v>
      </c>
      <c r="AA891" s="7" t="s">
        <v>182</v>
      </c>
      <c r="AB891" s="6">
        <v>62.277435302734375</v>
      </c>
      <c r="AC891" s="6">
        <v>0.78147116337734601</v>
      </c>
      <c r="AD891" s="6">
        <v>-24.451918228297419</v>
      </c>
      <c r="AE891" s="6">
        <v>179718</v>
      </c>
      <c r="AF891" s="6">
        <v>163226</v>
      </c>
    </row>
    <row r="892" spans="1:32" s="4" customFormat="1" ht="12.75" x14ac:dyDescent="0.2">
      <c r="A892" s="7" t="s">
        <v>2849</v>
      </c>
      <c r="B892" s="7" t="s">
        <v>2850</v>
      </c>
      <c r="C892" s="7" t="s">
        <v>2851</v>
      </c>
      <c r="D892" s="6">
        <v>-0.43851542472839405</v>
      </c>
      <c r="E892" s="6">
        <v>-1.032217264175415</v>
      </c>
      <c r="F892" s="6">
        <v>0.84160232543945301</v>
      </c>
      <c r="G892" s="6">
        <v>-0.74286270141601607</v>
      </c>
      <c r="H892" s="6">
        <v>1.123769283294678</v>
      </c>
      <c r="I892" s="6">
        <v>-6.5010242164135007E-2</v>
      </c>
      <c r="J892" s="6">
        <v>0.61281651258468606</v>
      </c>
      <c r="K892" s="6">
        <v>-0.29764544963836703</v>
      </c>
      <c r="L892" s="6">
        <v>1.2098672389984131</v>
      </c>
      <c r="M892" s="6">
        <v>-0.73513168096542403</v>
      </c>
      <c r="N892" s="6">
        <v>0.45430926708567504</v>
      </c>
      <c r="O892" s="6">
        <v>0.44067590318532401</v>
      </c>
      <c r="P892" s="6">
        <v>1.373378236119456</v>
      </c>
      <c r="Q892" s="6"/>
      <c r="R892" s="6">
        <v>48.009504769449933</v>
      </c>
      <c r="S892" s="6">
        <v>14.488570929890978</v>
      </c>
      <c r="T892" s="6">
        <v>3.3655390739440918</v>
      </c>
      <c r="U892" s="6" t="str">
        <f>_xll.BDP($A892,"TRAILING_12M_R&amp;D_%_SALES",$A$1,$A$2)</f>
        <v>#N/A N/A</v>
      </c>
      <c r="V892" s="6">
        <v>55</v>
      </c>
      <c r="W892" s="6">
        <v>551030</v>
      </c>
      <c r="X892" s="6">
        <v>55103010</v>
      </c>
      <c r="Y892" s="7" t="s">
        <v>181</v>
      </c>
      <c r="Z892" s="7" t="s">
        <v>182</v>
      </c>
      <c r="AA892" s="7" t="s">
        <v>182</v>
      </c>
      <c r="AB892" s="6">
        <v>62.277435302734375</v>
      </c>
      <c r="AC892" s="6">
        <v>0.99592005878485612</v>
      </c>
      <c r="AD892" s="6">
        <v>-26.079555658736798</v>
      </c>
      <c r="AE892" s="6">
        <v>179718</v>
      </c>
      <c r="AF892" s="6">
        <v>163226</v>
      </c>
    </row>
    <row r="893" spans="1:32" s="4" customFormat="1" ht="12.75" x14ac:dyDescent="0.2">
      <c r="A893" s="7" t="s">
        <v>2852</v>
      </c>
      <c r="B893" s="7" t="s">
        <v>2853</v>
      </c>
      <c r="C893" s="7" t="s">
        <v>2854</v>
      </c>
      <c r="D893" s="6">
        <v>0</v>
      </c>
      <c r="E893" s="6">
        <v>0</v>
      </c>
      <c r="F893" s="6">
        <v>0</v>
      </c>
      <c r="G893" s="6">
        <v>0</v>
      </c>
      <c r="H893" s="6">
        <v>0</v>
      </c>
      <c r="I893" s="6">
        <v>0</v>
      </c>
      <c r="J893" s="6">
        <v>0</v>
      </c>
      <c r="K893" s="6">
        <v>0</v>
      </c>
      <c r="L893" s="6">
        <v>0</v>
      </c>
      <c r="M893" s="6">
        <v>0</v>
      </c>
      <c r="N893" s="6"/>
      <c r="O893" s="6"/>
      <c r="P893" s="6"/>
      <c r="Q893" s="6"/>
      <c r="R893" s="6"/>
      <c r="S893" s="6"/>
      <c r="T893" s="6"/>
      <c r="U893" s="6" t="str">
        <f>_xll.BDP($A893,"TRAILING_12M_R&amp;D_%_SALES",$A$1,$A$2)</f>
        <v>#N/A Field Not Applicable</v>
      </c>
      <c r="V893" s="6"/>
      <c r="W893" s="6"/>
      <c r="X893" s="6"/>
      <c r="Y893" s="7" t="s">
        <v>1202</v>
      </c>
      <c r="Z893" s="7" t="s">
        <v>1202</v>
      </c>
      <c r="AA893" s="7" t="s">
        <v>1202</v>
      </c>
      <c r="AB893" s="6"/>
      <c r="AC893" s="6">
        <v>0.26074002875156099</v>
      </c>
      <c r="AD893" s="6">
        <v>-32.8558643798291</v>
      </c>
      <c r="AE893" s="6"/>
      <c r="AF893" s="6"/>
    </row>
    <row r="894" spans="1:32" s="4" customFormat="1" ht="12.75" x14ac:dyDescent="0.2">
      <c r="A894" s="7" t="s">
        <v>2855</v>
      </c>
      <c r="B894" s="7" t="s">
        <v>2856</v>
      </c>
      <c r="C894" s="7" t="s">
        <v>2857</v>
      </c>
      <c r="D894" s="6">
        <v>0</v>
      </c>
      <c r="E894" s="6">
        <v>0</v>
      </c>
      <c r="F894" s="6">
        <v>0</v>
      </c>
      <c r="G894" s="6">
        <v>0</v>
      </c>
      <c r="H894" s="6">
        <v>0</v>
      </c>
      <c r="I894" s="6">
        <v>0</v>
      </c>
      <c r="J894" s="6">
        <v>0</v>
      </c>
      <c r="K894" s="6">
        <v>0</v>
      </c>
      <c r="L894" s="6">
        <v>0</v>
      </c>
      <c r="M894" s="6">
        <v>0</v>
      </c>
      <c r="N894" s="6"/>
      <c r="O894" s="6"/>
      <c r="P894" s="6"/>
      <c r="Q894" s="6"/>
      <c r="R894" s="6"/>
      <c r="S894" s="6"/>
      <c r="T894" s="6"/>
      <c r="U894" s="6" t="str">
        <f>_xll.BDP($A894,"TRAILING_12M_R&amp;D_%_SALES",$A$1,$A$2)</f>
        <v>#N/A Field Not Applicable</v>
      </c>
      <c r="V894" s="6"/>
      <c r="W894" s="6"/>
      <c r="X894" s="6"/>
      <c r="Y894" s="7" t="s">
        <v>1202</v>
      </c>
      <c r="Z894" s="7" t="s">
        <v>1202</v>
      </c>
      <c r="AA894" s="7" t="s">
        <v>1202</v>
      </c>
      <c r="AB894" s="6"/>
      <c r="AC894" s="6">
        <v>-0.31507669734247901</v>
      </c>
      <c r="AD894" s="6">
        <v>-1.1396889760835531</v>
      </c>
      <c r="AE894" s="6"/>
      <c r="AF894" s="6"/>
    </row>
    <row r="895" spans="1:32" s="4" customFormat="1" ht="12.75" x14ac:dyDescent="0.2">
      <c r="A895" s="7" t="s">
        <v>2858</v>
      </c>
      <c r="B895" s="7" t="s">
        <v>2859</v>
      </c>
      <c r="C895" s="7" t="s">
        <v>2860</v>
      </c>
      <c r="D895" s="6">
        <v>0</v>
      </c>
      <c r="E895" s="6">
        <v>0</v>
      </c>
      <c r="F895" s="6">
        <v>0</v>
      </c>
      <c r="G895" s="6">
        <v>0</v>
      </c>
      <c r="H895" s="6">
        <v>0</v>
      </c>
      <c r="I895" s="6">
        <v>0</v>
      </c>
      <c r="J895" s="6">
        <v>0</v>
      </c>
      <c r="K895" s="6">
        <v>0</v>
      </c>
      <c r="L895" s="6">
        <v>0</v>
      </c>
      <c r="M895" s="6">
        <v>0</v>
      </c>
      <c r="N895" s="6"/>
      <c r="O895" s="6"/>
      <c r="P895" s="6"/>
      <c r="Q895" s="6"/>
      <c r="R895" s="6"/>
      <c r="S895" s="6"/>
      <c r="T895" s="6"/>
      <c r="U895" s="6" t="str">
        <f>_xll.BDP($A895,"TRAILING_12M_R&amp;D_%_SALES",$A$1,$A$2)</f>
        <v>#N/A Field Not Applicable</v>
      </c>
      <c r="V895" s="6"/>
      <c r="W895" s="6"/>
      <c r="X895" s="6"/>
      <c r="Y895" s="7" t="s">
        <v>1202</v>
      </c>
      <c r="Z895" s="7" t="s">
        <v>1202</v>
      </c>
      <c r="AA895" s="7" t="s">
        <v>1202</v>
      </c>
      <c r="AB895" s="6"/>
      <c r="AC895" s="6">
        <v>-1.1476165007495269</v>
      </c>
      <c r="AD895" s="6">
        <v>-25.572268523002982</v>
      </c>
      <c r="AE895" s="6"/>
      <c r="AF895" s="6"/>
    </row>
    <row r="896" spans="1:32" s="4" customFormat="1" ht="12.75" x14ac:dyDescent="0.2">
      <c r="A896" s="7" t="s">
        <v>2861</v>
      </c>
      <c r="B896" s="7" t="s">
        <v>2862</v>
      </c>
      <c r="C896" s="7" t="s">
        <v>2863</v>
      </c>
      <c r="D896" s="6">
        <v>0.101664066314697</v>
      </c>
      <c r="E896" s="6">
        <v>4.7979254275560004E-2</v>
      </c>
      <c r="F896" s="6">
        <v>-0.19933220744133001</v>
      </c>
      <c r="G896" s="6">
        <v>0.77171683311462402</v>
      </c>
      <c r="H896" s="6">
        <v>-0.31316968798637401</v>
      </c>
      <c r="I896" s="6">
        <v>1.81617283821106</v>
      </c>
      <c r="J896" s="6">
        <v>1.7315429449081421</v>
      </c>
      <c r="K896" s="6">
        <v>-0.41155964136123702</v>
      </c>
      <c r="L896" s="6">
        <v>0.69973635673522905</v>
      </c>
      <c r="M896" s="6">
        <v>1.5504933595657351</v>
      </c>
      <c r="N896" s="6">
        <v>0.29900622714976</v>
      </c>
      <c r="O896" s="6">
        <v>0.32789241127184804</v>
      </c>
      <c r="P896" s="6">
        <v>2.2319926580116149</v>
      </c>
      <c r="Q896" s="6">
        <v>1.8625112003082109</v>
      </c>
      <c r="R896" s="6">
        <v>5.2592260779621602</v>
      </c>
      <c r="S896" s="6">
        <v>7.4132508946572777</v>
      </c>
      <c r="T896" s="6">
        <v>47.796283721923828</v>
      </c>
      <c r="U896" s="6">
        <f>_xll.BDP($A896,"TRAILING_12M_R&amp;D_%_SALES",$A$1,$A$2)</f>
        <v>0</v>
      </c>
      <c r="V896" s="6">
        <v>10</v>
      </c>
      <c r="W896" s="6">
        <v>101020</v>
      </c>
      <c r="X896" s="6">
        <v>10102030</v>
      </c>
      <c r="Y896" s="7" t="s">
        <v>505</v>
      </c>
      <c r="Z896" s="7" t="s">
        <v>556</v>
      </c>
      <c r="AA896" s="7" t="s">
        <v>1482</v>
      </c>
      <c r="AB896" s="6">
        <v>63.192836761474609</v>
      </c>
      <c r="AC896" s="6">
        <v>0.75294101639982502</v>
      </c>
      <c r="AD896" s="6">
        <v>76.977617397068471</v>
      </c>
      <c r="AE896" s="6">
        <v>9813</v>
      </c>
      <c r="AF896" s="6">
        <v>9996</v>
      </c>
    </row>
    <row r="897" spans="1:32" s="4" customFormat="1" ht="12.75" x14ac:dyDescent="0.2">
      <c r="A897" s="7" t="s">
        <v>2864</v>
      </c>
      <c r="B897" s="7" t="s">
        <v>2865</v>
      </c>
      <c r="C897" s="7" t="s">
        <v>2866</v>
      </c>
      <c r="D897" s="6">
        <v>-0.27424103021621704</v>
      </c>
      <c r="E897" s="6">
        <v>-0.46933436393737804</v>
      </c>
      <c r="F897" s="6">
        <v>0.91175270080566406</v>
      </c>
      <c r="G897" s="6">
        <v>-0.8308968544006351</v>
      </c>
      <c r="H897" s="6">
        <v>8.9430376887321E-2</v>
      </c>
      <c r="I897" s="6">
        <v>0.35193330049514804</v>
      </c>
      <c r="J897" s="6">
        <v>0.63721042871475209</v>
      </c>
      <c r="K897" s="6">
        <v>-0.98141437768936213</v>
      </c>
      <c r="L897" s="6">
        <v>0.84787034988403309</v>
      </c>
      <c r="M897" s="6">
        <v>-0.75281655788421609</v>
      </c>
      <c r="N897" s="6">
        <v>0.86779638321252106</v>
      </c>
      <c r="O897" s="6">
        <v>0.87186109732973105</v>
      </c>
      <c r="P897" s="6">
        <v>2.3230201043271288</v>
      </c>
      <c r="Q897" s="6"/>
      <c r="R897" s="6">
        <v>11.239117389476602</v>
      </c>
      <c r="S897" s="6">
        <v>10.416070921658399</v>
      </c>
      <c r="T897" s="6">
        <v>23.16581916809082</v>
      </c>
      <c r="U897" s="6">
        <f>_xll.BDP($A897,"TRAILING_12M_R&amp;D_%_SALES",$A$1,$A$2)</f>
        <v>5.8762229081010897</v>
      </c>
      <c r="V897" s="6">
        <v>20</v>
      </c>
      <c r="W897" s="6">
        <v>201060</v>
      </c>
      <c r="X897" s="6">
        <v>20106010</v>
      </c>
      <c r="Y897" s="7" t="s">
        <v>43</v>
      </c>
      <c r="Z897" s="7" t="s">
        <v>630</v>
      </c>
      <c r="AA897" s="7" t="s">
        <v>631</v>
      </c>
      <c r="AB897" s="6">
        <v>55.537670135498047</v>
      </c>
      <c r="AC897" s="6">
        <v>1.0607967910068721</v>
      </c>
      <c r="AD897" s="6">
        <v>-15.434050510735753</v>
      </c>
      <c r="AE897" s="6">
        <v>95850</v>
      </c>
      <c r="AF897" s="6">
        <v>94914</v>
      </c>
    </row>
    <row r="898" spans="1:32" s="4" customFormat="1" ht="12.75" x14ac:dyDescent="0.2">
      <c r="A898" s="7" t="s">
        <v>2867</v>
      </c>
      <c r="B898" s="7" t="s">
        <v>2868</v>
      </c>
      <c r="C898" s="7" t="s">
        <v>2869</v>
      </c>
      <c r="D898" s="6">
        <v>-0.62327378988266002</v>
      </c>
      <c r="E898" s="6">
        <v>1.811066627502441</v>
      </c>
      <c r="F898" s="6">
        <v>0.81887680292129505</v>
      </c>
      <c r="G898" s="6">
        <v>-0.34016755223274203</v>
      </c>
      <c r="H898" s="6">
        <v>0.84541022777557406</v>
      </c>
      <c r="I898" s="6">
        <v>0.51492762565612804</v>
      </c>
      <c r="J898" s="6">
        <v>-0.24900186061859103</v>
      </c>
      <c r="K898" s="6">
        <v>-0.57847350835800204</v>
      </c>
      <c r="L898" s="6">
        <v>-0.81727248430252109</v>
      </c>
      <c r="M898" s="6">
        <v>-0.19637349247932401</v>
      </c>
      <c r="N898" s="6">
        <v>3.9313502842446639</v>
      </c>
      <c r="O898" s="6">
        <v>3.6671823483185602</v>
      </c>
      <c r="P898" s="6">
        <v>64.671830814406135</v>
      </c>
      <c r="Q898" s="6">
        <v>16.011941359222917</v>
      </c>
      <c r="R898" s="6">
        <v>39.033275168905952</v>
      </c>
      <c r="S898" s="6">
        <v>17.409226108974099</v>
      </c>
      <c r="T898" s="6">
        <v>25.491796493530273</v>
      </c>
      <c r="U898" s="6">
        <f>_xll.BDP($A898,"TRAILING_12M_R&amp;D_%_SALES",$A$1,$A$2)</f>
        <v>25.143277002204261</v>
      </c>
      <c r="V898" s="6">
        <v>45</v>
      </c>
      <c r="W898" s="6">
        <v>451030</v>
      </c>
      <c r="X898" s="6">
        <v>45103020</v>
      </c>
      <c r="Y898" s="7" t="s">
        <v>66</v>
      </c>
      <c r="Z898" s="7" t="s">
        <v>150</v>
      </c>
      <c r="AA898" s="7" t="s">
        <v>1933</v>
      </c>
      <c r="AB898" s="6">
        <v>61.201084136962891</v>
      </c>
      <c r="AC898" s="6">
        <v>0.93999006214634506</v>
      </c>
      <c r="AD898" s="6">
        <v>4.6904314342500308</v>
      </c>
      <c r="AE898" s="6">
        <v>37500</v>
      </c>
      <c r="AF898" s="6">
        <v>19900</v>
      </c>
    </row>
    <row r="899" spans="1:32" s="4" customFormat="1" ht="12.75" x14ac:dyDescent="0.2">
      <c r="A899" s="7" t="s">
        <v>2870</v>
      </c>
      <c r="B899" s="7" t="s">
        <v>2871</v>
      </c>
      <c r="C899" s="7" t="s">
        <v>2872</v>
      </c>
      <c r="D899" s="6">
        <v>-0.714383125305176</v>
      </c>
      <c r="E899" s="6">
        <v>0.145557016134262</v>
      </c>
      <c r="F899" s="6">
        <v>2.0663025379180908</v>
      </c>
      <c r="G899" s="6">
        <v>-0.67624390125274703</v>
      </c>
      <c r="H899" s="6">
        <v>1.4400235414505</v>
      </c>
      <c r="I899" s="6">
        <v>-1.516989469528198</v>
      </c>
      <c r="J899" s="6">
        <v>1.005559921264648</v>
      </c>
      <c r="K899" s="6">
        <v>-0.47590652108192405</v>
      </c>
      <c r="L899" s="6">
        <v>2.8496532440185551</v>
      </c>
      <c r="M899" s="6">
        <v>-0.78857409954071012</v>
      </c>
      <c r="N899" s="6">
        <v>2.5928391953944452</v>
      </c>
      <c r="O899" s="6">
        <v>4.0918450996396869</v>
      </c>
      <c r="P899" s="6">
        <v>0.51427130441259206</v>
      </c>
      <c r="Q899" s="6">
        <v>0.51837866879320804</v>
      </c>
      <c r="R899" s="6">
        <v>17.84543738244205</v>
      </c>
      <c r="S899" s="6">
        <v>8.9344398484159182</v>
      </c>
      <c r="T899" s="6">
        <v>1.8220299482345581</v>
      </c>
      <c r="U899" s="6" t="str">
        <f>_xll.BDP($A899,"TRAILING_12M_R&amp;D_%_SALES",$A$1,$A$2)</f>
        <v>#N/A N/A</v>
      </c>
      <c r="V899" s="6">
        <v>60</v>
      </c>
      <c r="W899" s="6">
        <v>602010</v>
      </c>
      <c r="X899" s="6">
        <v>60201020</v>
      </c>
      <c r="Y899" s="7" t="s">
        <v>307</v>
      </c>
      <c r="Z899" s="7" t="s">
        <v>615</v>
      </c>
      <c r="AA899" s="7" t="s">
        <v>2873</v>
      </c>
      <c r="AB899" s="6">
        <v>63.595211029052734</v>
      </c>
      <c r="AC899" s="6">
        <v>0.75408242814183402</v>
      </c>
      <c r="AD899" s="6">
        <v>-55.332591962930586</v>
      </c>
      <c r="AE899" s="6">
        <v>15871</v>
      </c>
      <c r="AF899" s="6">
        <v>7437</v>
      </c>
    </row>
    <row r="900" spans="1:32" s="4" customFormat="1" ht="12.75" x14ac:dyDescent="0.2">
      <c r="A900" s="7" t="s">
        <v>2874</v>
      </c>
      <c r="B900" s="7" t="s">
        <v>2875</v>
      </c>
      <c r="C900" s="7" t="s">
        <v>2876</v>
      </c>
      <c r="D900" s="6">
        <v>-7.1150064468384011E-2</v>
      </c>
      <c r="E900" s="6">
        <v>-0.72493851184845004</v>
      </c>
      <c r="F900" s="6">
        <v>0.60543793439865101</v>
      </c>
      <c r="G900" s="6">
        <v>-0.82284092903137207</v>
      </c>
      <c r="H900" s="6">
        <v>1.2692604064941411</v>
      </c>
      <c r="I900" s="6">
        <v>-0.332054764032364</v>
      </c>
      <c r="J900" s="6">
        <v>2.12977147102356</v>
      </c>
      <c r="K900" s="6">
        <v>-0.86149275302887007</v>
      </c>
      <c r="L900" s="6">
        <v>3.00003981590271</v>
      </c>
      <c r="M900" s="6">
        <v>-0.75819545984268211</v>
      </c>
      <c r="N900" s="6">
        <v>0.58639194512318404</v>
      </c>
      <c r="O900" s="6">
        <v>0.55841056052919202</v>
      </c>
      <c r="P900" s="6">
        <v>0.47169646906393103</v>
      </c>
      <c r="Q900" s="6">
        <v>0.46176032478253104</v>
      </c>
      <c r="R900" s="6">
        <v>12.988135648812397</v>
      </c>
      <c r="S900" s="6">
        <v>9.5906775898660914</v>
      </c>
      <c r="T900" s="6">
        <v>4.0001797676086426</v>
      </c>
      <c r="U900" s="6">
        <f>_xll.BDP($A900,"TRAILING_12M_R&amp;D_%_SALES",$A$1,$A$2)</f>
        <v>0</v>
      </c>
      <c r="V900" s="6">
        <v>50</v>
      </c>
      <c r="W900" s="6">
        <v>501020</v>
      </c>
      <c r="X900" s="6">
        <v>50102010</v>
      </c>
      <c r="Y900" s="7" t="s">
        <v>367</v>
      </c>
      <c r="Z900" s="7" t="s">
        <v>1626</v>
      </c>
      <c r="AA900" s="7" t="s">
        <v>1626</v>
      </c>
      <c r="AB900" s="6">
        <v>67.729606628417969</v>
      </c>
      <c r="AC900" s="6">
        <v>0.75751894675177611</v>
      </c>
      <c r="AD900" s="6">
        <v>-28.207427950434138</v>
      </c>
      <c r="AE900" s="6">
        <v>96941</v>
      </c>
      <c r="AF900" s="6">
        <v>111556</v>
      </c>
    </row>
    <row r="901" spans="1:32" s="4" customFormat="1" ht="12.75" x14ac:dyDescent="0.2">
      <c r="A901" s="7" t="s">
        <v>2877</v>
      </c>
      <c r="B901" s="7" t="s">
        <v>2878</v>
      </c>
      <c r="C901" s="7" t="s">
        <v>2879</v>
      </c>
      <c r="D901" s="6">
        <v>-7.1150064468384011E-2</v>
      </c>
      <c r="E901" s="6">
        <v>-0.72493851184845004</v>
      </c>
      <c r="F901" s="6">
        <v>0.60543793439865101</v>
      </c>
      <c r="G901" s="6">
        <v>-0.82284092903137207</v>
      </c>
      <c r="H901" s="6">
        <v>1.2692604064941411</v>
      </c>
      <c r="I901" s="6">
        <v>-0.332054764032364</v>
      </c>
      <c r="J901" s="6">
        <v>2.12977147102356</v>
      </c>
      <c r="K901" s="6">
        <v>-0.86149275302887007</v>
      </c>
      <c r="L901" s="6">
        <v>3.00003981590271</v>
      </c>
      <c r="M901" s="6">
        <v>-0.75819545984268211</v>
      </c>
      <c r="N901" s="6">
        <v>0.58639194512318404</v>
      </c>
      <c r="O901" s="6">
        <v>0.55316856341614407</v>
      </c>
      <c r="P901" s="6">
        <v>0.47169646906393103</v>
      </c>
      <c r="Q901" s="6">
        <v>0.45742562852650903</v>
      </c>
      <c r="R901" s="6">
        <v>12.988135648812397</v>
      </c>
      <c r="S901" s="6">
        <v>9.5006474143402873</v>
      </c>
      <c r="T901" s="6">
        <v>4.0001797676086426</v>
      </c>
      <c r="U901" s="6">
        <f>_xll.BDP($A901,"TRAILING_12M_R&amp;D_%_SALES",$A$1,$A$2)</f>
        <v>0</v>
      </c>
      <c r="V901" s="6">
        <v>50</v>
      </c>
      <c r="W901" s="6">
        <v>501020</v>
      </c>
      <c r="X901" s="6">
        <v>50102010</v>
      </c>
      <c r="Y901" s="7" t="s">
        <v>367</v>
      </c>
      <c r="Z901" s="7" t="s">
        <v>1626</v>
      </c>
      <c r="AA901" s="7" t="s">
        <v>1626</v>
      </c>
      <c r="AB901" s="6">
        <v>67.729606628417969</v>
      </c>
      <c r="AC901" s="6">
        <v>0.64140374964046609</v>
      </c>
      <c r="AD901" s="6">
        <v>-28.369046114239783</v>
      </c>
      <c r="AE901" s="6">
        <v>96941</v>
      </c>
      <c r="AF901" s="6">
        <v>111556</v>
      </c>
    </row>
    <row r="902" spans="1:32" s="4" customFormat="1" ht="12.75" x14ac:dyDescent="0.2">
      <c r="A902" s="7" t="s">
        <v>2880</v>
      </c>
      <c r="B902" s="7" t="s">
        <v>2881</v>
      </c>
      <c r="C902" s="7" t="s">
        <v>2882</v>
      </c>
      <c r="D902" s="6">
        <v>-0.27424103021621704</v>
      </c>
      <c r="E902" s="6">
        <v>-0.46933436393737804</v>
      </c>
      <c r="F902" s="6">
        <v>0.91175270080566406</v>
      </c>
      <c r="G902" s="6">
        <v>-0.8308968544006351</v>
      </c>
      <c r="H902" s="6">
        <v>8.9430376887321E-2</v>
      </c>
      <c r="I902" s="6">
        <v>0.35193330049514804</v>
      </c>
      <c r="J902" s="6">
        <v>0.63721042871475209</v>
      </c>
      <c r="K902" s="6">
        <v>-0.98141437768936213</v>
      </c>
      <c r="L902" s="6">
        <v>0.84787034988403309</v>
      </c>
      <c r="M902" s="6">
        <v>-0.75281655788421609</v>
      </c>
      <c r="N902" s="6">
        <v>0.86779638321252106</v>
      </c>
      <c r="O902" s="6">
        <v>0.85660861125853804</v>
      </c>
      <c r="P902" s="6">
        <v>2.3230201043271288</v>
      </c>
      <c r="Q902" s="6">
        <v>2.5141323629379131</v>
      </c>
      <c r="R902" s="6">
        <v>11.239117389476602</v>
      </c>
      <c r="S902" s="6">
        <v>11.43515112639875</v>
      </c>
      <c r="T902" s="6">
        <v>23.16581916809082</v>
      </c>
      <c r="U902" s="6">
        <f>_xll.BDP($A902,"TRAILING_12M_R&amp;D_%_SALES",$A$1,$A$2)</f>
        <v>5.8762229081010897</v>
      </c>
      <c r="V902" s="6">
        <v>20</v>
      </c>
      <c r="W902" s="6">
        <v>201060</v>
      </c>
      <c r="X902" s="6">
        <v>20106010</v>
      </c>
      <c r="Y902" s="7" t="s">
        <v>43</v>
      </c>
      <c r="Z902" s="7" t="s">
        <v>630</v>
      </c>
      <c r="AA902" s="7" t="s">
        <v>631</v>
      </c>
      <c r="AB902" s="6">
        <v>55.537670135498047</v>
      </c>
      <c r="AC902" s="6">
        <v>0.53216259634228402</v>
      </c>
      <c r="AD902" s="6">
        <v>-6.2200664478384793</v>
      </c>
      <c r="AE902" s="6">
        <v>95850</v>
      </c>
      <c r="AF902" s="6">
        <v>94914</v>
      </c>
    </row>
    <row r="903" spans="1:32" s="4" customFormat="1" ht="12.75" x14ac:dyDescent="0.2">
      <c r="A903" s="7" t="s">
        <v>2883</v>
      </c>
      <c r="B903" s="7" t="s">
        <v>2884</v>
      </c>
      <c r="C903" s="7" t="s">
        <v>2885</v>
      </c>
      <c r="D903" s="6">
        <v>-0.27424103021621704</v>
      </c>
      <c r="E903" s="6">
        <v>-0.46933436393737804</v>
      </c>
      <c r="F903" s="6">
        <v>0.91175270080566406</v>
      </c>
      <c r="G903" s="6">
        <v>-0.8308968544006351</v>
      </c>
      <c r="H903" s="6">
        <v>8.9430376887321E-2</v>
      </c>
      <c r="I903" s="6">
        <v>0.35193330049514804</v>
      </c>
      <c r="J903" s="6">
        <v>0.63721042871475209</v>
      </c>
      <c r="K903" s="6">
        <v>-0.98141437768936213</v>
      </c>
      <c r="L903" s="6">
        <v>0.84787034988403309</v>
      </c>
      <c r="M903" s="6">
        <v>-0.75281655788421609</v>
      </c>
      <c r="N903" s="6">
        <v>0.86779638321252106</v>
      </c>
      <c r="O903" s="6">
        <v>0.85660861125853804</v>
      </c>
      <c r="P903" s="6">
        <v>2.3230201043271288</v>
      </c>
      <c r="Q903" s="6">
        <v>2.3588930114221922</v>
      </c>
      <c r="R903" s="6">
        <v>11.239117389476602</v>
      </c>
      <c r="S903" s="6">
        <v>10.729068395228623</v>
      </c>
      <c r="T903" s="6">
        <v>23.16581916809082</v>
      </c>
      <c r="U903" s="6">
        <f>_xll.BDP($A903,"TRAILING_12M_R&amp;D_%_SALES",$A$1,$A$2)</f>
        <v>5.8762229081010897</v>
      </c>
      <c r="V903" s="6">
        <v>20</v>
      </c>
      <c r="W903" s="6">
        <v>201060</v>
      </c>
      <c r="X903" s="6">
        <v>20106010</v>
      </c>
      <c r="Y903" s="7" t="s">
        <v>43</v>
      </c>
      <c r="Z903" s="7" t="s">
        <v>630</v>
      </c>
      <c r="AA903" s="7" t="s">
        <v>631</v>
      </c>
      <c r="AB903" s="6">
        <v>55.537670135498047</v>
      </c>
      <c r="AC903" s="6">
        <v>0.66810751684368308</v>
      </c>
      <c r="AD903" s="6">
        <v>-14.655896662187583</v>
      </c>
      <c r="AE903" s="6">
        <v>95850</v>
      </c>
      <c r="AF903" s="6">
        <v>94914</v>
      </c>
    </row>
    <row r="904" spans="1:32" s="4" customFormat="1" ht="12.75" x14ac:dyDescent="0.2">
      <c r="A904" s="7" t="s">
        <v>2886</v>
      </c>
      <c r="B904" s="7" t="s">
        <v>2887</v>
      </c>
      <c r="C904" s="7" t="s">
        <v>2888</v>
      </c>
      <c r="D904" s="6">
        <v>-0.714383125305176</v>
      </c>
      <c r="E904" s="6">
        <v>0.145557016134262</v>
      </c>
      <c r="F904" s="6">
        <v>2.0663025379180908</v>
      </c>
      <c r="G904" s="6">
        <v>-0.67624390125274703</v>
      </c>
      <c r="H904" s="6">
        <v>1.4400235414505</v>
      </c>
      <c r="I904" s="6">
        <v>-1.516989469528198</v>
      </c>
      <c r="J904" s="6">
        <v>1.005559921264648</v>
      </c>
      <c r="K904" s="6">
        <v>-0.47590652108192405</v>
      </c>
      <c r="L904" s="6">
        <v>2.8496532440185551</v>
      </c>
      <c r="M904" s="6">
        <v>-0.78857409954071012</v>
      </c>
      <c r="N904" s="6">
        <v>2.5928391953944452</v>
      </c>
      <c r="O904" s="6">
        <v>3.7163670529854942</v>
      </c>
      <c r="P904" s="6">
        <v>0.51427130441259206</v>
      </c>
      <c r="Q904" s="6"/>
      <c r="R904" s="6">
        <v>17.84543738244205</v>
      </c>
      <c r="S904" s="6">
        <v>8.4611001917160777</v>
      </c>
      <c r="T904" s="6">
        <v>1.8220299482345581</v>
      </c>
      <c r="U904" s="6" t="str">
        <f>_xll.BDP($A904,"TRAILING_12M_R&amp;D_%_SALES",$A$1,$A$2)</f>
        <v>#N/A N/A</v>
      </c>
      <c r="V904" s="6">
        <v>60</v>
      </c>
      <c r="W904" s="6">
        <v>602010</v>
      </c>
      <c r="X904" s="6">
        <v>60201020</v>
      </c>
      <c r="Y904" s="7" t="s">
        <v>307</v>
      </c>
      <c r="Z904" s="7" t="s">
        <v>615</v>
      </c>
      <c r="AA904" s="7" t="s">
        <v>2873</v>
      </c>
      <c r="AB904" s="6">
        <v>63.595211029052734</v>
      </c>
      <c r="AC904" s="6">
        <v>0.97303058904668505</v>
      </c>
      <c r="AD904" s="6">
        <v>-55.475326824769652</v>
      </c>
      <c r="AE904" s="6">
        <v>15871</v>
      </c>
      <c r="AF904" s="6">
        <v>7437</v>
      </c>
    </row>
    <row r="905" spans="1:32" s="4" customFormat="1" ht="12.75" x14ac:dyDescent="0.2">
      <c r="A905" s="7" t="s">
        <v>2889</v>
      </c>
      <c r="B905" s="7" t="s">
        <v>2890</v>
      </c>
      <c r="C905" s="7" t="s">
        <v>2891</v>
      </c>
      <c r="D905" s="6">
        <v>-0.73799830675125111</v>
      </c>
      <c r="E905" s="6">
        <v>0.26281699538230902</v>
      </c>
      <c r="F905" s="6">
        <v>-0.71624451875686601</v>
      </c>
      <c r="G905" s="6">
        <v>-7.114281505346301E-2</v>
      </c>
      <c r="H905" s="6">
        <v>-1.2221149206161499</v>
      </c>
      <c r="I905" s="6">
        <v>1.3400529623031621</v>
      </c>
      <c r="J905" s="6">
        <v>-0.20730105042457603</v>
      </c>
      <c r="K905" s="6">
        <v>1.259598851203918</v>
      </c>
      <c r="L905" s="6">
        <v>-0.81727248430252109</v>
      </c>
      <c r="M905" s="6">
        <v>1.0524119138717649</v>
      </c>
      <c r="N905" s="6">
        <v>8.4821226768040177</v>
      </c>
      <c r="O905" s="6">
        <v>7.7583878713903909</v>
      </c>
      <c r="P905" s="6">
        <v>5.6881375697473988</v>
      </c>
      <c r="Q905" s="6">
        <v>4.2686911955826838</v>
      </c>
      <c r="R905" s="6">
        <v>21.357595540693708</v>
      </c>
      <c r="S905" s="6">
        <v>18.188148096574043</v>
      </c>
      <c r="T905" s="6">
        <v>29.017333984375</v>
      </c>
      <c r="U905" s="6">
        <f>_xll.BDP($A905,"TRAILING_12M_R&amp;D_%_SALES",$A$1,$A$2)</f>
        <v>32.94253228192121</v>
      </c>
      <c r="V905" s="6">
        <v>35</v>
      </c>
      <c r="W905" s="6">
        <v>352010</v>
      </c>
      <c r="X905" s="6">
        <v>35201010</v>
      </c>
      <c r="Y905" s="7" t="s">
        <v>86</v>
      </c>
      <c r="Z905" s="7" t="s">
        <v>87</v>
      </c>
      <c r="AA905" s="7" t="s">
        <v>87</v>
      </c>
      <c r="AB905" s="6">
        <v>60.064380645751953</v>
      </c>
      <c r="AC905" s="6">
        <v>0.76604913054342805</v>
      </c>
      <c r="AD905" s="6">
        <v>29.817937847168331</v>
      </c>
      <c r="AE905" s="6">
        <v>3900</v>
      </c>
      <c r="AF905" s="6">
        <v>2150</v>
      </c>
    </row>
    <row r="906" spans="1:32" s="4" customFormat="1" ht="12.75" x14ac:dyDescent="0.2">
      <c r="A906" s="7" t="s">
        <v>2892</v>
      </c>
      <c r="B906" s="7" t="s">
        <v>2893</v>
      </c>
      <c r="C906" s="7" t="s">
        <v>2894</v>
      </c>
      <c r="D906" s="6">
        <v>-0.8541899919509891</v>
      </c>
      <c r="E906" s="6">
        <v>-0.82214629650116011</v>
      </c>
      <c r="F906" s="6">
        <v>0.52848613262176503</v>
      </c>
      <c r="G906" s="6">
        <v>0.34061530232429504</v>
      </c>
      <c r="H906" s="6">
        <v>1.111464262008667</v>
      </c>
      <c r="I906" s="6">
        <v>0.19968421757221202</v>
      </c>
      <c r="J906" s="6">
        <v>1.976984858512878</v>
      </c>
      <c r="K906" s="6">
        <v>-0.63684225082397505</v>
      </c>
      <c r="L906" s="6">
        <v>1.315011143684387</v>
      </c>
      <c r="M906" s="6">
        <v>-0.47648587822914101</v>
      </c>
      <c r="N906" s="6">
        <v>0.8058218381383071</v>
      </c>
      <c r="O906" s="6">
        <v>0.85708392442177594</v>
      </c>
      <c r="P906" s="6">
        <v>0.70360872662485408</v>
      </c>
      <c r="Q906" s="6">
        <v>0.62607925995232705</v>
      </c>
      <c r="R906" s="6">
        <v>6.4378798725941824</v>
      </c>
      <c r="S906" s="6">
        <v>3.4824268995221019</v>
      </c>
      <c r="T906" s="6">
        <v>3.9857549667358398</v>
      </c>
      <c r="U906" s="6">
        <f>_xll.BDP($A906,"TRAILING_12M_R&amp;D_%_SALES",$A$1,$A$2)</f>
        <v>5.4914236823163529</v>
      </c>
      <c r="V906" s="6">
        <v>35</v>
      </c>
      <c r="W906" s="6">
        <v>352020</v>
      </c>
      <c r="X906" s="6">
        <v>35202010</v>
      </c>
      <c r="Y906" s="7" t="s">
        <v>86</v>
      </c>
      <c r="Z906" s="7" t="s">
        <v>271</v>
      </c>
      <c r="AA906" s="7" t="s">
        <v>271</v>
      </c>
      <c r="AB906" s="6">
        <v>58.505180358886719</v>
      </c>
      <c r="AC906" s="6">
        <v>0.88246326921022211</v>
      </c>
      <c r="AD906" s="6">
        <v>-14.409598145776748</v>
      </c>
      <c r="AE906" s="6">
        <v>37000</v>
      </c>
      <c r="AF906" s="6">
        <v>35000</v>
      </c>
    </row>
    <row r="907" spans="1:32" s="4" customFormat="1" ht="12.75" x14ac:dyDescent="0.2">
      <c r="A907" s="7" t="s">
        <v>2895</v>
      </c>
      <c r="B907" s="7" t="s">
        <v>2896</v>
      </c>
      <c r="C907" s="7" t="s">
        <v>2897</v>
      </c>
      <c r="D907" s="6">
        <v>-0.8662472963333131</v>
      </c>
      <c r="E907" s="6">
        <v>-2.0761985778808589</v>
      </c>
      <c r="F907" s="6">
        <v>0.38148555159568803</v>
      </c>
      <c r="G907" s="6">
        <v>-0.75007122755050704</v>
      </c>
      <c r="H907" s="6">
        <v>-0.57675546407699607</v>
      </c>
      <c r="I907" s="6">
        <v>0.38593798875808705</v>
      </c>
      <c r="J907" s="6">
        <v>-0.88728320598602306</v>
      </c>
      <c r="K907" s="6">
        <v>1.6558768227696002E-2</v>
      </c>
      <c r="L907" s="6">
        <v>-0.7273951768875121</v>
      </c>
      <c r="M907" s="6">
        <v>0.17410781979560902</v>
      </c>
      <c r="N907" s="6">
        <v>2.239102981622124</v>
      </c>
      <c r="O907" s="6">
        <v>2.015566644899645</v>
      </c>
      <c r="P907" s="6">
        <v>7.387425477303637</v>
      </c>
      <c r="Q907" s="6"/>
      <c r="R907" s="6"/>
      <c r="S907" s="6">
        <v>129.76020065283274</v>
      </c>
      <c r="T907" s="6">
        <v>-24.451858520507813</v>
      </c>
      <c r="U907" s="6">
        <f>_xll.BDP($A907,"TRAILING_12M_R&amp;D_%_SALES",$A$1,$A$2)</f>
        <v>3.0702515177797052</v>
      </c>
      <c r="V907" s="6">
        <v>20</v>
      </c>
      <c r="W907" s="6">
        <v>201040</v>
      </c>
      <c r="X907" s="6">
        <v>20104020</v>
      </c>
      <c r="Y907" s="7" t="s">
        <v>43</v>
      </c>
      <c r="Z907" s="7" t="s">
        <v>81</v>
      </c>
      <c r="AA907" s="7" t="s">
        <v>1848</v>
      </c>
      <c r="AB907" s="6">
        <v>60.889247894287109</v>
      </c>
      <c r="AC907" s="6">
        <v>0.92567413865305603</v>
      </c>
      <c r="AD907" s="6">
        <v>-5.0624685191274938</v>
      </c>
      <c r="AE907" s="6">
        <v>29427</v>
      </c>
      <c r="AF907" s="6">
        <v>21824</v>
      </c>
    </row>
    <row r="908" spans="1:32" s="4" customFormat="1" ht="12.75" x14ac:dyDescent="0.2">
      <c r="A908" s="7" t="s">
        <v>2898</v>
      </c>
      <c r="B908" s="7" t="s">
        <v>2899</v>
      </c>
      <c r="C908" s="7" t="s">
        <v>2900</v>
      </c>
      <c r="D908" s="6">
        <v>-0.8662472963333131</v>
      </c>
      <c r="E908" s="6">
        <v>-2.0761985778808589</v>
      </c>
      <c r="F908" s="6">
        <v>0.38148555159568803</v>
      </c>
      <c r="G908" s="6">
        <v>-0.75007122755050704</v>
      </c>
      <c r="H908" s="6">
        <v>-0.57675546407699607</v>
      </c>
      <c r="I908" s="6">
        <v>0.38593798875808705</v>
      </c>
      <c r="J908" s="6">
        <v>-0.88728320598602306</v>
      </c>
      <c r="K908" s="6">
        <v>1.6558768227696002E-2</v>
      </c>
      <c r="L908" s="6">
        <v>-0.7273951768875121</v>
      </c>
      <c r="M908" s="6">
        <v>0.17410781979560902</v>
      </c>
      <c r="N908" s="6">
        <v>2.239102981622124</v>
      </c>
      <c r="O908" s="6">
        <v>1.7858453364022611</v>
      </c>
      <c r="P908" s="6">
        <v>7.387425477303637</v>
      </c>
      <c r="Q908" s="6">
        <v>7.0238039680687203</v>
      </c>
      <c r="R908" s="6"/>
      <c r="S908" s="6">
        <v>112.93173773762602</v>
      </c>
      <c r="T908" s="6">
        <v>-24.451858520507813</v>
      </c>
      <c r="U908" s="6">
        <f>_xll.BDP($A908,"TRAILING_12M_R&amp;D_%_SALES",$A$1,$A$2)</f>
        <v>3.0702515177797052</v>
      </c>
      <c r="V908" s="6">
        <v>20</v>
      </c>
      <c r="W908" s="6">
        <v>201040</v>
      </c>
      <c r="X908" s="6">
        <v>20104020</v>
      </c>
      <c r="Y908" s="7" t="s">
        <v>43</v>
      </c>
      <c r="Z908" s="7" t="s">
        <v>81</v>
      </c>
      <c r="AA908" s="7" t="s">
        <v>1848</v>
      </c>
      <c r="AB908" s="6">
        <v>60.889247894287109</v>
      </c>
      <c r="AC908" s="6">
        <v>0.84054013935166605</v>
      </c>
      <c r="AD908" s="6">
        <v>-6.1374399327328462</v>
      </c>
      <c r="AE908" s="6">
        <v>29427</v>
      </c>
      <c r="AF908" s="6">
        <v>21824</v>
      </c>
    </row>
    <row r="909" spans="1:32" s="4" customFormat="1" ht="12.75" x14ac:dyDescent="0.2">
      <c r="A909" s="7" t="s">
        <v>2901</v>
      </c>
      <c r="B909" s="7" t="s">
        <v>2902</v>
      </c>
      <c r="C909" s="7" t="s">
        <v>2903</v>
      </c>
      <c r="D909" s="6">
        <v>0</v>
      </c>
      <c r="E909" s="6">
        <v>0</v>
      </c>
      <c r="F909" s="6">
        <v>0</v>
      </c>
      <c r="G909" s="6">
        <v>0</v>
      </c>
      <c r="H909" s="6">
        <v>0</v>
      </c>
      <c r="I909" s="6">
        <v>0</v>
      </c>
      <c r="J909" s="6">
        <v>0</v>
      </c>
      <c r="K909" s="6">
        <v>0</v>
      </c>
      <c r="L909" s="6">
        <v>0</v>
      </c>
      <c r="M909" s="6">
        <v>0</v>
      </c>
      <c r="N909" s="6"/>
      <c r="O909" s="6"/>
      <c r="P909" s="6"/>
      <c r="Q909" s="6"/>
      <c r="R909" s="6"/>
      <c r="S909" s="6"/>
      <c r="T909" s="6"/>
      <c r="U909" s="6" t="str">
        <f>_xll.BDP($A909,"TRAILING_12M_R&amp;D_%_SALES",$A$1,$A$2)</f>
        <v>#N/A Field Not Applicable</v>
      </c>
      <c r="V909" s="6"/>
      <c r="W909" s="6"/>
      <c r="X909" s="6"/>
      <c r="Y909" s="7" t="s">
        <v>1202</v>
      </c>
      <c r="Z909" s="7" t="s">
        <v>1202</v>
      </c>
      <c r="AA909" s="7" t="s">
        <v>1202</v>
      </c>
      <c r="AB909" s="6"/>
      <c r="AC909" s="6">
        <v>-0.77183841891432703</v>
      </c>
      <c r="AD909" s="6">
        <v>-24.532332568219061</v>
      </c>
      <c r="AE909" s="6"/>
      <c r="AF909" s="6"/>
    </row>
    <row r="910" spans="1:32" s="4" customFormat="1" ht="12.75" x14ac:dyDescent="0.2">
      <c r="A910" s="7" t="s">
        <v>2904</v>
      </c>
      <c r="B910" s="7" t="s">
        <v>2905</v>
      </c>
      <c r="C910" s="7" t="s">
        <v>2906</v>
      </c>
      <c r="D910" s="6">
        <v>0</v>
      </c>
      <c r="E910" s="6">
        <v>0</v>
      </c>
      <c r="F910" s="6">
        <v>0</v>
      </c>
      <c r="G910" s="6">
        <v>0</v>
      </c>
      <c r="H910" s="6">
        <v>0</v>
      </c>
      <c r="I910" s="6">
        <v>0</v>
      </c>
      <c r="J910" s="6">
        <v>0</v>
      </c>
      <c r="K910" s="6">
        <v>0</v>
      </c>
      <c r="L910" s="6">
        <v>0</v>
      </c>
      <c r="M910" s="6">
        <v>0</v>
      </c>
      <c r="N910" s="6"/>
      <c r="O910" s="6"/>
      <c r="P910" s="6"/>
      <c r="Q910" s="6"/>
      <c r="R910" s="6"/>
      <c r="S910" s="6"/>
      <c r="T910" s="6"/>
      <c r="U910" s="6" t="str">
        <f>_xll.BDP($A910,"TRAILING_12M_R&amp;D_%_SALES",$A$1,$A$2)</f>
        <v>#N/A Field Not Applicable</v>
      </c>
      <c r="V910" s="6"/>
      <c r="W910" s="6"/>
      <c r="X910" s="6"/>
      <c r="Y910" s="7" t="s">
        <v>1202</v>
      </c>
      <c r="Z910" s="7" t="s">
        <v>1202</v>
      </c>
      <c r="AA910" s="7" t="s">
        <v>1202</v>
      </c>
      <c r="AB910" s="6"/>
      <c r="AC910" s="6">
        <v>-0.28240301955527103</v>
      </c>
      <c r="AD910" s="6">
        <v>0.27152712552285202</v>
      </c>
      <c r="AE910" s="6"/>
      <c r="AF910" s="6"/>
    </row>
    <row r="911" spans="1:32" s="4" customFormat="1" ht="12.75" x14ac:dyDescent="0.2">
      <c r="A911" s="7" t="s">
        <v>2907</v>
      </c>
      <c r="B911" s="7" t="s">
        <v>2908</v>
      </c>
      <c r="C911" s="7" t="s">
        <v>2909</v>
      </c>
      <c r="D911" s="6">
        <v>0.94849103689193703</v>
      </c>
      <c r="E911" s="6">
        <v>-0.41404584050178506</v>
      </c>
      <c r="F911" s="6">
        <v>-0.25440770387649503</v>
      </c>
      <c r="G911" s="6">
        <v>-0.28591030836105302</v>
      </c>
      <c r="H911" s="6">
        <v>1.267702579498291</v>
      </c>
      <c r="I911" s="6">
        <v>-0.46186619997024503</v>
      </c>
      <c r="J911" s="6">
        <v>1.121306419372559</v>
      </c>
      <c r="K911" s="6">
        <v>-0.80332070589065607</v>
      </c>
      <c r="L911" s="6">
        <v>2.4450225830078129</v>
      </c>
      <c r="M911" s="6">
        <v>-0.82878261804580711</v>
      </c>
      <c r="N911" s="6">
        <v>1.217763492455685</v>
      </c>
      <c r="O911" s="6">
        <v>1.19500446405075</v>
      </c>
      <c r="P911" s="6">
        <v>1.8918096807378819</v>
      </c>
      <c r="Q911" s="6">
        <v>1.6289989594197292</v>
      </c>
      <c r="R911" s="6">
        <v>7.6273683159164438</v>
      </c>
      <c r="S911" s="6">
        <v>7.8663085426330701</v>
      </c>
      <c r="T911" s="6">
        <v>23.453607559204102</v>
      </c>
      <c r="U911" s="6" t="str">
        <f>_xll.BDP($A911,"TRAILING_12M_R&amp;D_%_SALES",$A$1,$A$2)</f>
        <v>#N/A N/A</v>
      </c>
      <c r="V911" s="6">
        <v>50</v>
      </c>
      <c r="W911" s="6">
        <v>501010</v>
      </c>
      <c r="X911" s="6">
        <v>50101020</v>
      </c>
      <c r="Y911" s="7" t="s">
        <v>367</v>
      </c>
      <c r="Z911" s="7" t="s">
        <v>458</v>
      </c>
      <c r="AA911" s="7" t="s">
        <v>459</v>
      </c>
      <c r="AB911" s="6">
        <v>57.217582702636719</v>
      </c>
      <c r="AC911" s="6">
        <v>0.58274940275529208</v>
      </c>
      <c r="AD911" s="6">
        <v>-20.4534101570665</v>
      </c>
      <c r="AE911" s="6">
        <v>118400</v>
      </c>
      <c r="AF911" s="6">
        <v>160900</v>
      </c>
    </row>
    <row r="912" spans="1:32" s="4" customFormat="1" ht="12.75" x14ac:dyDescent="0.2">
      <c r="A912" s="7" t="s">
        <v>2910</v>
      </c>
      <c r="B912" s="7" t="s">
        <v>2911</v>
      </c>
      <c r="C912" s="7" t="s">
        <v>2912</v>
      </c>
      <c r="D912" s="6">
        <v>3.6068536341190005E-2</v>
      </c>
      <c r="E912" s="6">
        <v>-0.7468957901000981</v>
      </c>
      <c r="F912" s="6">
        <v>0.65830546617507901</v>
      </c>
      <c r="G912" s="6">
        <v>0.171603754162788</v>
      </c>
      <c r="H912" s="6">
        <v>1.000922322273254</v>
      </c>
      <c r="I912" s="6">
        <v>-0.135738059878349</v>
      </c>
      <c r="J912" s="6">
        <v>0.92970705032348611</v>
      </c>
      <c r="K912" s="6">
        <v>-0.69267076253891002</v>
      </c>
      <c r="L912" s="6">
        <v>1.6611242294311519</v>
      </c>
      <c r="M912" s="6">
        <v>-0.57862144708633401</v>
      </c>
      <c r="N912" s="6">
        <v>0.24337056440515703</v>
      </c>
      <c r="O912" s="6">
        <v>0.23780863488944901</v>
      </c>
      <c r="P912" s="6">
        <v>1.2781091652721861</v>
      </c>
      <c r="Q912" s="6">
        <v>1.067705124258526</v>
      </c>
      <c r="R912" s="6">
        <v>9.0962171356481321</v>
      </c>
      <c r="S912" s="6">
        <v>8.1589871016186297</v>
      </c>
      <c r="T912" s="6">
        <v>17.813648223876953</v>
      </c>
      <c r="U912" s="6" t="str">
        <f>_xll.BDP($A912,"TRAILING_12M_R&amp;D_%_SALES",$A$1,$A$2)</f>
        <v>#N/A N/A</v>
      </c>
      <c r="V912" s="6">
        <v>30</v>
      </c>
      <c r="W912" s="6">
        <v>301010</v>
      </c>
      <c r="X912" s="6">
        <v>30101010</v>
      </c>
      <c r="Y912" s="7" t="s">
        <v>91</v>
      </c>
      <c r="Z912" s="7" t="s">
        <v>133</v>
      </c>
      <c r="AA912" s="7" t="s">
        <v>2913</v>
      </c>
      <c r="AB912" s="6">
        <v>57.187404632568359</v>
      </c>
      <c r="AC912" s="6">
        <v>0.84671493723139601</v>
      </c>
      <c r="AD912" s="6">
        <v>-24.750978732088146</v>
      </c>
      <c r="AE912" s="6">
        <v>325000</v>
      </c>
      <c r="AF912" s="6">
        <v>354000</v>
      </c>
    </row>
    <row r="913" spans="1:32" s="4" customFormat="1" ht="12.75" x14ac:dyDescent="0.2">
      <c r="A913" s="7" t="s">
        <v>2914</v>
      </c>
      <c r="B913" s="7" t="s">
        <v>2915</v>
      </c>
      <c r="C913" s="7" t="s">
        <v>2916</v>
      </c>
      <c r="D913" s="6">
        <v>-0.32381010055542003</v>
      </c>
      <c r="E913" s="6">
        <v>-2.0072681903839111</v>
      </c>
      <c r="F913" s="6">
        <v>0.72805994749069203</v>
      </c>
      <c r="G913" s="6">
        <v>-0.37704938650131203</v>
      </c>
      <c r="H913" s="6">
        <v>1.300475597381592</v>
      </c>
      <c r="I913" s="6">
        <v>-2.4022641181945801</v>
      </c>
      <c r="J913" s="6">
        <v>-0.35022684931755105</v>
      </c>
      <c r="K913" s="6">
        <v>0.81435930728912409</v>
      </c>
      <c r="L913" s="6">
        <v>-0.81727248430252109</v>
      </c>
      <c r="M913" s="6">
        <v>0.20041130483150502</v>
      </c>
      <c r="N913" s="6">
        <v>0.47457739433259005</v>
      </c>
      <c r="O913" s="6"/>
      <c r="P913" s="6">
        <v>0.47442006972765205</v>
      </c>
      <c r="Q913" s="6">
        <v>0.49471421362732104</v>
      </c>
      <c r="R913" s="6"/>
      <c r="S913" s="6"/>
      <c r="T913" s="6">
        <v>-17.565858840942383</v>
      </c>
      <c r="U913" s="6" t="str">
        <f>_xll.BDP($A913,"TRAILING_12M_R&amp;D_%_SALES",$A$1,$A$2)</f>
        <v>#N/A N/A</v>
      </c>
      <c r="V913" s="6">
        <v>50</v>
      </c>
      <c r="W913" s="6">
        <v>502020</v>
      </c>
      <c r="X913" s="6">
        <v>50202010</v>
      </c>
      <c r="Y913" s="7" t="s">
        <v>367</v>
      </c>
      <c r="Z913" s="7" t="s">
        <v>368</v>
      </c>
      <c r="AA913" s="7" t="s">
        <v>961</v>
      </c>
      <c r="AB913" s="6">
        <v>32.954429626464844</v>
      </c>
      <c r="AC913" s="6">
        <v>1.23920463918635</v>
      </c>
      <c r="AD913" s="6"/>
      <c r="AE913" s="6">
        <v>11000</v>
      </c>
      <c r="AF913" s="6">
        <v>7000</v>
      </c>
    </row>
    <row r="914" spans="1:32" s="4" customFormat="1" ht="12.75" x14ac:dyDescent="0.2">
      <c r="A914" s="7" t="s">
        <v>2917</v>
      </c>
      <c r="B914" s="7" t="s">
        <v>2918</v>
      </c>
      <c r="C914" s="7" t="s">
        <v>2919</v>
      </c>
      <c r="D914" s="6">
        <v>-0.44331675767898604</v>
      </c>
      <c r="E914" s="6">
        <v>-0.47033199667930603</v>
      </c>
      <c r="F914" s="6">
        <v>0.78886204957962003</v>
      </c>
      <c r="G914" s="6">
        <v>-0.47680127620697005</v>
      </c>
      <c r="H914" s="6">
        <v>-0.75245350599288907</v>
      </c>
      <c r="I914" s="6">
        <v>1.8042501211166382</v>
      </c>
      <c r="J914" s="6">
        <v>0.76182603836059604</v>
      </c>
      <c r="K914" s="6">
        <v>-0.13880480825901001</v>
      </c>
      <c r="L914" s="6">
        <v>3.00003981590271</v>
      </c>
      <c r="M914" s="6">
        <v>0.45747119188308705</v>
      </c>
      <c r="N914" s="6">
        <v>2.482924076195216</v>
      </c>
      <c r="O914" s="6"/>
      <c r="P914" s="6">
        <v>1.406085790795462</v>
      </c>
      <c r="Q914" s="6"/>
      <c r="R914" s="6">
        <v>7.6332338442511327</v>
      </c>
      <c r="S914" s="6"/>
      <c r="T914" s="6">
        <v>14.693007469177246</v>
      </c>
      <c r="U914" s="6">
        <f>_xll.BDP($A914,"TRAILING_12M_R&amp;D_%_SALES",$A$1,$A$2)</f>
        <v>0</v>
      </c>
      <c r="V914" s="6">
        <v>10</v>
      </c>
      <c r="W914" s="6">
        <v>101020</v>
      </c>
      <c r="X914" s="6">
        <v>10102020</v>
      </c>
      <c r="Y914" s="7" t="s">
        <v>505</v>
      </c>
      <c r="Z914" s="7" t="s">
        <v>556</v>
      </c>
      <c r="AA914" s="7" t="s">
        <v>776</v>
      </c>
      <c r="AB914" s="6">
        <v>66.482246398925781</v>
      </c>
      <c r="AC914" s="6">
        <v>0.79952249228171002</v>
      </c>
      <c r="AD914" s="6">
        <v>66.463624427572825</v>
      </c>
      <c r="AE914" s="6">
        <v>3684</v>
      </c>
      <c r="AF914" s="6">
        <v>3511</v>
      </c>
    </row>
    <row r="915" spans="1:32" s="4" customFormat="1" ht="12.75" x14ac:dyDescent="0.2">
      <c r="A915" s="7" t="s">
        <v>2920</v>
      </c>
      <c r="B915" s="7" t="s">
        <v>2921</v>
      </c>
      <c r="C915" s="7" t="s">
        <v>2922</v>
      </c>
      <c r="D915" s="6">
        <v>-0.76628243923187311</v>
      </c>
      <c r="E915" s="6">
        <v>-0.70895177125930808</v>
      </c>
      <c r="F915" s="6">
        <v>9.7585365176201005E-2</v>
      </c>
      <c r="G915" s="6">
        <v>-0.44898939132690402</v>
      </c>
      <c r="H915" s="6">
        <v>0.75960868597030606</v>
      </c>
      <c r="I915" s="6">
        <v>0.42465421557426503</v>
      </c>
      <c r="J915" s="6">
        <v>-5.7049158960581006E-2</v>
      </c>
      <c r="K915" s="6">
        <v>-0.72690254449844405</v>
      </c>
      <c r="L915" s="6">
        <v>0.77470695972442605</v>
      </c>
      <c r="M915" s="6">
        <v>-1.002261161804199</v>
      </c>
      <c r="N915" s="6">
        <v>3.2001107732665361</v>
      </c>
      <c r="O915" s="6">
        <v>3.2298224936192139</v>
      </c>
      <c r="P915" s="6">
        <v>2.604477345445857</v>
      </c>
      <c r="Q915" s="6">
        <v>2.4413436229168801</v>
      </c>
      <c r="R915" s="6">
        <v>21.019156295299091</v>
      </c>
      <c r="S915" s="6">
        <v>20.357974253755888</v>
      </c>
      <c r="T915" s="6">
        <v>12.393100738525391</v>
      </c>
      <c r="U915" s="6" t="str">
        <f>_xll.BDP($A915,"TRAILING_12M_R&amp;D_%_SALES",$A$1,$A$2)</f>
        <v>#N/A N/A</v>
      </c>
      <c r="V915" s="6">
        <v>55</v>
      </c>
      <c r="W915" s="6">
        <v>551030</v>
      </c>
      <c r="X915" s="6">
        <v>55103010</v>
      </c>
      <c r="Y915" s="7" t="s">
        <v>181</v>
      </c>
      <c r="Z915" s="7" t="s">
        <v>182</v>
      </c>
      <c r="AA915" s="7" t="s">
        <v>182</v>
      </c>
      <c r="AB915" s="6">
        <v>71.723167419433594</v>
      </c>
      <c r="AC915" s="6">
        <v>0.62149404290911303</v>
      </c>
      <c r="AD915" s="6">
        <v>-0.54137176757521599</v>
      </c>
      <c r="AE915" s="6">
        <v>6938</v>
      </c>
      <c r="AF915" s="6">
        <v>7983</v>
      </c>
    </row>
    <row r="916" spans="1:32" s="4" customFormat="1" ht="12.75" x14ac:dyDescent="0.2">
      <c r="A916" s="7" t="s">
        <v>2923</v>
      </c>
      <c r="B916" s="7" t="s">
        <v>2924</v>
      </c>
      <c r="C916" s="7" t="s">
        <v>2925</v>
      </c>
      <c r="D916" s="6">
        <v>-0.82907986640930209</v>
      </c>
      <c r="E916" s="6">
        <v>-0.94808506965637207</v>
      </c>
      <c r="F916" s="6">
        <v>2.0608241558074951</v>
      </c>
      <c r="G916" s="6">
        <v>-0.47576177120208701</v>
      </c>
      <c r="H916" s="6">
        <v>-0.26349234580993702</v>
      </c>
      <c r="I916" s="6">
        <v>-0.54605531692504905</v>
      </c>
      <c r="J916" s="6">
        <v>0.79082775115966808</v>
      </c>
      <c r="K916" s="6">
        <v>-0.12611751258373302</v>
      </c>
      <c r="L916" s="6">
        <v>0.68900805711746205</v>
      </c>
      <c r="M916" s="6">
        <v>-0.516765356063843</v>
      </c>
      <c r="N916" s="6">
        <v>0.48203398083802501</v>
      </c>
      <c r="O916" s="6">
        <v>0.43773793260950605</v>
      </c>
      <c r="P916" s="6">
        <v>1.1378586790367571</v>
      </c>
      <c r="Q916" s="6">
        <v>1.015809417962267</v>
      </c>
      <c r="R916" s="6">
        <v>17.336380750923372</v>
      </c>
      <c r="S916" s="6">
        <v>11.803990490116981</v>
      </c>
      <c r="T916" s="6">
        <v>6.7246508598327637</v>
      </c>
      <c r="U916" s="6">
        <f>_xll.BDP($A916,"TRAILING_12M_R&amp;D_%_SALES",$A$1,$A$2)</f>
        <v>4.4253645135015143</v>
      </c>
      <c r="V916" s="6">
        <v>20</v>
      </c>
      <c r="W916" s="6">
        <v>201060</v>
      </c>
      <c r="X916" s="6">
        <v>20106010</v>
      </c>
      <c r="Y916" s="7" t="s">
        <v>43</v>
      </c>
      <c r="Z916" s="7" t="s">
        <v>630</v>
      </c>
      <c r="AA916" s="7" t="s">
        <v>631</v>
      </c>
      <c r="AB916" s="6">
        <v>65.808265686035156</v>
      </c>
      <c r="AC916" s="6">
        <v>0.44234733806049203</v>
      </c>
      <c r="AD916" s="6">
        <v>-32.905480963318823</v>
      </c>
      <c r="AE916" s="6">
        <v>42953</v>
      </c>
      <c r="AF916" s="6">
        <v>39219</v>
      </c>
    </row>
    <row r="917" spans="1:32" s="4" customFormat="1" ht="12.75" x14ac:dyDescent="0.2">
      <c r="A917" s="7" t="s">
        <v>2926</v>
      </c>
      <c r="B917" s="7" t="s">
        <v>2927</v>
      </c>
      <c r="C917" s="7" t="s">
        <v>2928</v>
      </c>
      <c r="D917" s="6">
        <v>-0.82907986640930209</v>
      </c>
      <c r="E917" s="6">
        <v>-0.94808506965637207</v>
      </c>
      <c r="F917" s="6">
        <v>2.0608241558074951</v>
      </c>
      <c r="G917" s="6">
        <v>-0.47576177120208701</v>
      </c>
      <c r="H917" s="6">
        <v>-0.26349234580993702</v>
      </c>
      <c r="I917" s="6">
        <v>-0.54605531692504905</v>
      </c>
      <c r="J917" s="6">
        <v>0.79082775115966808</v>
      </c>
      <c r="K917" s="6">
        <v>-0.12611751258373302</v>
      </c>
      <c r="L917" s="6">
        <v>0.68900805711746205</v>
      </c>
      <c r="M917" s="6">
        <v>-0.516765356063843</v>
      </c>
      <c r="N917" s="6">
        <v>0.48203398083802501</v>
      </c>
      <c r="O917" s="6"/>
      <c r="P917" s="6">
        <v>1.1378586790367571</v>
      </c>
      <c r="Q917" s="6"/>
      <c r="R917" s="6">
        <v>17.336380750923372</v>
      </c>
      <c r="S917" s="6"/>
      <c r="T917" s="6">
        <v>6.7246508598327637</v>
      </c>
      <c r="U917" s="6">
        <f>_xll.BDP($A917,"TRAILING_12M_R&amp;D_%_SALES",$A$1,$A$2)</f>
        <v>4.4253645135015143</v>
      </c>
      <c r="V917" s="6">
        <v>20</v>
      </c>
      <c r="W917" s="6">
        <v>201060</v>
      </c>
      <c r="X917" s="6">
        <v>20106010</v>
      </c>
      <c r="Y917" s="7" t="s">
        <v>43</v>
      </c>
      <c r="Z917" s="7" t="s">
        <v>630</v>
      </c>
      <c r="AA917" s="7" t="s">
        <v>631</v>
      </c>
      <c r="AB917" s="6">
        <v>65.808265686035156</v>
      </c>
      <c r="AC917" s="6">
        <v>0.70597219549594203</v>
      </c>
      <c r="AD917" s="6">
        <v>-30.845703115553945</v>
      </c>
      <c r="AE917" s="6">
        <v>42953</v>
      </c>
      <c r="AF917" s="6">
        <v>39219</v>
      </c>
    </row>
    <row r="918" spans="1:32" s="4" customFormat="1" ht="12.75" x14ac:dyDescent="0.2">
      <c r="A918" s="7" t="s">
        <v>2929</v>
      </c>
      <c r="B918" s="7" t="s">
        <v>2930</v>
      </c>
      <c r="C918" s="7" t="s">
        <v>2931</v>
      </c>
      <c r="D918" s="6">
        <v>-0.88624793291091908</v>
      </c>
      <c r="E918" s="6">
        <v>-0.72550082206726108</v>
      </c>
      <c r="F918" s="6">
        <v>-6.6190682351589009E-2</v>
      </c>
      <c r="G918" s="6">
        <v>-0.25270295143127403</v>
      </c>
      <c r="H918" s="6">
        <v>0.52284049987793002</v>
      </c>
      <c r="I918" s="6">
        <v>-0.33539396524429305</v>
      </c>
      <c r="J918" s="6">
        <v>-0.31241729855537403</v>
      </c>
      <c r="K918" s="6">
        <v>-0.44848755002021806</v>
      </c>
      <c r="L918" s="6">
        <v>1.0081912279129031</v>
      </c>
      <c r="M918" s="6">
        <v>-0.9532057642936711</v>
      </c>
      <c r="N918" s="6">
        <v>5.2279996860956084</v>
      </c>
      <c r="O918" s="6">
        <v>4.799194818981924</v>
      </c>
      <c r="P918" s="6">
        <v>1.6157840297889949</v>
      </c>
      <c r="Q918" s="6">
        <v>1.512037507036341</v>
      </c>
      <c r="R918" s="6">
        <v>158.75438731112163</v>
      </c>
      <c r="S918" s="6">
        <v>86.786798426764989</v>
      </c>
      <c r="T918" s="6">
        <v>1.130167961120605</v>
      </c>
      <c r="U918" s="6" t="str">
        <f>_xll.BDP($A918,"TRAILING_12M_R&amp;D_%_SALES",$A$1,$A$2)</f>
        <v>#N/A N/A</v>
      </c>
      <c r="V918" s="6">
        <v>60</v>
      </c>
      <c r="W918" s="6">
        <v>601050</v>
      </c>
      <c r="X918" s="6">
        <v>60105010</v>
      </c>
      <c r="Y918" s="7" t="s">
        <v>307</v>
      </c>
      <c r="Z918" s="7" t="s">
        <v>2932</v>
      </c>
      <c r="AA918" s="7" t="s">
        <v>2932</v>
      </c>
      <c r="AB918" s="6">
        <v>72.3870849609375</v>
      </c>
      <c r="AC918" s="6">
        <v>0.73267580164299406</v>
      </c>
      <c r="AD918" s="6">
        <v>-21.28711832689606</v>
      </c>
      <c r="AE918" s="6">
        <v>464</v>
      </c>
      <c r="AF918" s="6">
        <v>466</v>
      </c>
    </row>
    <row r="919" spans="1:32" s="4" customFormat="1" ht="12.75" x14ac:dyDescent="0.2">
      <c r="A919" s="7" t="s">
        <v>2933</v>
      </c>
      <c r="B919" s="7" t="s">
        <v>2934</v>
      </c>
      <c r="C919" s="7" t="s">
        <v>2935</v>
      </c>
      <c r="D919" s="6">
        <v>-0.58658885955810502</v>
      </c>
      <c r="E919" s="6">
        <v>-0.82260084152221702</v>
      </c>
      <c r="F919" s="6">
        <v>1.766323566436768</v>
      </c>
      <c r="G919" s="6">
        <v>-0.63485211133956909</v>
      </c>
      <c r="H919" s="6">
        <v>1.1933667659759519</v>
      </c>
      <c r="I919" s="6">
        <v>0.36551988124847401</v>
      </c>
      <c r="J919" s="6">
        <v>3.000007152557373</v>
      </c>
      <c r="K919" s="6">
        <v>-0.66615140438079801</v>
      </c>
      <c r="L919" s="6">
        <v>2.8826010227203369</v>
      </c>
      <c r="M919" s="6">
        <v>-0.94171267747879006</v>
      </c>
      <c r="N919" s="6">
        <v>0.52938915021699107</v>
      </c>
      <c r="O919" s="6"/>
      <c r="P919" s="6">
        <v>0.33143787069999803</v>
      </c>
      <c r="Q919" s="6"/>
      <c r="R919" s="6">
        <v>2.8295077415330732</v>
      </c>
      <c r="S919" s="6">
        <v>2.2419540930106732</v>
      </c>
      <c r="T919" s="6">
        <v>12.231902122497559</v>
      </c>
      <c r="U919" s="6" t="str">
        <f>_xll.BDP($A919,"TRAILING_12M_R&amp;D_%_SALES",$A$1,$A$2)</f>
        <v>#N/A N/A</v>
      </c>
      <c r="V919" s="6">
        <v>40</v>
      </c>
      <c r="W919" s="6">
        <v>401010</v>
      </c>
      <c r="X919" s="6">
        <v>40101010</v>
      </c>
      <c r="Y919" s="7" t="s">
        <v>53</v>
      </c>
      <c r="Z919" s="7" t="s">
        <v>76</v>
      </c>
      <c r="AA919" s="7" t="s">
        <v>77</v>
      </c>
      <c r="AB919" s="6">
        <v>64.671562194824219</v>
      </c>
      <c r="AC919" s="6">
        <v>0.87174046183316212</v>
      </c>
      <c r="AD919" s="6">
        <v>-6.4107777152638494</v>
      </c>
      <c r="AE919" s="6"/>
      <c r="AF919" s="6"/>
    </row>
    <row r="920" spans="1:32" s="4" customFormat="1" ht="12.75" x14ac:dyDescent="0.2">
      <c r="A920" s="7" t="s">
        <v>2936</v>
      </c>
      <c r="B920" s="7" t="s">
        <v>2937</v>
      </c>
      <c r="C920" s="7" t="s">
        <v>2938</v>
      </c>
      <c r="D920" s="6">
        <v>-0.702581226825714</v>
      </c>
      <c r="E920" s="6">
        <v>-0.336127460002899</v>
      </c>
      <c r="F920" s="6">
        <v>-8.1856787204742001E-2</v>
      </c>
      <c r="G920" s="6">
        <v>-0.92668932676315308</v>
      </c>
      <c r="H920" s="6">
        <v>0.46094891428947404</v>
      </c>
      <c r="I920" s="6">
        <v>-0.28849449753761303</v>
      </c>
      <c r="J920" s="6">
        <v>-0.10284672677516901</v>
      </c>
      <c r="K920" s="6">
        <v>-1.6513212919235229</v>
      </c>
      <c r="L920" s="6">
        <v>1.0759845972061159</v>
      </c>
      <c r="M920" s="6">
        <v>0.72957599163055409</v>
      </c>
      <c r="N920" s="6">
        <v>1.4130812000627231</v>
      </c>
      <c r="O920" s="6">
        <v>1.293641675315881</v>
      </c>
      <c r="P920" s="6">
        <v>6.5240695398428672</v>
      </c>
      <c r="Q920" s="6">
        <v>6.27835739882096</v>
      </c>
      <c r="R920" s="6">
        <v>22.090212865542696</v>
      </c>
      <c r="S920" s="6">
        <v>21.568333317933085</v>
      </c>
      <c r="T920" s="6">
        <v>26.582277297973633</v>
      </c>
      <c r="U920" s="6">
        <f>_xll.BDP($A920,"TRAILING_12M_R&amp;D_%_SALES",$A$1,$A$2)</f>
        <v>0</v>
      </c>
      <c r="V920" s="6">
        <v>25</v>
      </c>
      <c r="W920" s="6">
        <v>255030</v>
      </c>
      <c r="X920" s="6">
        <v>25503030</v>
      </c>
      <c r="Y920" s="7" t="s">
        <v>108</v>
      </c>
      <c r="Z920" s="7" t="s">
        <v>313</v>
      </c>
      <c r="AA920" s="7" t="s">
        <v>313</v>
      </c>
      <c r="AB920" s="6">
        <v>53.274318695068359</v>
      </c>
      <c r="AC920" s="6">
        <v>0.32890719904453303</v>
      </c>
      <c r="AD920" s="6">
        <v>-21.058899908426088</v>
      </c>
      <c r="AE920" s="6">
        <v>120000</v>
      </c>
      <c r="AF920" s="6">
        <v>223000</v>
      </c>
    </row>
    <row r="921" spans="1:32" s="4" customFormat="1" ht="12.75" x14ac:dyDescent="0.2">
      <c r="A921" s="7" t="s">
        <v>2939</v>
      </c>
      <c r="B921" s="7" t="s">
        <v>2940</v>
      </c>
      <c r="C921" s="7" t="s">
        <v>2941</v>
      </c>
      <c r="D921" s="6">
        <v>-0.702581226825714</v>
      </c>
      <c r="E921" s="6">
        <v>-0.336127460002899</v>
      </c>
      <c r="F921" s="6">
        <v>-8.1856787204742001E-2</v>
      </c>
      <c r="G921" s="6">
        <v>-0.92668932676315308</v>
      </c>
      <c r="H921" s="6">
        <v>0.46094891428947404</v>
      </c>
      <c r="I921" s="6">
        <v>-0.28849449753761303</v>
      </c>
      <c r="J921" s="6">
        <v>-0.10284672677516901</v>
      </c>
      <c r="K921" s="6">
        <v>-1.6513212919235229</v>
      </c>
      <c r="L921" s="6">
        <v>1.0759845972061159</v>
      </c>
      <c r="M921" s="6">
        <v>0.72957599163055409</v>
      </c>
      <c r="N921" s="6">
        <v>1.4130812000627231</v>
      </c>
      <c r="O921" s="6"/>
      <c r="P921" s="6">
        <v>6.5240695398428672</v>
      </c>
      <c r="Q921" s="6"/>
      <c r="R921" s="6">
        <v>22.090212865542696</v>
      </c>
      <c r="S921" s="6"/>
      <c r="T921" s="6">
        <v>26.582277297973633</v>
      </c>
      <c r="U921" s="6">
        <f>_xll.BDP($A921,"TRAILING_12M_R&amp;D_%_SALES",$A$1,$A$2)</f>
        <v>0</v>
      </c>
      <c r="V921" s="6">
        <v>25</v>
      </c>
      <c r="W921" s="6">
        <v>255030</v>
      </c>
      <c r="X921" s="6">
        <v>25503030</v>
      </c>
      <c r="Y921" s="7" t="s">
        <v>108</v>
      </c>
      <c r="Z921" s="7" t="s">
        <v>313</v>
      </c>
      <c r="AA921" s="7" t="s">
        <v>313</v>
      </c>
      <c r="AB921" s="6">
        <v>53.274318695068359</v>
      </c>
      <c r="AC921" s="6">
        <v>0.90654243542293611</v>
      </c>
      <c r="AD921" s="6">
        <v>-26.677204418101063</v>
      </c>
      <c r="AE921" s="6">
        <v>120000</v>
      </c>
      <c r="AF921" s="6">
        <v>223000</v>
      </c>
    </row>
    <row r="922" spans="1:32" s="4" customFormat="1" ht="12.75" x14ac:dyDescent="0.2">
      <c r="A922" s="7" t="s">
        <v>2942</v>
      </c>
      <c r="B922" s="7" t="s">
        <v>2943</v>
      </c>
      <c r="C922" s="7" t="s">
        <v>2944</v>
      </c>
      <c r="D922" s="6">
        <v>1.2686798572540281</v>
      </c>
      <c r="E922" s="6">
        <v>-0.8854317665100101</v>
      </c>
      <c r="F922" s="6">
        <v>0.70812571048736606</v>
      </c>
      <c r="G922" s="6">
        <v>-0.14853248000145</v>
      </c>
      <c r="H922" s="6">
        <v>0.40864834189415006</v>
      </c>
      <c r="I922" s="6">
        <v>-8.6326770484447007E-2</v>
      </c>
      <c r="J922" s="6">
        <v>1.1481137275695801</v>
      </c>
      <c r="K922" s="6">
        <v>-0.66634190082550004</v>
      </c>
      <c r="L922" s="6">
        <v>0.59837311506271407</v>
      </c>
      <c r="M922" s="6">
        <v>-0.92576777935028109</v>
      </c>
      <c r="N922" s="6">
        <v>1.967468743453427</v>
      </c>
      <c r="O922" s="6">
        <v>1.9230107051336129</v>
      </c>
      <c r="P922" s="6">
        <v>1.0086873136480781</v>
      </c>
      <c r="Q922" s="6">
        <v>0.90916409294971012</v>
      </c>
      <c r="R922" s="6">
        <v>11.070675795340298</v>
      </c>
      <c r="S922" s="6">
        <v>8.1103449134316055</v>
      </c>
      <c r="T922" s="6">
        <v>9.3125429153442383</v>
      </c>
      <c r="U922" s="6" t="str">
        <f>_xll.BDP($A922,"TRAILING_12M_R&amp;D_%_SALES",$A$1,$A$2)</f>
        <v>#N/A N/A</v>
      </c>
      <c r="V922" s="6">
        <v>40</v>
      </c>
      <c r="W922" s="6">
        <v>401010</v>
      </c>
      <c r="X922" s="6">
        <v>40101010</v>
      </c>
      <c r="Y922" s="7" t="s">
        <v>53</v>
      </c>
      <c r="Z922" s="7" t="s">
        <v>76</v>
      </c>
      <c r="AA922" s="7" t="s">
        <v>77</v>
      </c>
      <c r="AB922" s="6">
        <v>62.921234130859375</v>
      </c>
      <c r="AC922" s="6">
        <v>0.97938499230091702</v>
      </c>
      <c r="AD922" s="6">
        <v>-12.103918824523173</v>
      </c>
      <c r="AE922" s="6">
        <v>249435</v>
      </c>
      <c r="AF922" s="6">
        <v>269100</v>
      </c>
    </row>
    <row r="923" spans="1:32" s="4" customFormat="1" ht="12.75" x14ac:dyDescent="0.2">
      <c r="A923" s="7" t="s">
        <v>2945</v>
      </c>
      <c r="B923" s="7" t="s">
        <v>2946</v>
      </c>
      <c r="C923" s="7" t="s">
        <v>2947</v>
      </c>
      <c r="D923" s="6">
        <v>-0.45044809579849204</v>
      </c>
      <c r="E923" s="6">
        <v>-0.32292518019676203</v>
      </c>
      <c r="F923" s="6">
        <v>-0.43267083168029802</v>
      </c>
      <c r="G923" s="6">
        <v>-0.50012797117233299</v>
      </c>
      <c r="H923" s="6">
        <v>0.64388352632522605</v>
      </c>
      <c r="I923" s="6">
        <v>0.26436999440193204</v>
      </c>
      <c r="J923" s="6">
        <v>-0.23611494898796101</v>
      </c>
      <c r="K923" s="6">
        <v>-0.46735441684722906</v>
      </c>
      <c r="L923" s="6">
        <v>-1.5820011496544002E-2</v>
      </c>
      <c r="M923" s="6">
        <v>-0.69968920946121205</v>
      </c>
      <c r="N923" s="6">
        <v>3.3481854764148071</v>
      </c>
      <c r="O923" s="6">
        <v>3.092656196800168</v>
      </c>
      <c r="P923" s="6">
        <v>9.18765193080724</v>
      </c>
      <c r="Q923" s="6">
        <v>8.4246291535870625</v>
      </c>
      <c r="R923" s="6">
        <v>28.316515243083153</v>
      </c>
      <c r="S923" s="6">
        <v>25.474874625391138</v>
      </c>
      <c r="T923" s="6">
        <v>31.65985107421875</v>
      </c>
      <c r="U923" s="6" t="str">
        <f>_xll.BDP($A923,"TRAILING_12M_R&amp;D_%_SALES",$A$1,$A$2)</f>
        <v>#N/A N/A</v>
      </c>
      <c r="V923" s="6">
        <v>20</v>
      </c>
      <c r="W923" s="6">
        <v>202010</v>
      </c>
      <c r="X923" s="6">
        <v>20201050</v>
      </c>
      <c r="Y923" s="7" t="s">
        <v>43</v>
      </c>
      <c r="Z923" s="7" t="s">
        <v>2360</v>
      </c>
      <c r="AA923" s="7" t="s">
        <v>2361</v>
      </c>
      <c r="AB923" s="6">
        <v>71.200080871582031</v>
      </c>
      <c r="AC923" s="6">
        <v>0.65731237758663807</v>
      </c>
      <c r="AD923" s="6">
        <v>-3.8256056567406489</v>
      </c>
      <c r="AE923" s="6">
        <v>48500</v>
      </c>
      <c r="AF923" s="6">
        <v>41200</v>
      </c>
    </row>
    <row r="924" spans="1:32" s="4" customFormat="1" ht="12.75" x14ac:dyDescent="0.2">
      <c r="A924" s="7" t="s">
        <v>2948</v>
      </c>
      <c r="B924" s="7" t="s">
        <v>2949</v>
      </c>
      <c r="C924" s="7" t="s">
        <v>2950</v>
      </c>
      <c r="D924" s="6">
        <v>-0.58449381589889504</v>
      </c>
      <c r="E924" s="6">
        <v>-0.53081321716308605</v>
      </c>
      <c r="F924" s="6">
        <v>-0.10181619226932501</v>
      </c>
      <c r="G924" s="6">
        <v>-5.6143473833799001E-2</v>
      </c>
      <c r="H924" s="6">
        <v>0.99075090885162409</v>
      </c>
      <c r="I924" s="6">
        <v>0.94327139854431208</v>
      </c>
      <c r="J924" s="6">
        <v>7.5410559773445004E-2</v>
      </c>
      <c r="K924" s="6">
        <v>-0.88401657342910811</v>
      </c>
      <c r="L924" s="6">
        <v>1.7030842304229741</v>
      </c>
      <c r="M924" s="6">
        <v>-0.76370912790298506</v>
      </c>
      <c r="N924" s="6">
        <v>3.5471608212065773</v>
      </c>
      <c r="O924" s="6">
        <v>3.710755993337981</v>
      </c>
      <c r="P924" s="6">
        <v>3.551240767051449</v>
      </c>
      <c r="Q924" s="6">
        <v>3.5186753556920172</v>
      </c>
      <c r="R924" s="6">
        <v>18.096183515359165</v>
      </c>
      <c r="S924" s="6">
        <v>18.281448475084687</v>
      </c>
      <c r="T924" s="6">
        <v>17.810842514038086</v>
      </c>
      <c r="U924" s="6">
        <f>_xll.BDP($A924,"TRAILING_12M_R&amp;D_%_SALES",$A$1,$A$2)</f>
        <v>0</v>
      </c>
      <c r="V924" s="6">
        <v>10</v>
      </c>
      <c r="W924" s="6">
        <v>101020</v>
      </c>
      <c r="X924" s="6">
        <v>10102040</v>
      </c>
      <c r="Y924" s="7" t="s">
        <v>505</v>
      </c>
      <c r="Z924" s="7" t="s">
        <v>556</v>
      </c>
      <c r="AA924" s="7" t="s">
        <v>1122</v>
      </c>
      <c r="AB924" s="6">
        <v>67.618949890136719</v>
      </c>
      <c r="AC924" s="6">
        <v>0.72829819912092908</v>
      </c>
      <c r="AD924" s="6">
        <v>33.555902294713967</v>
      </c>
      <c r="AE924" s="6">
        <v>4783</v>
      </c>
      <c r="AF924" s="6">
        <v>5604</v>
      </c>
    </row>
    <row r="925" spans="1:32" s="4" customFormat="1" ht="12.75" x14ac:dyDescent="0.2">
      <c r="A925" s="7" t="s">
        <v>2951</v>
      </c>
      <c r="B925" s="7" t="s">
        <v>2952</v>
      </c>
      <c r="C925" s="7" t="s">
        <v>2953</v>
      </c>
      <c r="D925" s="6">
        <v>1.529662132263184</v>
      </c>
      <c r="E925" s="6">
        <v>-0.48838123679161105</v>
      </c>
      <c r="F925" s="6">
        <v>0.13416615128517201</v>
      </c>
      <c r="G925" s="6">
        <v>-0.74597936868667603</v>
      </c>
      <c r="H925" s="6">
        <v>-0.21247673034668002</v>
      </c>
      <c r="I925" s="6">
        <v>0.44755387306213401</v>
      </c>
      <c r="J925" s="6">
        <v>0.26955258846283003</v>
      </c>
      <c r="K925" s="6">
        <v>1.091259837150574</v>
      </c>
      <c r="L925" s="6">
        <v>-4.8207588493824005E-2</v>
      </c>
      <c r="M925" s="6">
        <v>0.80136913061142001</v>
      </c>
      <c r="N925" s="6">
        <v>0.64788617990479203</v>
      </c>
      <c r="O925" s="6">
        <v>0.613766754384513</v>
      </c>
      <c r="P925" s="6">
        <v>5.3004686577425213</v>
      </c>
      <c r="Q925" s="6">
        <v>4.4847402309700755</v>
      </c>
      <c r="R925" s="6">
        <v>28.095163306469484</v>
      </c>
      <c r="S925" s="6">
        <v>21.608027688605723</v>
      </c>
      <c r="T925" s="6">
        <v>11.605738639831543</v>
      </c>
      <c r="U925" s="6">
        <f>_xll.BDP($A925,"TRAILING_12M_R&amp;D_%_SALES",$A$1,$A$2)</f>
        <v>0</v>
      </c>
      <c r="V925" s="6">
        <v>30</v>
      </c>
      <c r="W925" s="6">
        <v>301010</v>
      </c>
      <c r="X925" s="6">
        <v>30101040</v>
      </c>
      <c r="Y925" s="7" t="s">
        <v>91</v>
      </c>
      <c r="Z925" s="7" t="s">
        <v>133</v>
      </c>
      <c r="AA925" s="7" t="s">
        <v>329</v>
      </c>
      <c r="AB925" s="6">
        <v>55.859569549560547</v>
      </c>
      <c r="AC925" s="6">
        <v>0.62728702721798801</v>
      </c>
      <c r="AD925" s="6">
        <v>0.59069374012072906</v>
      </c>
      <c r="AE925" s="6">
        <v>2300000</v>
      </c>
      <c r="AF925" s="6">
        <v>2300000</v>
      </c>
    </row>
    <row r="926" spans="1:32" s="4" customFormat="1" ht="12.75" x14ac:dyDescent="0.2">
      <c r="A926" s="7" t="s">
        <v>2954</v>
      </c>
      <c r="B926" s="7" t="s">
        <v>2955</v>
      </c>
      <c r="C926" s="7" t="s">
        <v>2956</v>
      </c>
      <c r="D926" s="6">
        <v>-0.64667171239852905</v>
      </c>
      <c r="E926" s="6">
        <v>-0.16595813632011402</v>
      </c>
      <c r="F926" s="6">
        <v>0.69442433118820202</v>
      </c>
      <c r="G926" s="6">
        <v>-0.94108420610427912</v>
      </c>
      <c r="H926" s="6">
        <v>1.030589818954468</v>
      </c>
      <c r="I926" s="6">
        <v>0.90742772817611705</v>
      </c>
      <c r="J926" s="6">
        <v>0.7987979650497441</v>
      </c>
      <c r="K926" s="6">
        <v>-0.48158270120620705</v>
      </c>
      <c r="L926" s="6">
        <v>-6.6158317029475999E-2</v>
      </c>
      <c r="M926" s="6">
        <v>-0.58209872245788608</v>
      </c>
      <c r="N926" s="6">
        <v>0.43802885774654304</v>
      </c>
      <c r="O926" s="6">
        <v>0.40567609426689005</v>
      </c>
      <c r="P926" s="6">
        <v>3.628025787095972</v>
      </c>
      <c r="Q926" s="6"/>
      <c r="R926" s="6">
        <v>18.225149628143278</v>
      </c>
      <c r="S926" s="6">
        <v>15.515617803388073</v>
      </c>
      <c r="T926" s="6">
        <v>33.058242797851563</v>
      </c>
      <c r="U926" s="6">
        <f>_xll.BDP($A926,"TRAILING_12M_R&amp;D_%_SALES",$A$1,$A$2)</f>
        <v>0</v>
      </c>
      <c r="V926" s="6">
        <v>30</v>
      </c>
      <c r="W926" s="6">
        <v>301010</v>
      </c>
      <c r="X926" s="6">
        <v>30101030</v>
      </c>
      <c r="Y926" s="7" t="s">
        <v>91</v>
      </c>
      <c r="Z926" s="7" t="s">
        <v>133</v>
      </c>
      <c r="AA926" s="7" t="s">
        <v>134</v>
      </c>
      <c r="AB926" s="6">
        <v>41.977668762207031</v>
      </c>
      <c r="AC926" s="6">
        <v>0.48983902813027802</v>
      </c>
      <c r="AD926" s="6">
        <v>10.119065459903176</v>
      </c>
      <c r="AE926" s="6">
        <v>215000</v>
      </c>
      <c r="AF926" s="6">
        <v>195000</v>
      </c>
    </row>
    <row r="927" spans="1:32" s="4" customFormat="1" ht="12.75" x14ac:dyDescent="0.2">
      <c r="A927" s="7" t="s">
        <v>2957</v>
      </c>
      <c r="B927" s="7" t="s">
        <v>2958</v>
      </c>
      <c r="C927" s="7" t="s">
        <v>2959</v>
      </c>
      <c r="D927" s="6">
        <v>-0.13261318206787101</v>
      </c>
      <c r="E927" s="6">
        <v>5.4030451923609002E-2</v>
      </c>
      <c r="F927" s="6">
        <v>1.3779658079147341</v>
      </c>
      <c r="G927" s="6">
        <v>-0.72752201557159402</v>
      </c>
      <c r="H927" s="6">
        <v>-0.58115971088409402</v>
      </c>
      <c r="I927" s="6">
        <v>-1.1725766658782959</v>
      </c>
      <c r="J927" s="6">
        <v>0.93082571029663108</v>
      </c>
      <c r="K927" s="6">
        <v>-0.8684167861938481</v>
      </c>
      <c r="L927" s="6">
        <v>1.882869601249695</v>
      </c>
      <c r="M927" s="6">
        <v>-0.32315877079963701</v>
      </c>
      <c r="N927" s="6">
        <v>0.67399691514677007</v>
      </c>
      <c r="O927" s="6"/>
      <c r="P927" s="6">
        <v>6.7855186450717895</v>
      </c>
      <c r="Q927" s="6"/>
      <c r="R927" s="6">
        <v>26.442021295880416</v>
      </c>
      <c r="S927" s="6"/>
      <c r="T927" s="6">
        <v>215.62712097167969</v>
      </c>
      <c r="U927" s="6">
        <f>_xll.BDP($A927,"TRAILING_12M_R&amp;D_%_SALES",$A$1,$A$2)</f>
        <v>0</v>
      </c>
      <c r="V927" s="6">
        <v>30</v>
      </c>
      <c r="W927" s="6">
        <v>301010</v>
      </c>
      <c r="X927" s="6">
        <v>30101030</v>
      </c>
      <c r="Y927" s="7" t="s">
        <v>91</v>
      </c>
      <c r="Z927" s="7" t="s">
        <v>133</v>
      </c>
      <c r="AA927" s="7" t="s">
        <v>134</v>
      </c>
      <c r="AB927" s="6">
        <v>58.102806091308594</v>
      </c>
      <c r="AC927" s="6"/>
      <c r="AD927" s="6"/>
      <c r="AE927" s="6">
        <v>197773</v>
      </c>
      <c r="AF927" s="6">
        <v>202000</v>
      </c>
    </row>
    <row r="928" spans="1:32" s="4" customFormat="1" ht="12.75" x14ac:dyDescent="0.2">
      <c r="A928" s="7" t="s">
        <v>2960</v>
      </c>
      <c r="B928" s="7" t="s">
        <v>2961</v>
      </c>
      <c r="C928" s="7" t="s">
        <v>2962</v>
      </c>
      <c r="D928" s="6">
        <v>-0.44331675767898604</v>
      </c>
      <c r="E928" s="6">
        <v>-0.47033199667930603</v>
      </c>
      <c r="F928" s="6">
        <v>0.78886204957962003</v>
      </c>
      <c r="G928" s="6">
        <v>-0.47680127620697005</v>
      </c>
      <c r="H928" s="6">
        <v>-0.75245350599288907</v>
      </c>
      <c r="I928" s="6">
        <v>1.8042501211166382</v>
      </c>
      <c r="J928" s="6">
        <v>0.76182603836059604</v>
      </c>
      <c r="K928" s="6">
        <v>-0.13880480825901001</v>
      </c>
      <c r="L928" s="6">
        <v>3.00003981590271</v>
      </c>
      <c r="M928" s="6">
        <v>0.45747119188308705</v>
      </c>
      <c r="N928" s="6">
        <v>2.482924076195216</v>
      </c>
      <c r="O928" s="6">
        <v>2.738827517798033</v>
      </c>
      <c r="P928" s="6">
        <v>1.406085790795462</v>
      </c>
      <c r="Q928" s="6">
        <v>1.2926299739417</v>
      </c>
      <c r="R928" s="6">
        <v>7.6332338442511327</v>
      </c>
      <c r="S928" s="6">
        <v>8.085013151363988</v>
      </c>
      <c r="T928" s="6">
        <v>14.693007469177246</v>
      </c>
      <c r="U928" s="6">
        <f>_xll.BDP($A928,"TRAILING_12M_R&amp;D_%_SALES",$A$1,$A$2)</f>
        <v>0</v>
      </c>
      <c r="V928" s="6">
        <v>10</v>
      </c>
      <c r="W928" s="6">
        <v>101020</v>
      </c>
      <c r="X928" s="6">
        <v>10102020</v>
      </c>
      <c r="Y928" s="7" t="s">
        <v>505</v>
      </c>
      <c r="Z928" s="7" t="s">
        <v>556</v>
      </c>
      <c r="AA928" s="7" t="s">
        <v>776</v>
      </c>
      <c r="AB928" s="6">
        <v>66.482246398925781</v>
      </c>
      <c r="AC928" s="6">
        <v>0.41723187367654502</v>
      </c>
      <c r="AD928" s="6">
        <v>73.571435867570884</v>
      </c>
      <c r="AE928" s="6">
        <v>3684</v>
      </c>
      <c r="AF928" s="6">
        <v>3511</v>
      </c>
    </row>
    <row r="929" spans="1:32" s="4" customFormat="1" ht="12.75" x14ac:dyDescent="0.2">
      <c r="A929" s="7" t="s">
        <v>2963</v>
      </c>
      <c r="B929" s="7" t="s">
        <v>2964</v>
      </c>
      <c r="C929" s="7" t="s">
        <v>2965</v>
      </c>
      <c r="D929" s="6">
        <v>-0.93264269828796409</v>
      </c>
      <c r="E929" s="6">
        <v>-0.5301212072372441</v>
      </c>
      <c r="F929" s="6">
        <v>-2.7484573423862003E-2</v>
      </c>
      <c r="G929" s="6">
        <v>-0.396051466464996</v>
      </c>
      <c r="H929" s="6">
        <v>-0.54658895730972301</v>
      </c>
      <c r="I929" s="6">
        <v>1.047575712203979</v>
      </c>
      <c r="J929" s="6">
        <v>0.30130752921104403</v>
      </c>
      <c r="K929" s="6">
        <v>-0.301215380430222</v>
      </c>
      <c r="L929" s="6">
        <v>-0.55073702335357699</v>
      </c>
      <c r="M929" s="6">
        <v>-0.64593106508255005</v>
      </c>
      <c r="N929" s="6">
        <v>1.8723216377798599</v>
      </c>
      <c r="O929" s="6">
        <v>1.589582278121116</v>
      </c>
      <c r="P929" s="6">
        <v>3.0395570991753531</v>
      </c>
      <c r="Q929" s="6">
        <v>2.470662792651571</v>
      </c>
      <c r="R929" s="6">
        <v>18.39384738238093</v>
      </c>
      <c r="S929" s="6">
        <v>14.719452242328346</v>
      </c>
      <c r="T929" s="6">
        <v>19.904857635498047</v>
      </c>
      <c r="U929" s="6" t="str">
        <f>_xll.BDP($A929,"TRAILING_12M_R&amp;D_%_SALES",$A$1,$A$2)</f>
        <v>#N/A N/A</v>
      </c>
      <c r="V929" s="6">
        <v>40</v>
      </c>
      <c r="W929" s="6">
        <v>403010</v>
      </c>
      <c r="X929" s="6">
        <v>40301040</v>
      </c>
      <c r="Y929" s="7" t="s">
        <v>53</v>
      </c>
      <c r="Z929" s="7" t="s">
        <v>54</v>
      </c>
      <c r="AA929" s="7" t="s">
        <v>125</v>
      </c>
      <c r="AB929" s="6">
        <v>34.90594482421875</v>
      </c>
      <c r="AC929" s="6">
        <v>0.67327667362929</v>
      </c>
      <c r="AD929" s="6">
        <v>35.287865375140662</v>
      </c>
      <c r="AE929" s="6">
        <v>7681</v>
      </c>
      <c r="AF929" s="6">
        <v>7683</v>
      </c>
    </row>
    <row r="930" spans="1:32" s="4" customFormat="1" ht="12.75" x14ac:dyDescent="0.2">
      <c r="A930" s="7" t="s">
        <v>2966</v>
      </c>
      <c r="B930" s="7" t="s">
        <v>2967</v>
      </c>
      <c r="C930" s="7" t="s">
        <v>2968</v>
      </c>
      <c r="D930" s="6">
        <v>-0.8941902518272401</v>
      </c>
      <c r="E930" s="6">
        <v>-0.44681012630462602</v>
      </c>
      <c r="F930" s="6">
        <v>-0.76155310869216908</v>
      </c>
      <c r="G930" s="6">
        <v>0.16123723983764601</v>
      </c>
      <c r="H930" s="6">
        <v>-0.34883216023445102</v>
      </c>
      <c r="I930" s="6">
        <v>0.33090874552726701</v>
      </c>
      <c r="J930" s="6">
        <v>-0.11030340194702101</v>
      </c>
      <c r="K930" s="6">
        <v>-0.68937277793884311</v>
      </c>
      <c r="L930" s="6">
        <v>-0.159081861376762</v>
      </c>
      <c r="M930" s="6">
        <v>-0.70559042692184404</v>
      </c>
      <c r="N930" s="6">
        <v>3.2248810125861551</v>
      </c>
      <c r="O930" s="6">
        <v>2.8938816676867543</v>
      </c>
      <c r="P930" s="6">
        <v>2.7009946827857791</v>
      </c>
      <c r="Q930" s="6">
        <v>2.9500682717751041</v>
      </c>
      <c r="R930" s="6">
        <v>21.006515914867865</v>
      </c>
      <c r="S930" s="6">
        <v>16.254337540820014</v>
      </c>
      <c r="T930" s="6">
        <v>26.593189239501953</v>
      </c>
      <c r="U930" s="6" t="str">
        <f>_xll.BDP($A930,"TRAILING_12M_R&amp;D_%_SALES",$A$1,$A$2)</f>
        <v>#N/A N/A</v>
      </c>
      <c r="V930" s="6">
        <v>40</v>
      </c>
      <c r="W930" s="6">
        <v>403010</v>
      </c>
      <c r="X930" s="6">
        <v>40301010</v>
      </c>
      <c r="Y930" s="7" t="s">
        <v>53</v>
      </c>
      <c r="Z930" s="7" t="s">
        <v>54</v>
      </c>
      <c r="AA930" s="7" t="s">
        <v>241</v>
      </c>
      <c r="AB930" s="6">
        <v>36.535560607910156</v>
      </c>
      <c r="AC930" s="6">
        <v>0.87749564417304304</v>
      </c>
      <c r="AD930" s="6">
        <v>4.6932830976806228</v>
      </c>
      <c r="AE930" s="6">
        <v>44000</v>
      </c>
      <c r="AF930" s="6">
        <v>41000</v>
      </c>
    </row>
    <row r="931" spans="1:32" s="4" customFormat="1" ht="12.75" x14ac:dyDescent="0.2">
      <c r="A931" s="7" t="s">
        <v>2969</v>
      </c>
      <c r="B931" s="7" t="s">
        <v>2970</v>
      </c>
      <c r="C931" s="7" t="s">
        <v>2971</v>
      </c>
      <c r="D931" s="6">
        <v>-0.48314899206161505</v>
      </c>
      <c r="E931" s="6">
        <v>-0.74000376462936401</v>
      </c>
      <c r="F931" s="6">
        <v>-0.203117251396179</v>
      </c>
      <c r="G931" s="6">
        <v>-0.18418100476265001</v>
      </c>
      <c r="H931" s="6">
        <v>0.89830029010772705</v>
      </c>
      <c r="I931" s="6">
        <v>0.42794683575630205</v>
      </c>
      <c r="J931" s="6">
        <v>6.7725516855717011E-2</v>
      </c>
      <c r="K931" s="6">
        <v>-0.70053154230117809</v>
      </c>
      <c r="L931" s="6">
        <v>0.52314746379852306</v>
      </c>
      <c r="M931" s="6">
        <v>-0.92766183614730813</v>
      </c>
      <c r="N931" s="6">
        <v>2.615652969904537</v>
      </c>
      <c r="O931" s="6">
        <v>2.699164587571194</v>
      </c>
      <c r="P931" s="6">
        <v>2.3407346557735851</v>
      </c>
      <c r="Q931" s="6">
        <v>2.2036267132798368</v>
      </c>
      <c r="R931" s="6">
        <v>22.911765333782121</v>
      </c>
      <c r="S931" s="6">
        <v>20.77685126390206</v>
      </c>
      <c r="T931" s="6">
        <v>10.597370147705078</v>
      </c>
      <c r="U931" s="6" t="str">
        <f>_xll.BDP($A931,"TRAILING_12M_R&amp;D_%_SALES",$A$1,$A$2)</f>
        <v>#N/A N/A</v>
      </c>
      <c r="V931" s="6">
        <v>55</v>
      </c>
      <c r="W931" s="6">
        <v>551010</v>
      </c>
      <c r="X931" s="6">
        <v>55101010</v>
      </c>
      <c r="Y931" s="7" t="s">
        <v>181</v>
      </c>
      <c r="Z931" s="7" t="s">
        <v>186</v>
      </c>
      <c r="AA931" s="7" t="s">
        <v>186</v>
      </c>
      <c r="AB931" s="6">
        <v>71.833816528320313</v>
      </c>
      <c r="AC931" s="6">
        <v>0.65771339318614308</v>
      </c>
      <c r="AD931" s="6">
        <v>5.6413023685280228</v>
      </c>
      <c r="AE931" s="6">
        <v>11321</v>
      </c>
      <c r="AF931" s="6">
        <v>11075</v>
      </c>
    </row>
    <row r="932" spans="1:32" s="4" customFormat="1" ht="12.75" x14ac:dyDescent="0.2">
      <c r="A932" s="7" t="s">
        <v>2972</v>
      </c>
      <c r="B932" s="7" t="s">
        <v>2973</v>
      </c>
      <c r="C932" s="7" t="s">
        <v>2974</v>
      </c>
      <c r="D932" s="6">
        <v>-0.38380655646324202</v>
      </c>
      <c r="E932" s="6">
        <v>-1.1284774541854861</v>
      </c>
      <c r="F932" s="6">
        <v>-0.45260933041572604</v>
      </c>
      <c r="G932" s="6">
        <v>-0.31788837909698503</v>
      </c>
      <c r="H932" s="6">
        <v>-0.91291368007659912</v>
      </c>
      <c r="I932" s="6">
        <v>-1.084797620773315</v>
      </c>
      <c r="J932" s="6">
        <v>-0.158351540565491</v>
      </c>
      <c r="K932" s="6">
        <v>0.90281176567077603</v>
      </c>
      <c r="L932" s="6">
        <v>-0.81727248430252109</v>
      </c>
      <c r="M932" s="6">
        <v>0.36969983577728305</v>
      </c>
      <c r="N932" s="6">
        <v>0.82550340390595511</v>
      </c>
      <c r="O932" s="6">
        <v>0.76138951443457903</v>
      </c>
      <c r="P932" s="6">
        <v>1.3881093789343462</v>
      </c>
      <c r="Q932" s="6">
        <v>1.54022587252383</v>
      </c>
      <c r="R932" s="6">
        <v>117.22615943624385</v>
      </c>
      <c r="S932" s="6">
        <v>19.112212584747017</v>
      </c>
      <c r="T932" s="6">
        <v>1.305667996406555</v>
      </c>
      <c r="U932" s="6">
        <f>_xll.BDP($A932,"TRAILING_12M_R&amp;D_%_SALES",$A$1,$A$2)</f>
        <v>6.6871296425201523</v>
      </c>
      <c r="V932" s="6">
        <v>45</v>
      </c>
      <c r="W932" s="6">
        <v>452020</v>
      </c>
      <c r="X932" s="6">
        <v>45202030</v>
      </c>
      <c r="Y932" s="7" t="s">
        <v>66</v>
      </c>
      <c r="Z932" s="7" t="s">
        <v>67</v>
      </c>
      <c r="AA932" s="7" t="s">
        <v>67</v>
      </c>
      <c r="AB932" s="6">
        <v>56.131172180175781</v>
      </c>
      <c r="AC932" s="6">
        <v>0.78546325985071208</v>
      </c>
      <c r="AD932" s="6">
        <v>-42.510291489761883</v>
      </c>
      <c r="AE932" s="6">
        <v>33427</v>
      </c>
      <c r="AF932" s="6"/>
    </row>
    <row r="933" spans="1:32" s="4" customFormat="1" ht="12.75" x14ac:dyDescent="0.2">
      <c r="A933" s="7" t="s">
        <v>2975</v>
      </c>
      <c r="B933" s="7" t="s">
        <v>2976</v>
      </c>
      <c r="C933" s="7" t="s">
        <v>2977</v>
      </c>
      <c r="D933" s="6">
        <v>-0.38380655646324202</v>
      </c>
      <c r="E933" s="6">
        <v>-1.1284774541854861</v>
      </c>
      <c r="F933" s="6">
        <v>-0.45260933041572604</v>
      </c>
      <c r="G933" s="6">
        <v>-0.31788837909698503</v>
      </c>
      <c r="H933" s="6">
        <v>-0.91291368007659912</v>
      </c>
      <c r="I933" s="6">
        <v>-1.084797620773315</v>
      </c>
      <c r="J933" s="6">
        <v>-0.158351540565491</v>
      </c>
      <c r="K933" s="6">
        <v>0.90281176567077603</v>
      </c>
      <c r="L933" s="6">
        <v>-0.81727248430252109</v>
      </c>
      <c r="M933" s="6">
        <v>0.36969983577728305</v>
      </c>
      <c r="N933" s="6">
        <v>0.82550340390595511</v>
      </c>
      <c r="O933" s="6"/>
      <c r="P933" s="6">
        <v>1.3881093789343462</v>
      </c>
      <c r="Q933" s="6"/>
      <c r="R933" s="6">
        <v>117.22615943624385</v>
      </c>
      <c r="S933" s="6"/>
      <c r="T933" s="6">
        <v>1.305667996406555</v>
      </c>
      <c r="U933" s="6">
        <f>_xll.BDP($A933,"TRAILING_12M_R&amp;D_%_SALES",$A$1,$A$2)</f>
        <v>6.6871296425201523</v>
      </c>
      <c r="V933" s="6">
        <v>45</v>
      </c>
      <c r="W933" s="6">
        <v>452020</v>
      </c>
      <c r="X933" s="6">
        <v>45202030</v>
      </c>
      <c r="Y933" s="7" t="s">
        <v>66</v>
      </c>
      <c r="Z933" s="7" t="s">
        <v>67</v>
      </c>
      <c r="AA933" s="7" t="s">
        <v>67</v>
      </c>
      <c r="AB933" s="6">
        <v>56.131172180175781</v>
      </c>
      <c r="AC933" s="6">
        <v>0.85689110777843902</v>
      </c>
      <c r="AD933" s="6">
        <v>-43.181819973092203</v>
      </c>
      <c r="AE933" s="6">
        <v>33427</v>
      </c>
      <c r="AF933" s="6"/>
    </row>
    <row r="934" spans="1:32" s="4" customFormat="1" ht="12.75" x14ac:dyDescent="0.2">
      <c r="A934" s="7" t="s">
        <v>2978</v>
      </c>
      <c r="B934" s="7" t="s">
        <v>2979</v>
      </c>
      <c r="C934" s="7" t="s">
        <v>2980</v>
      </c>
      <c r="D934" s="6">
        <v>1.4869009256362919</v>
      </c>
      <c r="E934" s="6">
        <v>-0.11854313313961001</v>
      </c>
      <c r="F934" s="6">
        <v>6.1942648142576003E-2</v>
      </c>
      <c r="G934" s="6">
        <v>-0.21524956822395303</v>
      </c>
      <c r="H934" s="6">
        <v>-0.83379352092742909</v>
      </c>
      <c r="I934" s="6">
        <v>1.7829892635345459</v>
      </c>
      <c r="J934" s="6">
        <v>0.92390638589859009</v>
      </c>
      <c r="K934" s="6">
        <v>-0.86606544256210305</v>
      </c>
      <c r="L934" s="6">
        <v>0.81194335222244307</v>
      </c>
      <c r="M934" s="6">
        <v>0.41116163134574901</v>
      </c>
      <c r="N934" s="6">
        <v>1.207891231787602</v>
      </c>
      <c r="O934" s="6">
        <v>1.202258745820008</v>
      </c>
      <c r="P934" s="6">
        <v>2.4407061165195238</v>
      </c>
      <c r="Q934" s="6">
        <v>2.119009709362627</v>
      </c>
      <c r="R934" s="6">
        <v>8.7193551105362523</v>
      </c>
      <c r="S934" s="6">
        <v>9.7932593754846753</v>
      </c>
      <c r="T934" s="6">
        <v>29.917303085327148</v>
      </c>
      <c r="U934" s="6" t="str">
        <f>_xll.BDP($A934,"TRAILING_12M_R&amp;D_%_SALES",$A$1,$A$2)</f>
        <v>#N/A N/A</v>
      </c>
      <c r="V934" s="6">
        <v>10</v>
      </c>
      <c r="W934" s="6">
        <v>101020</v>
      </c>
      <c r="X934" s="6">
        <v>10102010</v>
      </c>
      <c r="Y934" s="7" t="s">
        <v>505</v>
      </c>
      <c r="Z934" s="7" t="s">
        <v>556</v>
      </c>
      <c r="AA934" s="7" t="s">
        <v>557</v>
      </c>
      <c r="AB934" s="6">
        <v>67.618949890136719</v>
      </c>
      <c r="AC934" s="6">
        <v>0.69047973550396902</v>
      </c>
      <c r="AD934" s="6">
        <v>88.588112168980032</v>
      </c>
      <c r="AE934" s="6">
        <v>63000</v>
      </c>
      <c r="AF934" s="6">
        <v>71100</v>
      </c>
    </row>
    <row r="935" spans="1:32" s="4" customFormat="1" ht="12.75" x14ac:dyDescent="0.2">
      <c r="A935" s="7" t="s">
        <v>2981</v>
      </c>
      <c r="B935" s="7" t="s">
        <v>2982</v>
      </c>
      <c r="C935" s="7" t="s">
        <v>2983</v>
      </c>
      <c r="D935" s="6">
        <v>-0.67865473031997703</v>
      </c>
      <c r="E935" s="6">
        <v>-1.2985105514526369</v>
      </c>
      <c r="F935" s="6">
        <v>0.30727827548980702</v>
      </c>
      <c r="G935" s="6">
        <v>3.0002627372741699</v>
      </c>
      <c r="H935" s="6">
        <v>-0.63799357414245605</v>
      </c>
      <c r="I935" s="6">
        <v>-1.4983211755752559</v>
      </c>
      <c r="J935" s="6">
        <v>-0.49766510725021401</v>
      </c>
      <c r="K935" s="6">
        <v>2.5618150234222412</v>
      </c>
      <c r="L935" s="6">
        <v>-0.81727248430252109</v>
      </c>
      <c r="M935" s="6">
        <v>0.93574464321136508</v>
      </c>
      <c r="N935" s="6">
        <v>2.00589620859148</v>
      </c>
      <c r="O935" s="6">
        <v>1.8800887913912361</v>
      </c>
      <c r="P935" s="6">
        <v>2.2722235774351049</v>
      </c>
      <c r="Q935" s="6">
        <v>2.685770528403356</v>
      </c>
      <c r="R935" s="6"/>
      <c r="S935" s="6">
        <v>37.005204726551028</v>
      </c>
      <c r="T935" s="6">
        <v>-5.1779861450195313</v>
      </c>
      <c r="U935" s="6">
        <f>_xll.BDP($A935,"TRAILING_12M_R&amp;D_%_SALES",$A$1,$A$2)</f>
        <v>12.082453448446051</v>
      </c>
      <c r="V935" s="6">
        <v>40</v>
      </c>
      <c r="W935" s="6">
        <v>402010</v>
      </c>
      <c r="X935" s="6">
        <v>40201060</v>
      </c>
      <c r="Y935" s="7" t="s">
        <v>53</v>
      </c>
      <c r="Z935" s="7" t="s">
        <v>344</v>
      </c>
      <c r="AA935" s="7" t="s">
        <v>579</v>
      </c>
      <c r="AB935" s="6">
        <v>46.454078674316406</v>
      </c>
      <c r="AC935" s="6">
        <v>2.2049716237321721</v>
      </c>
      <c r="AD935" s="6">
        <v>-61.993467071229766</v>
      </c>
      <c r="AE935" s="6">
        <v>8521</v>
      </c>
      <c r="AF935" s="6">
        <v>1853</v>
      </c>
    </row>
    <row r="936" spans="1:32" s="4" customFormat="1" ht="12.75" x14ac:dyDescent="0.2">
      <c r="A936" s="7" t="s">
        <v>2984</v>
      </c>
      <c r="B936" s="7" t="s">
        <v>2985</v>
      </c>
      <c r="C936" s="7" t="s">
        <v>2986</v>
      </c>
      <c r="D936" s="6">
        <v>-0.77963083982467707</v>
      </c>
      <c r="E936" s="6">
        <v>-0.93833351135253906</v>
      </c>
      <c r="F936" s="6">
        <v>9.1611459851265009E-2</v>
      </c>
      <c r="G936" s="6">
        <v>-0.8012114763259891</v>
      </c>
      <c r="H936" s="6">
        <v>0.34664186835289001</v>
      </c>
      <c r="I936" s="6">
        <v>-1.4399933815002441</v>
      </c>
      <c r="J936" s="6">
        <v>0.23939445614814803</v>
      </c>
      <c r="K936" s="6">
        <v>6.4759999513626001E-2</v>
      </c>
      <c r="L936" s="6">
        <v>3.2707385253160004E-3</v>
      </c>
      <c r="M936" s="6">
        <v>-0.61756056547164906</v>
      </c>
      <c r="N936" s="6">
        <v>1.561037905958953</v>
      </c>
      <c r="O936" s="6">
        <v>1.457792600754634</v>
      </c>
      <c r="P936" s="6">
        <v>0.89967207670227911</v>
      </c>
      <c r="Q936" s="6">
        <v>0.92108490187586012</v>
      </c>
      <c r="R936" s="6">
        <v>39.378485305881632</v>
      </c>
      <c r="S936" s="6">
        <v>20.68015786615209</v>
      </c>
      <c r="T936" s="6">
        <v>2.3196389675140381</v>
      </c>
      <c r="U936" s="6" t="str">
        <f>_xll.BDP($A936,"TRAILING_12M_R&amp;D_%_SALES",$A$1,$A$2)</f>
        <v>#N/A N/A</v>
      </c>
      <c r="V936" s="6">
        <v>50</v>
      </c>
      <c r="W936" s="6">
        <v>502030</v>
      </c>
      <c r="X936" s="6">
        <v>50203010</v>
      </c>
      <c r="Y936" s="7" t="s">
        <v>367</v>
      </c>
      <c r="Z936" s="7" t="s">
        <v>418</v>
      </c>
      <c r="AA936" s="7" t="s">
        <v>418</v>
      </c>
      <c r="AB936" s="6">
        <v>58.726486206054688</v>
      </c>
      <c r="AC936" s="6">
        <v>0.546589728799451</v>
      </c>
      <c r="AD936" s="6">
        <v>-55.641768271755154</v>
      </c>
      <c r="AE936" s="6">
        <v>23705</v>
      </c>
      <c r="AF936" s="6">
        <v>11231</v>
      </c>
    </row>
    <row r="937" spans="1:32" s="4" customFormat="1" ht="12.75" x14ac:dyDescent="0.2">
      <c r="A937" s="7" t="s">
        <v>2987</v>
      </c>
      <c r="B937" s="7" t="s">
        <v>2988</v>
      </c>
      <c r="C937" s="7" t="s">
        <v>2989</v>
      </c>
      <c r="D937" s="6">
        <v>-0.77963083982467707</v>
      </c>
      <c r="E937" s="6">
        <v>-0.93833351135253906</v>
      </c>
      <c r="F937" s="6">
        <v>9.1611459851265009E-2</v>
      </c>
      <c r="G937" s="6">
        <v>-0.8012114763259891</v>
      </c>
      <c r="H937" s="6">
        <v>0.34664186835289001</v>
      </c>
      <c r="I937" s="6">
        <v>-1.4399933815002441</v>
      </c>
      <c r="J937" s="6">
        <v>0.23939445614814803</v>
      </c>
      <c r="K937" s="6">
        <v>6.4759999513626001E-2</v>
      </c>
      <c r="L937" s="6">
        <v>3.2707385253160004E-3</v>
      </c>
      <c r="M937" s="6">
        <v>-0.61756056547164906</v>
      </c>
      <c r="N937" s="6">
        <v>1.561037905958953</v>
      </c>
      <c r="O937" s="6"/>
      <c r="P937" s="6">
        <v>0.89967207670227911</v>
      </c>
      <c r="Q937" s="6"/>
      <c r="R937" s="6">
        <v>39.378485305881632</v>
      </c>
      <c r="S937" s="6"/>
      <c r="T937" s="6">
        <v>2.3196389675140381</v>
      </c>
      <c r="U937" s="6" t="str">
        <f>_xll.BDP($A937,"TRAILING_12M_R&amp;D_%_SALES",$A$1,$A$2)</f>
        <v>#N/A N/A</v>
      </c>
      <c r="V937" s="6">
        <v>50</v>
      </c>
      <c r="W937" s="6">
        <v>502030</v>
      </c>
      <c r="X937" s="6">
        <v>50203010</v>
      </c>
      <c r="Y937" s="7" t="s">
        <v>367</v>
      </c>
      <c r="Z937" s="7" t="s">
        <v>418</v>
      </c>
      <c r="AA937" s="7" t="s">
        <v>418</v>
      </c>
      <c r="AB937" s="6">
        <v>58.726486206054688</v>
      </c>
      <c r="AC937" s="6">
        <v>0.9279622195676801</v>
      </c>
      <c r="AD937" s="6">
        <v>-56.844529075899921</v>
      </c>
      <c r="AE937" s="6">
        <v>23705</v>
      </c>
      <c r="AF937" s="6">
        <v>11231</v>
      </c>
    </row>
    <row r="938" spans="1:32" s="4" customFormat="1" ht="12.75" x14ac:dyDescent="0.2">
      <c r="A938" s="7" t="s">
        <v>2990</v>
      </c>
      <c r="B938" s="7" t="s">
        <v>2991</v>
      </c>
      <c r="C938" s="7" t="s">
        <v>2992</v>
      </c>
      <c r="D938" s="6">
        <v>-0.62445050477981601</v>
      </c>
      <c r="E938" s="6">
        <v>0.34386271238327004</v>
      </c>
      <c r="F938" s="6">
        <v>2.6662240028381352</v>
      </c>
      <c r="G938" s="6">
        <v>0.56145942211151101</v>
      </c>
      <c r="H938" s="6">
        <v>0.37566378712654103</v>
      </c>
      <c r="I938" s="6">
        <v>2.472520112991333</v>
      </c>
      <c r="J938" s="6">
        <v>2.7083685398101811</v>
      </c>
      <c r="K938" s="6">
        <v>-0.2806536257267</v>
      </c>
      <c r="L938" s="6">
        <v>2.8896138668060303</v>
      </c>
      <c r="M938" s="6">
        <v>7.6186552643776009E-2</v>
      </c>
      <c r="N938" s="6">
        <v>0.52281200785589699</v>
      </c>
      <c r="O938" s="6"/>
      <c r="P938" s="6">
        <v>1.3386742148040391</v>
      </c>
      <c r="Q938" s="6"/>
      <c r="R938" s="6">
        <v>3.216863260946194</v>
      </c>
      <c r="S938" s="6"/>
      <c r="T938" s="6">
        <v>48.408245086669922</v>
      </c>
      <c r="U938" s="6">
        <f>_xll.BDP($A938,"TRAILING_12M_R&amp;D_%_SALES",$A$1,$A$2)</f>
        <v>2.6463278425997263</v>
      </c>
      <c r="V938" s="6">
        <v>10</v>
      </c>
      <c r="W938" s="6">
        <v>101020</v>
      </c>
      <c r="X938" s="6">
        <v>10102050</v>
      </c>
      <c r="Y938" s="7" t="s">
        <v>505</v>
      </c>
      <c r="Z938" s="7" t="s">
        <v>556</v>
      </c>
      <c r="AA938" s="7" t="s">
        <v>658</v>
      </c>
      <c r="AB938" s="6">
        <v>56.141231536865234</v>
      </c>
      <c r="AC938" s="6">
        <v>0.65526029182522405</v>
      </c>
      <c r="AD938" s="6">
        <v>67.696869928641107</v>
      </c>
      <c r="AE938" s="6">
        <v>61864</v>
      </c>
      <c r="AF938" s="6">
        <v>68550</v>
      </c>
    </row>
    <row r="939" spans="1:32" s="4" customFormat="1" ht="12.75" x14ac:dyDescent="0.2">
      <c r="A939" s="7" t="s">
        <v>2993</v>
      </c>
      <c r="B939" s="7" t="s">
        <v>2994</v>
      </c>
      <c r="C939" s="7" t="s">
        <v>2995</v>
      </c>
      <c r="D939" s="6">
        <v>-0.62445050477981601</v>
      </c>
      <c r="E939" s="6">
        <v>0.34386271238327004</v>
      </c>
      <c r="F939" s="6">
        <v>2.6662240028381352</v>
      </c>
      <c r="G939" s="6">
        <v>0.56145942211151101</v>
      </c>
      <c r="H939" s="6">
        <v>0.37566378712654103</v>
      </c>
      <c r="I939" s="6">
        <v>2.472520112991333</v>
      </c>
      <c r="J939" s="6">
        <v>2.7083685398101811</v>
      </c>
      <c r="K939" s="6">
        <v>-0.2806536257267</v>
      </c>
      <c r="L939" s="6">
        <v>2.8896138668060303</v>
      </c>
      <c r="M939" s="6">
        <v>7.6186552643776009E-2</v>
      </c>
      <c r="N939" s="6">
        <v>0.52281200785589699</v>
      </c>
      <c r="O939" s="6">
        <v>0.90719092832753412</v>
      </c>
      <c r="P939" s="6">
        <v>1.3386742148040391</v>
      </c>
      <c r="Q939" s="6">
        <v>1.003171538844905</v>
      </c>
      <c r="R939" s="6">
        <v>3.216863260946194</v>
      </c>
      <c r="S939" s="6">
        <v>3.2914993039625973</v>
      </c>
      <c r="T939" s="6">
        <v>48.408245086669922</v>
      </c>
      <c r="U939" s="6">
        <f>_xll.BDP($A939,"TRAILING_12M_R&amp;D_%_SALES",$A$1,$A$2)</f>
        <v>2.6463278425997263</v>
      </c>
      <c r="V939" s="6">
        <v>10</v>
      </c>
      <c r="W939" s="6">
        <v>101020</v>
      </c>
      <c r="X939" s="6">
        <v>10102050</v>
      </c>
      <c r="Y939" s="7" t="s">
        <v>505</v>
      </c>
      <c r="Z939" s="7" t="s">
        <v>556</v>
      </c>
      <c r="AA939" s="7" t="s">
        <v>658</v>
      </c>
      <c r="AB939" s="6">
        <v>56.141231536865234</v>
      </c>
      <c r="AC939" s="6">
        <v>0.27086415839042199</v>
      </c>
      <c r="AD939" s="6">
        <v>112.58680729084438</v>
      </c>
      <c r="AE939" s="6">
        <v>61864</v>
      </c>
      <c r="AF939" s="6">
        <v>68550</v>
      </c>
    </row>
    <row r="940" spans="1:32" s="4" customFormat="1" ht="12.75" x14ac:dyDescent="0.2">
      <c r="A940" s="7" t="s">
        <v>2996</v>
      </c>
      <c r="B940" s="7" t="s">
        <v>2997</v>
      </c>
      <c r="C940" s="7" t="s">
        <v>2998</v>
      </c>
      <c r="D940" s="6">
        <v>0.48076528310775801</v>
      </c>
      <c r="E940" s="6">
        <v>-0.689711093902588</v>
      </c>
      <c r="F940" s="6">
        <v>0.90507489442825306</v>
      </c>
      <c r="G940" s="6">
        <v>-0.87675696611404408</v>
      </c>
      <c r="H940" s="6">
        <v>-0.57745623588562001</v>
      </c>
      <c r="I940" s="6">
        <v>0.73506027460098311</v>
      </c>
      <c r="J940" s="6">
        <v>0.40227577090263406</v>
      </c>
      <c r="K940" s="6">
        <v>-0.8790867328643801</v>
      </c>
      <c r="L940" s="6">
        <v>1.569683432579041</v>
      </c>
      <c r="M940" s="6">
        <v>-0.99335992336273204</v>
      </c>
      <c r="N940" s="6">
        <v>1.480069248626978</v>
      </c>
      <c r="O940" s="6">
        <v>1.160834881657677</v>
      </c>
      <c r="P940" s="6">
        <v>2.5984047709440752</v>
      </c>
      <c r="Q940" s="6">
        <v>2.1716868128405888</v>
      </c>
      <c r="R940" s="6">
        <v>13.67248258949229</v>
      </c>
      <c r="S940" s="6">
        <v>11.815671532331567</v>
      </c>
      <c r="T940" s="6">
        <v>16.2325439453125</v>
      </c>
      <c r="U940" s="6" t="str">
        <f>_xll.BDP($A940,"TRAILING_12M_R&amp;D_%_SALES",$A$1,$A$2)</f>
        <v>#N/A N/A</v>
      </c>
      <c r="V940" s="6">
        <v>40</v>
      </c>
      <c r="W940" s="6">
        <v>403010</v>
      </c>
      <c r="X940" s="6">
        <v>40301030</v>
      </c>
      <c r="Y940" s="7" t="s">
        <v>53</v>
      </c>
      <c r="Z940" s="7" t="s">
        <v>54</v>
      </c>
      <c r="AA940" s="7" t="s">
        <v>201</v>
      </c>
      <c r="AB940" s="6">
        <v>59.048385620117188</v>
      </c>
      <c r="AC940" s="6">
        <v>0.54505335119949505</v>
      </c>
      <c r="AD940" s="6">
        <v>10.704238074425643</v>
      </c>
      <c r="AE940" s="6">
        <v>56000</v>
      </c>
      <c r="AF940" s="6">
        <v>52473</v>
      </c>
    </row>
    <row r="941" spans="1:32" s="4" customFormat="1" ht="12.75" x14ac:dyDescent="0.2">
      <c r="A941" s="7" t="s">
        <v>2999</v>
      </c>
      <c r="B941" s="7" t="s">
        <v>3000</v>
      </c>
      <c r="C941" s="7" t="s">
        <v>3001</v>
      </c>
      <c r="D941" s="6">
        <v>-0.39266106486320501</v>
      </c>
      <c r="E941" s="6">
        <v>-0.23657071590423601</v>
      </c>
      <c r="F941" s="6">
        <v>6.8554557859898002E-2</v>
      </c>
      <c r="G941" s="6">
        <v>-3.950135782361E-2</v>
      </c>
      <c r="H941" s="6">
        <v>0.31342270970344505</v>
      </c>
      <c r="I941" s="6">
        <v>0.6459602117538451</v>
      </c>
      <c r="J941" s="6">
        <v>0.54469352960586503</v>
      </c>
      <c r="K941" s="6">
        <v>1.2197556495666499</v>
      </c>
      <c r="L941" s="6">
        <v>0.23886694014072402</v>
      </c>
      <c r="M941" s="6">
        <v>0.66558909416198708</v>
      </c>
      <c r="N941" s="6">
        <v>0.94361983694462803</v>
      </c>
      <c r="O941" s="6">
        <v>1.016452611244437</v>
      </c>
      <c r="P941" s="6">
        <v>2.909928530550959</v>
      </c>
      <c r="Q941" s="6">
        <v>2.3296132535275111</v>
      </c>
      <c r="R941" s="6">
        <v>11.678335241673423</v>
      </c>
      <c r="S941" s="6">
        <v>10.469249521851163</v>
      </c>
      <c r="T941" s="6">
        <v>28.866920471191406</v>
      </c>
      <c r="U941" s="6">
        <f>_xll.BDP($A941,"TRAILING_12M_R&amp;D_%_SALES",$A$1,$A$2)</f>
        <v>0.53194174007680806</v>
      </c>
      <c r="V941" s="6">
        <v>15</v>
      </c>
      <c r="W941" s="6">
        <v>151040</v>
      </c>
      <c r="X941" s="6">
        <v>15104030</v>
      </c>
      <c r="Y941" s="7" t="s">
        <v>38</v>
      </c>
      <c r="Z941" s="7" t="s">
        <v>71</v>
      </c>
      <c r="AA941" s="7" t="s">
        <v>1323</v>
      </c>
      <c r="AB941" s="6">
        <v>67.659187316894531</v>
      </c>
      <c r="AC941" s="6">
        <v>0.47875550443866904</v>
      </c>
      <c r="AD941" s="6">
        <v>11.312132122550246</v>
      </c>
      <c r="AE941" s="6">
        <v>23461</v>
      </c>
      <c r="AF941" s="6">
        <v>17445</v>
      </c>
    </row>
    <row r="942" spans="1:32" s="4" customFormat="1" ht="12.75" x14ac:dyDescent="0.2">
      <c r="A942" s="7" t="s">
        <v>3002</v>
      </c>
      <c r="B942" s="7" t="s">
        <v>3003</v>
      </c>
      <c r="C942" s="7" t="s">
        <v>3004</v>
      </c>
      <c r="D942" s="6">
        <v>-0.39266106486320501</v>
      </c>
      <c r="E942" s="6">
        <v>-0.23657071590423601</v>
      </c>
      <c r="F942" s="6">
        <v>6.8554557859898002E-2</v>
      </c>
      <c r="G942" s="6">
        <v>-3.950135782361E-2</v>
      </c>
      <c r="H942" s="6">
        <v>0.31342270970344505</v>
      </c>
      <c r="I942" s="6">
        <v>0.6459602117538451</v>
      </c>
      <c r="J942" s="6">
        <v>0.54469352960586503</v>
      </c>
      <c r="K942" s="6">
        <v>1.2197556495666499</v>
      </c>
      <c r="L942" s="6">
        <v>0.23886694014072402</v>
      </c>
      <c r="M942" s="6">
        <v>0.66558909416198708</v>
      </c>
      <c r="N942" s="6">
        <v>0.94361983694462803</v>
      </c>
      <c r="O942" s="6"/>
      <c r="P942" s="6">
        <v>2.909928530550959</v>
      </c>
      <c r="Q942" s="6"/>
      <c r="R942" s="6">
        <v>11.678335241673423</v>
      </c>
      <c r="S942" s="6"/>
      <c r="T942" s="6">
        <v>28.866920471191406</v>
      </c>
      <c r="U942" s="6">
        <f>_xll.BDP($A942,"TRAILING_12M_R&amp;D_%_SALES",$A$1,$A$2)</f>
        <v>0.53194174007680806</v>
      </c>
      <c r="V942" s="6">
        <v>15</v>
      </c>
      <c r="W942" s="6">
        <v>151040</v>
      </c>
      <c r="X942" s="6">
        <v>15104030</v>
      </c>
      <c r="Y942" s="7" t="s">
        <v>38</v>
      </c>
      <c r="Z942" s="7" t="s">
        <v>71</v>
      </c>
      <c r="AA942" s="7" t="s">
        <v>1323</v>
      </c>
      <c r="AB942" s="6">
        <v>67.659187316894531</v>
      </c>
      <c r="AC942" s="6">
        <v>0.27418090304965503</v>
      </c>
      <c r="AD942" s="6">
        <v>10.625523215722898</v>
      </c>
      <c r="AE942" s="6">
        <v>23461</v>
      </c>
      <c r="AF942" s="6">
        <v>17445</v>
      </c>
    </row>
    <row r="943" spans="1:32" s="4" customFormat="1" ht="12.75" x14ac:dyDescent="0.2">
      <c r="A943" s="7" t="s">
        <v>3005</v>
      </c>
      <c r="B943" s="7" t="s">
        <v>3006</v>
      </c>
      <c r="C943" s="7" t="s">
        <v>3007</v>
      </c>
      <c r="D943" s="6">
        <v>0</v>
      </c>
      <c r="E943" s="6">
        <v>0</v>
      </c>
      <c r="F943" s="6">
        <v>0</v>
      </c>
      <c r="G943" s="6">
        <v>0</v>
      </c>
      <c r="H943" s="6">
        <v>0</v>
      </c>
      <c r="I943" s="6">
        <v>0</v>
      </c>
      <c r="J943" s="6">
        <v>0</v>
      </c>
      <c r="K943" s="6">
        <v>0</v>
      </c>
      <c r="L943" s="6">
        <v>0</v>
      </c>
      <c r="M943" s="6">
        <v>0</v>
      </c>
      <c r="N943" s="6"/>
      <c r="O943" s="6"/>
      <c r="P943" s="6"/>
      <c r="Q943" s="6"/>
      <c r="R943" s="6"/>
      <c r="S943" s="6"/>
      <c r="T943" s="6"/>
      <c r="U943" s="6" t="str">
        <f>_xll.BDP($A943,"TRAILING_12M_R&amp;D_%_SALES",$A$1,$A$2)</f>
        <v>#N/A Field Not Applicable</v>
      </c>
      <c r="V943" s="6"/>
      <c r="W943" s="6"/>
      <c r="X943" s="6"/>
      <c r="Y943" s="7" t="s">
        <v>1202</v>
      </c>
      <c r="Z943" s="7" t="s">
        <v>1202</v>
      </c>
      <c r="AA943" s="7" t="s">
        <v>1202</v>
      </c>
      <c r="AB943" s="6"/>
      <c r="AC943" s="6">
        <v>0.29523604804758102</v>
      </c>
      <c r="AD943" s="6">
        <v>-14.548387835102695</v>
      </c>
      <c r="AE943" s="6"/>
      <c r="AF943" s="6"/>
    </row>
    <row r="944" spans="1:32" s="4" customFormat="1" ht="12.75" x14ac:dyDescent="0.2">
      <c r="A944" s="7" t="s">
        <v>3008</v>
      </c>
      <c r="B944" s="7" t="s">
        <v>3009</v>
      </c>
      <c r="C944" s="7" t="s">
        <v>3010</v>
      </c>
      <c r="D944" s="6">
        <v>-0.82739710807800304</v>
      </c>
      <c r="E944" s="6">
        <v>-2.0673573017120361</v>
      </c>
      <c r="F944" s="6">
        <v>0.348202794790268</v>
      </c>
      <c r="G944" s="6">
        <v>-0.80027914047241211</v>
      </c>
      <c r="H944" s="6">
        <v>1.756887674331665</v>
      </c>
      <c r="I944" s="6">
        <v>0.64663583040237405</v>
      </c>
      <c r="J944" s="6">
        <v>-1.0315902233123779</v>
      </c>
      <c r="K944" s="6">
        <v>-1.3685756362975001E-2</v>
      </c>
      <c r="L944" s="6">
        <v>-0.81727248430252109</v>
      </c>
      <c r="M944" s="6">
        <v>-0.38055902719497703</v>
      </c>
      <c r="N944" s="6">
        <v>0.8186695293656111</v>
      </c>
      <c r="O944" s="6"/>
      <c r="P944" s="6">
        <v>1.507649908755802</v>
      </c>
      <c r="Q944" s="6"/>
      <c r="R944" s="6"/>
      <c r="S944" s="6"/>
      <c r="T944" s="6">
        <v>-37.647640228271484</v>
      </c>
      <c r="U944" s="6">
        <f>_xll.BDP($A944,"TRAILING_12M_R&amp;D_%_SALES",$A$1,$A$2)</f>
        <v>0.29354822129195485</v>
      </c>
      <c r="V944" s="6">
        <v>20</v>
      </c>
      <c r="W944" s="6">
        <v>203020</v>
      </c>
      <c r="X944" s="6">
        <v>20302010</v>
      </c>
      <c r="Y944" s="7" t="s">
        <v>43</v>
      </c>
      <c r="Z944" s="7" t="s">
        <v>62</v>
      </c>
      <c r="AA944" s="7" t="s">
        <v>62</v>
      </c>
      <c r="AB944" s="6">
        <v>52.660697937011719</v>
      </c>
      <c r="AC944" s="6">
        <v>0.79709262709159912</v>
      </c>
      <c r="AD944" s="6">
        <v>9.4964560959803102</v>
      </c>
      <c r="AE944" s="6">
        <v>98098</v>
      </c>
      <c r="AF944" s="6">
        <v>93132</v>
      </c>
    </row>
    <row r="945" spans="1:32" s="4" customFormat="1" ht="12.75" x14ac:dyDescent="0.2">
      <c r="A945" s="7" t="s">
        <v>3011</v>
      </c>
      <c r="B945" s="7" t="s">
        <v>3012</v>
      </c>
      <c r="C945" s="7" t="s">
        <v>3013</v>
      </c>
      <c r="D945" s="6">
        <v>-0.83922863006591808</v>
      </c>
      <c r="E945" s="6">
        <v>0.27056390047073403</v>
      </c>
      <c r="F945" s="6">
        <v>-0.50715100765228305</v>
      </c>
      <c r="G945" s="6">
        <v>-0.46651938557624806</v>
      </c>
      <c r="H945" s="6">
        <v>0.146670982241631</v>
      </c>
      <c r="I945" s="6">
        <v>-0.8208009600639341</v>
      </c>
      <c r="J945" s="6">
        <v>-0.46384406089782704</v>
      </c>
      <c r="K945" s="6">
        <v>-0.15462660789489702</v>
      </c>
      <c r="L945" s="6">
        <v>-0.31136840581893904</v>
      </c>
      <c r="M945" s="6">
        <v>-0.60657936334610008</v>
      </c>
      <c r="N945" s="6">
        <v>8.6159807012207512</v>
      </c>
      <c r="O945" s="6">
        <v>7.9795523675983535</v>
      </c>
      <c r="P945" s="6">
        <v>14.659465630838861</v>
      </c>
      <c r="Q945" s="6">
        <v>11.862061970669549</v>
      </c>
      <c r="R945" s="6">
        <v>31.421149950718771</v>
      </c>
      <c r="S945" s="6">
        <v>27.340465503025772</v>
      </c>
      <c r="T945" s="6">
        <v>44.251766204833984</v>
      </c>
      <c r="U945" s="6">
        <f>_xll.BDP($A945,"TRAILING_12M_R&amp;D_%_SALES",$A$1,$A$2)</f>
        <v>7.4114088159031972</v>
      </c>
      <c r="V945" s="6">
        <v>35</v>
      </c>
      <c r="W945" s="6">
        <v>352020</v>
      </c>
      <c r="X945" s="6">
        <v>35202010</v>
      </c>
      <c r="Y945" s="7" t="s">
        <v>86</v>
      </c>
      <c r="Z945" s="7" t="s">
        <v>271</v>
      </c>
      <c r="AA945" s="7" t="s">
        <v>271</v>
      </c>
      <c r="AB945" s="6">
        <v>50.970726013183594</v>
      </c>
      <c r="AC945" s="6">
        <v>0.97688745830787205</v>
      </c>
      <c r="AD945" s="6">
        <v>-39.782111370886497</v>
      </c>
      <c r="AE945" s="6">
        <v>12100</v>
      </c>
      <c r="AF945" s="6">
        <v>9000</v>
      </c>
    </row>
    <row r="946" spans="1:32" s="4" customFormat="1" ht="12.75" x14ac:dyDescent="0.2">
      <c r="A946" s="7" t="s">
        <v>3014</v>
      </c>
      <c r="B946" s="7" t="s">
        <v>3015</v>
      </c>
      <c r="C946" s="7" t="s">
        <v>3016</v>
      </c>
      <c r="D946" s="6">
        <v>0.48076528310775801</v>
      </c>
      <c r="E946" s="6">
        <v>-0.689711093902588</v>
      </c>
      <c r="F946" s="6">
        <v>0.90507489442825306</v>
      </c>
      <c r="G946" s="6">
        <v>-0.87675696611404408</v>
      </c>
      <c r="H946" s="6">
        <v>-0.57745623588562001</v>
      </c>
      <c r="I946" s="6">
        <v>0.73506027460098311</v>
      </c>
      <c r="J946" s="6">
        <v>0.40227577090263406</v>
      </c>
      <c r="K946" s="6">
        <v>-0.8790867328643801</v>
      </c>
      <c r="L946" s="6">
        <v>1.569683432579041</v>
      </c>
      <c r="M946" s="6">
        <v>-0.99335992336273204</v>
      </c>
      <c r="N946" s="6">
        <v>1.480069248626978</v>
      </c>
      <c r="O946" s="6">
        <v>0.98075297699556907</v>
      </c>
      <c r="P946" s="6">
        <v>2.5984047709440752</v>
      </c>
      <c r="Q946" s="6"/>
      <c r="R946" s="6">
        <v>13.67248258949229</v>
      </c>
      <c r="S946" s="6">
        <v>2.2063178540426911</v>
      </c>
      <c r="T946" s="6">
        <v>16.2325439453125</v>
      </c>
      <c r="U946" s="6" t="str">
        <f>_xll.BDP($A946,"TRAILING_12M_R&amp;D_%_SALES",$A$1,$A$2)</f>
        <v>#N/A N/A</v>
      </c>
      <c r="V946" s="6">
        <v>40</v>
      </c>
      <c r="W946" s="6">
        <v>403010</v>
      </c>
      <c r="X946" s="6">
        <v>40301030</v>
      </c>
      <c r="Y946" s="7" t="s">
        <v>53</v>
      </c>
      <c r="Z946" s="7" t="s">
        <v>54</v>
      </c>
      <c r="AA946" s="7" t="s">
        <v>201</v>
      </c>
      <c r="AB946" s="6">
        <v>59.048385620117188</v>
      </c>
      <c r="AC946" s="6">
        <v>0.651341300421449</v>
      </c>
      <c r="AD946" s="6">
        <v>14.371035356657869</v>
      </c>
      <c r="AE946" s="6">
        <v>56000</v>
      </c>
      <c r="AF946" s="6">
        <v>52473</v>
      </c>
    </row>
    <row r="948" spans="1:32" ht="30" customHeight="1" x14ac:dyDescent="0.2">
      <c r="A948" s="9" t="s">
        <v>3017</v>
      </c>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row>
  </sheetData>
  <mergeCells count="1">
    <mergeCell ref="A948:AF9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id:67c124089ca00000 on NXPGR-OB-336</cp:keywords>
  <cp:lastModifiedBy>Berry Cox</cp:lastModifiedBy>
  <dcterms:created xsi:type="dcterms:W3CDTF">2025-02-28T02:49:13Z</dcterms:created>
  <dcterms:modified xsi:type="dcterms:W3CDTF">2025-02-28T02:49:13Z</dcterms:modified>
</cp:coreProperties>
</file>