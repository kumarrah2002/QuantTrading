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blp\data\"/>
    </mc:Choice>
  </mc:AlternateContent>
  <xr:revisionPtr revIDLastSave="0" documentId="8_{2EF8D6AF-5446-4DE8-B75A-DDE87B60569B}"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39" i="1" l="1"/>
  <c r="U618" i="1"/>
  <c r="U403" i="1"/>
  <c r="U414" i="1"/>
  <c r="U406" i="1"/>
  <c r="U198" i="1"/>
  <c r="U120" i="1"/>
  <c r="U233" i="1"/>
  <c r="U492" i="1"/>
  <c r="U630" i="1"/>
  <c r="U260" i="1"/>
  <c r="U604" i="1"/>
  <c r="U626" i="1"/>
  <c r="U702" i="1"/>
  <c r="U259" i="1"/>
  <c r="U76" i="1"/>
  <c r="U512" i="1"/>
  <c r="U497" i="1"/>
  <c r="U580" i="1"/>
  <c r="U101" i="1"/>
  <c r="U308" i="1"/>
  <c r="U384" i="1"/>
  <c r="U115" i="1"/>
  <c r="U445" i="1"/>
  <c r="U703" i="1"/>
  <c r="U69" i="1"/>
  <c r="U114" i="1"/>
  <c r="U614" i="1"/>
  <c r="U57" i="1"/>
  <c r="U172" i="1"/>
  <c r="U42" i="1"/>
  <c r="U455" i="1"/>
  <c r="U388" i="1"/>
  <c r="U87" i="1"/>
  <c r="U121" i="1"/>
  <c r="U528" i="1"/>
  <c r="U236" i="1"/>
  <c r="U582" i="1"/>
  <c r="U330" i="1"/>
  <c r="U478" i="1"/>
  <c r="U587" i="1"/>
  <c r="U438" i="1"/>
  <c r="U634" i="1"/>
  <c r="U475" i="1"/>
  <c r="U510" i="1"/>
  <c r="U74" i="1"/>
  <c r="U38" i="1"/>
  <c r="U429" i="1"/>
  <c r="U522" i="1"/>
  <c r="U548" i="1"/>
  <c r="U350" i="1"/>
  <c r="U469" i="1"/>
  <c r="U538" i="1"/>
  <c r="U294" i="1"/>
  <c r="U274" i="1"/>
  <c r="U579" i="1"/>
  <c r="U635" i="1"/>
  <c r="U312" i="1"/>
  <c r="U464" i="1"/>
  <c r="U432" i="1"/>
  <c r="U237" i="1"/>
  <c r="U280" i="1"/>
  <c r="U126" i="1"/>
  <c r="U70" i="1"/>
  <c r="U28" i="1"/>
  <c r="U153" i="1"/>
  <c r="U674" i="1"/>
  <c r="U214" i="1"/>
  <c r="U559" i="1"/>
  <c r="U37" i="1"/>
  <c r="U520" i="1"/>
  <c r="U293" i="1"/>
  <c r="U543" i="1"/>
  <c r="U106" i="1"/>
  <c r="U594" i="1"/>
  <c r="U696" i="1"/>
  <c r="U176" i="1"/>
  <c r="U219" i="1"/>
  <c r="U514" i="1"/>
  <c r="U375" i="1"/>
  <c r="U525" i="1"/>
  <c r="U657" i="1"/>
  <c r="U355" i="1"/>
  <c r="U620" i="1"/>
  <c r="U352" i="1"/>
  <c r="U67" i="1"/>
  <c r="U494" i="1"/>
  <c r="U439" i="1"/>
  <c r="U22" i="1"/>
  <c r="U518" i="1"/>
  <c r="U304" i="1"/>
  <c r="U58" i="1"/>
  <c r="U603" i="1"/>
  <c r="U10" i="1"/>
  <c r="U407" i="1"/>
  <c r="U25" i="1"/>
  <c r="U632" i="1"/>
  <c r="U137" i="1"/>
  <c r="U220" i="1"/>
  <c r="U248" i="1"/>
  <c r="U29" i="1"/>
  <c r="U547" i="1"/>
  <c r="U40" i="1"/>
  <c r="U592" i="1"/>
  <c r="U213" i="1"/>
  <c r="U608" i="1"/>
  <c r="U197" i="1"/>
  <c r="U56" i="1"/>
  <c r="U347" i="1"/>
  <c r="U535" i="1"/>
  <c r="U515" i="1"/>
  <c r="U671" i="1"/>
  <c r="U670" i="1"/>
  <c r="U31" i="1"/>
  <c r="U551" i="1"/>
  <c r="U521" i="1"/>
  <c r="U576" i="1"/>
  <c r="U431" i="1"/>
  <c r="U104" i="1"/>
  <c r="U529" i="1"/>
  <c r="U479" i="1"/>
  <c r="U382" i="1"/>
  <c r="U611" i="1"/>
  <c r="U472" i="1"/>
  <c r="U627" i="1"/>
  <c r="U273" i="1"/>
  <c r="U184" i="1"/>
  <c r="U201" i="1"/>
  <c r="U531" i="1"/>
  <c r="U700" i="1"/>
  <c r="U145" i="1"/>
  <c r="U470" i="1"/>
  <c r="U399" i="1"/>
  <c r="U637" i="1"/>
  <c r="U562" i="1"/>
  <c r="U554" i="1"/>
  <c r="U391" i="1"/>
  <c r="U651" i="1"/>
  <c r="U394" i="1"/>
  <c r="U128" i="1"/>
  <c r="U466" i="1"/>
  <c r="U585" i="1"/>
  <c r="U453" i="1"/>
  <c r="U267" i="1"/>
  <c r="U590" i="1"/>
  <c r="U390" i="1"/>
  <c r="U246" i="1"/>
  <c r="U339" i="1"/>
  <c r="U110" i="1"/>
  <c r="U564" i="1"/>
  <c r="U289" i="1"/>
  <c r="U92" i="1"/>
  <c r="U655" i="1"/>
  <c r="U188" i="1"/>
  <c r="U318" i="1"/>
  <c r="U150" i="1"/>
  <c r="U643" i="1"/>
  <c r="U610" i="1"/>
  <c r="U203" i="1"/>
  <c r="U229" i="1"/>
  <c r="U297" i="1"/>
  <c r="U570" i="1"/>
  <c r="U668" i="1"/>
  <c r="U171" i="1"/>
  <c r="U415" i="1"/>
  <c r="U504" i="1"/>
  <c r="U602" i="1"/>
  <c r="U338" i="1"/>
  <c r="U442" i="1"/>
  <c r="U162" i="1"/>
  <c r="U81" i="1"/>
  <c r="U306" i="1"/>
  <c r="U84" i="1"/>
  <c r="U160" i="1"/>
  <c r="U503" i="1"/>
  <c r="U493" i="1"/>
  <c r="U667" i="1"/>
  <c r="U173" i="1"/>
  <c r="U530" i="1"/>
  <c r="U413" i="1"/>
  <c r="U507" i="1"/>
  <c r="U179" i="1"/>
  <c r="U75" i="1"/>
  <c r="U450" i="1"/>
  <c r="U322" i="1"/>
  <c r="U211" i="1"/>
  <c r="U112" i="1"/>
  <c r="U127" i="1"/>
  <c r="U328" i="1"/>
  <c r="U363" i="1"/>
  <c r="U73" i="1"/>
  <c r="U687" i="1"/>
  <c r="U134" i="1"/>
  <c r="U371" i="1"/>
  <c r="U187" i="1"/>
  <c r="U299" i="1"/>
  <c r="U348" i="1"/>
  <c r="U349" i="1"/>
  <c r="U209" i="1"/>
  <c r="U598" i="1"/>
  <c r="U418" i="1"/>
  <c r="U239" i="1"/>
  <c r="U373" i="1"/>
  <c r="U499" i="1"/>
  <c r="U401" i="1"/>
  <c r="U86" i="1"/>
  <c r="U701" i="1"/>
  <c r="U136" i="1"/>
  <c r="U319" i="1"/>
  <c r="U385" i="1"/>
  <c r="U324" i="1"/>
  <c r="U612" i="1"/>
  <c r="U524" i="1"/>
  <c r="U251" i="1"/>
  <c r="U357" i="1"/>
  <c r="U458" i="1"/>
  <c r="U463" i="1"/>
  <c r="U206" i="1"/>
  <c r="U53" i="1"/>
  <c r="U669" i="1"/>
  <c r="U138" i="1"/>
  <c r="U230" i="1"/>
  <c r="U346" i="1"/>
  <c r="U595" i="1"/>
  <c r="U699" i="1"/>
  <c r="U182" i="1"/>
  <c r="U589" i="1"/>
  <c r="U164" i="1"/>
  <c r="U483" i="1"/>
  <c r="U398" i="1"/>
  <c r="U370" i="1"/>
  <c r="U217" i="1"/>
  <c r="U200" i="1"/>
  <c r="U646" i="1"/>
  <c r="U12" i="1"/>
  <c r="U6" i="1"/>
  <c r="U243" i="1"/>
  <c r="U9" i="1"/>
  <c r="U436" i="1"/>
  <c r="U281" i="1"/>
  <c r="U264" i="1"/>
  <c r="U573" i="1"/>
  <c r="U465" i="1"/>
  <c r="U344" i="1"/>
  <c r="U597" i="1"/>
  <c r="U98" i="1"/>
  <c r="U72" i="1"/>
  <c r="U132" i="1"/>
  <c r="U486" i="1"/>
  <c r="U341" i="1"/>
  <c r="U254" i="1"/>
  <c r="U690" i="1"/>
  <c r="U36" i="1"/>
  <c r="U654" i="1"/>
  <c r="U392" i="1"/>
  <c r="U111" i="1"/>
  <c r="U425" i="1"/>
  <c r="U156" i="1"/>
  <c r="U379" i="1"/>
  <c r="U596" i="1"/>
  <c r="U54" i="1"/>
  <c r="U378" i="1"/>
  <c r="U513" i="1"/>
  <c r="U498" i="1"/>
  <c r="U495" i="1"/>
  <c r="U88" i="1"/>
  <c r="U456" i="1"/>
  <c r="U427" i="1"/>
  <c r="U277" i="1"/>
  <c r="U544" i="1"/>
  <c r="U190" i="1"/>
  <c r="U265" i="1"/>
  <c r="U584" i="1"/>
  <c r="U99" i="1"/>
  <c r="U422" i="1"/>
  <c r="U360" i="1"/>
  <c r="U15" i="1"/>
  <c r="U143" i="1"/>
  <c r="U380" i="1"/>
  <c r="U645" i="1"/>
  <c r="U677" i="1"/>
  <c r="U93" i="1"/>
  <c r="U682" i="1"/>
  <c r="U305" i="1"/>
  <c r="U561" i="1"/>
  <c r="U262" i="1"/>
  <c r="U642" i="1"/>
  <c r="U32" i="1"/>
  <c r="U238" i="1"/>
  <c r="U50" i="1"/>
  <c r="U641" i="1"/>
  <c r="U282" i="1"/>
  <c r="U441" i="1"/>
  <c r="U311" i="1"/>
  <c r="U462" i="1"/>
  <c r="U207" i="1"/>
  <c r="U174" i="1"/>
  <c r="U366" i="1"/>
  <c r="U437" i="1"/>
  <c r="U317" i="1"/>
  <c r="U142" i="1"/>
  <c r="U697" i="1"/>
  <c r="U523" i="1"/>
  <c r="U683" i="1"/>
  <c r="U310" i="1"/>
  <c r="U140" i="1"/>
  <c r="U660" i="1"/>
  <c r="U658" i="1"/>
  <c r="U240" i="1"/>
  <c r="U83" i="1"/>
  <c r="U327" i="1"/>
  <c r="U272" i="1"/>
  <c r="U189" i="1"/>
  <c r="U326" i="1"/>
  <c r="U545" i="1"/>
  <c r="U285" i="1"/>
  <c r="U467" i="1"/>
  <c r="U61" i="1"/>
  <c r="U216" i="1"/>
  <c r="U8" i="1"/>
  <c r="U192" i="1"/>
  <c r="U255" i="1"/>
  <c r="U644" i="1"/>
  <c r="U323" i="1"/>
  <c r="U600" i="1"/>
  <c r="U202" i="1"/>
  <c r="U284" i="1"/>
  <c r="U296" i="1"/>
  <c r="U123" i="1"/>
  <c r="U532" i="1"/>
  <c r="U329" i="1"/>
  <c r="U336" i="1"/>
  <c r="U377" i="1"/>
  <c r="U568" i="1"/>
  <c r="U588" i="1"/>
  <c r="U55" i="1"/>
  <c r="U23" i="1"/>
  <c r="U640" i="1"/>
  <c r="U364" i="1"/>
  <c r="U387" i="1"/>
  <c r="U511" i="1"/>
  <c r="U461" i="1"/>
  <c r="U359" i="1"/>
  <c r="U650" i="1"/>
  <c r="U155" i="1"/>
  <c r="U20" i="1"/>
  <c r="U89" i="1"/>
  <c r="U97" i="1"/>
  <c r="U362" i="1"/>
  <c r="U275" i="1"/>
  <c r="U102" i="1"/>
  <c r="U226" i="1"/>
  <c r="U609" i="1"/>
  <c r="U252" i="1"/>
  <c r="U320" i="1"/>
  <c r="U680" i="1"/>
  <c r="U569" i="1"/>
  <c r="U424" i="1"/>
  <c r="U35" i="1"/>
  <c r="U124" i="1"/>
  <c r="U485" i="1"/>
  <c r="U560" i="1"/>
  <c r="U287" i="1"/>
  <c r="U681" i="1"/>
  <c r="U546" i="1"/>
  <c r="U343" i="1"/>
  <c r="U125" i="1"/>
  <c r="U313" i="1"/>
  <c r="U537" i="1"/>
  <c r="U63" i="1"/>
  <c r="U358" i="1"/>
  <c r="U506" i="1"/>
  <c r="U118" i="1"/>
  <c r="U389" i="1"/>
  <c r="U374" i="1"/>
  <c r="U152" i="1"/>
  <c r="U420" i="1"/>
  <c r="U372" i="1"/>
  <c r="U286" i="1"/>
  <c r="U119" i="1"/>
  <c r="U340" i="1"/>
  <c r="U158" i="1"/>
  <c r="U412" i="1"/>
  <c r="U351" i="1"/>
  <c r="U557" i="1"/>
  <c r="U400" i="1"/>
  <c r="U185" i="1"/>
  <c r="U457" i="1"/>
  <c r="U566" i="1"/>
  <c r="U71" i="1"/>
  <c r="U440" i="1"/>
  <c r="U295" i="1"/>
  <c r="U247" i="1"/>
  <c r="U18" i="1"/>
  <c r="U166" i="1"/>
  <c r="U694" i="1"/>
  <c r="U571" i="1"/>
  <c r="U62" i="1"/>
  <c r="U309" i="1"/>
  <c r="U480" i="1"/>
  <c r="U7" i="1"/>
  <c r="U409" i="1"/>
  <c r="U691" i="1"/>
  <c r="U572" i="1"/>
  <c r="U428" i="1"/>
  <c r="U402" i="1"/>
  <c r="U298" i="1"/>
  <c r="U704" i="1"/>
  <c r="U266" i="1"/>
  <c r="U577" i="1"/>
  <c r="U673" i="1"/>
  <c r="U663" i="1"/>
  <c r="U676" i="1"/>
  <c r="U321" i="1"/>
  <c r="U686" i="1"/>
  <c r="U301" i="1"/>
  <c r="U60" i="1"/>
  <c r="U235" i="1"/>
  <c r="U130" i="1"/>
  <c r="U263" i="1"/>
  <c r="U250" i="1"/>
  <c r="U80" i="1"/>
  <c r="U161" i="1"/>
  <c r="U652" i="1"/>
  <c r="U383" i="1"/>
  <c r="U302" i="1"/>
  <c r="U149" i="1"/>
  <c r="U225" i="1"/>
  <c r="U449" i="1"/>
  <c r="U443" i="1"/>
  <c r="U199" i="1"/>
  <c r="U177" i="1"/>
  <c r="U49" i="1"/>
  <c r="U636" i="1"/>
  <c r="U591" i="1"/>
  <c r="U649" i="1"/>
  <c r="U653" i="1"/>
  <c r="U241" i="1"/>
  <c r="U623" i="1"/>
  <c r="U601" i="1"/>
  <c r="U165" i="1"/>
  <c r="U565" i="1"/>
  <c r="U659" i="1"/>
  <c r="U552" i="1"/>
  <c r="U556" i="1"/>
  <c r="U186" i="1"/>
  <c r="U435" i="1"/>
  <c r="U426" i="1"/>
  <c r="U157" i="1"/>
  <c r="U662" i="1"/>
  <c r="U631" i="1"/>
  <c r="U90" i="1"/>
  <c r="U129" i="1"/>
  <c r="U369" i="1"/>
  <c r="U666" i="1"/>
  <c r="U617" i="1"/>
  <c r="U65" i="1"/>
  <c r="U353" i="1"/>
  <c r="U365" i="1"/>
  <c r="U39" i="1"/>
  <c r="U34" i="1"/>
  <c r="U116" i="1"/>
  <c r="U477" i="1"/>
  <c r="U292" i="1"/>
  <c r="U332" i="1"/>
  <c r="U454" i="1"/>
  <c r="U148" i="1"/>
  <c r="U396" i="1"/>
  <c r="U169" i="1"/>
  <c r="U232" i="1"/>
  <c r="U416" i="1"/>
  <c r="U605" i="1"/>
  <c r="U487" i="1"/>
  <c r="U553" i="1"/>
  <c r="U575" i="1"/>
  <c r="U509" i="1"/>
  <c r="U195" i="1"/>
  <c r="U249" i="1"/>
  <c r="U253" i="1"/>
  <c r="U315" i="1"/>
  <c r="U170" i="1"/>
  <c r="U404" i="1"/>
  <c r="U500" i="1"/>
  <c r="U141" i="1"/>
  <c r="U14" i="1"/>
  <c r="U574" i="1"/>
  <c r="U257" i="1"/>
  <c r="U408" i="1"/>
  <c r="U107" i="1"/>
  <c r="U46" i="1"/>
  <c r="U11" i="1"/>
  <c r="U421" i="1"/>
  <c r="U490" i="1"/>
  <c r="U122" i="1"/>
  <c r="U583" i="1"/>
  <c r="U629" i="1"/>
  <c r="U639" i="1"/>
  <c r="U693" i="1"/>
  <c r="U279" i="1"/>
  <c r="U300" i="1"/>
  <c r="U533" i="1"/>
  <c r="U376" i="1"/>
  <c r="U606" i="1"/>
  <c r="U167" i="1"/>
  <c r="U204" i="1"/>
  <c r="U66" i="1"/>
  <c r="U331" i="1"/>
  <c r="U244" i="1"/>
  <c r="U181" i="1"/>
  <c r="U196" i="1"/>
  <c r="U269" i="1"/>
  <c r="U108" i="1"/>
  <c r="U283" i="1"/>
  <c r="U448" i="1"/>
  <c r="U13" i="1"/>
  <c r="U613" i="1"/>
  <c r="U64" i="1"/>
  <c r="U212" i="1"/>
  <c r="U228" i="1"/>
  <c r="U430" i="1"/>
  <c r="U180" i="1"/>
  <c r="U685" i="1"/>
  <c r="U368" i="1"/>
  <c r="U227" i="1"/>
  <c r="U16" i="1"/>
  <c r="U215" i="1"/>
  <c r="U290" i="1"/>
  <c r="U135" i="1"/>
  <c r="U356" i="1"/>
  <c r="U411" i="1"/>
  <c r="U410" i="1"/>
  <c r="U85" i="1"/>
  <c r="U52" i="1"/>
  <c r="U223" i="1"/>
  <c r="U245" i="1"/>
  <c r="U476" i="1"/>
  <c r="U698" i="1"/>
  <c r="U178" i="1"/>
  <c r="U19" i="1"/>
  <c r="U221" i="1"/>
  <c r="U672" i="1"/>
  <c r="U496" i="1"/>
  <c r="U434" i="1"/>
  <c r="U621" i="1"/>
  <c r="U473" i="1"/>
  <c r="U163" i="1"/>
  <c r="U59" i="1"/>
  <c r="U661" i="1"/>
  <c r="U333" i="1"/>
  <c r="U578" i="1"/>
  <c r="U261" i="1"/>
  <c r="U288" i="1"/>
  <c r="U96" i="1"/>
  <c r="U45" i="1"/>
  <c r="U47" i="1"/>
  <c r="U183" i="1"/>
  <c r="U139" i="1"/>
  <c r="U417" i="1"/>
  <c r="U210" i="1"/>
  <c r="U271" i="1"/>
  <c r="U550" i="1"/>
  <c r="U44" i="1"/>
  <c r="U563" i="1"/>
  <c r="U501" i="1"/>
  <c r="U459" i="1"/>
  <c r="U536" i="1"/>
  <c r="U540" i="1"/>
  <c r="U268" i="1"/>
  <c r="U381" i="1"/>
  <c r="U48" i="1"/>
  <c r="U599" i="1"/>
  <c r="U689" i="1"/>
  <c r="U147" i="1"/>
  <c r="U534" i="1"/>
  <c r="U146" i="1"/>
  <c r="U516" i="1"/>
  <c r="U105" i="1"/>
  <c r="U684" i="1"/>
  <c r="U144" i="1"/>
  <c r="U452" i="1"/>
  <c r="U337" i="1"/>
  <c r="U526" i="1"/>
  <c r="U21" i="1"/>
  <c r="U354" i="1"/>
  <c r="U519" i="1"/>
  <c r="U508" i="1"/>
  <c r="U159" i="1"/>
  <c r="U451" i="1"/>
  <c r="U474" i="1"/>
  <c r="U231" i="1"/>
  <c r="U419" i="1"/>
  <c r="U77" i="1"/>
  <c r="U131" i="1"/>
  <c r="U43" i="1"/>
  <c r="U100" i="1"/>
  <c r="U154" i="1"/>
  <c r="U405" i="1"/>
  <c r="U555" i="1"/>
  <c r="U133" i="1"/>
  <c r="U79" i="1"/>
  <c r="U242" i="1"/>
  <c r="U218" i="1"/>
  <c r="U334" i="1"/>
  <c r="U481" i="1"/>
  <c r="U276" i="1"/>
  <c r="U303" i="1"/>
  <c r="U622" i="1"/>
  <c r="U527" i="1"/>
  <c r="U567" i="1"/>
  <c r="U628" i="1"/>
  <c r="U94" i="1"/>
  <c r="U688" i="1"/>
  <c r="U471" i="1"/>
  <c r="U447" i="1"/>
  <c r="U593" i="1"/>
  <c r="U30" i="1"/>
  <c r="U208" i="1"/>
  <c r="U270" i="1"/>
  <c r="U502" i="1"/>
  <c r="U175" i="1"/>
  <c r="U103" i="1"/>
  <c r="U78" i="1"/>
  <c r="U692" i="1"/>
  <c r="U619" i="1"/>
  <c r="U222" i="1"/>
  <c r="U484" i="1"/>
  <c r="U191" i="1"/>
  <c r="U26" i="1"/>
  <c r="U679" i="1"/>
  <c r="U367" i="1"/>
  <c r="U17" i="1"/>
  <c r="U27" i="1"/>
  <c r="U68" i="1"/>
  <c r="U113" i="1"/>
  <c r="U581" i="1"/>
  <c r="U168" i="1"/>
  <c r="U393" i="1"/>
  <c r="U446" i="1"/>
  <c r="U423" i="1"/>
  <c r="U109" i="1"/>
  <c r="U615" i="1"/>
  <c r="U505" i="1"/>
  <c r="U278" i="1"/>
  <c r="U314" i="1"/>
  <c r="U460" i="1"/>
  <c r="U675" i="1"/>
  <c r="U638" i="1"/>
  <c r="U234" i="1"/>
  <c r="U665" i="1"/>
  <c r="U291" i="1"/>
  <c r="U325" i="1"/>
  <c r="U517" i="1"/>
  <c r="U558" i="1"/>
  <c r="U624" i="1"/>
  <c r="U695" i="1"/>
  <c r="U444" i="1"/>
  <c r="U151" i="1"/>
  <c r="U386" i="1"/>
  <c r="U256" i="1"/>
  <c r="U633" i="1"/>
  <c r="U656" i="1"/>
  <c r="U616" i="1"/>
  <c r="U586" i="1"/>
  <c r="U648" i="1"/>
  <c r="U117" i="1"/>
  <c r="U24" i="1"/>
  <c r="U541" i="1"/>
  <c r="U549" i="1"/>
  <c r="U433" i="1"/>
  <c r="U488" i="1"/>
  <c r="U316" i="1"/>
  <c r="U482" i="1"/>
  <c r="U607" i="1"/>
  <c r="U5" i="1"/>
  <c r="U397" i="1"/>
  <c r="U345" i="1"/>
  <c r="U307" i="1"/>
  <c r="U491" i="1"/>
  <c r="U205" i="1"/>
  <c r="U342" i="1"/>
  <c r="U489" i="1"/>
  <c r="U664" i="1"/>
  <c r="U647" i="1"/>
  <c r="U41" i="1"/>
  <c r="U625" i="1"/>
  <c r="U95" i="1"/>
  <c r="U91" i="1"/>
  <c r="U678" i="1"/>
  <c r="U542" i="1"/>
  <c r="U468" i="1"/>
  <c r="U33" i="1"/>
  <c r="U194" i="1"/>
  <c r="U395" i="1"/>
  <c r="U82" i="1"/>
  <c r="U224" i="1"/>
  <c r="U361" i="1"/>
  <c r="U258" i="1"/>
  <c r="U193" i="1"/>
  <c r="U335" i="1"/>
  <c r="U51" i="1"/>
</calcChain>
</file>

<file path=xl/sharedStrings.xml><?xml version="1.0" encoding="utf-8"?>
<sst xmlns="http://schemas.openxmlformats.org/spreadsheetml/2006/main" count="4238" uniqueCount="2282">
  <si>
    <t>EQY_FUND_CRNCY</t>
  </si>
  <si>
    <t>REL_INDEX</t>
  </si>
  <si>
    <t>FA_ADJUSTED</t>
  </si>
  <si>
    <t>LCL</t>
  </si>
  <si>
    <t>Ticker</t>
  </si>
  <si>
    <t>Short Name</t>
  </si>
  <si>
    <t>PORT US Sz Fact Exp:D-1</t>
  </si>
  <si>
    <t>PORT US Prof Fact Exp:D-1</t>
  </si>
  <si>
    <t>PORT US Vol Fact Exp:D-1</t>
  </si>
  <si>
    <t>PORT US Trd Act Fact Exp:D-1</t>
  </si>
  <si>
    <t>PORT US Lev Fact Exp:D-1</t>
  </si>
  <si>
    <t>PORT US Mom Fact Exp:D-1</t>
  </si>
  <si>
    <t>PORT US Val Fact Exp:D-1</t>
  </si>
  <si>
    <t>PORT US Gr Fact Exp:D-1</t>
  </si>
  <si>
    <t>PORT US Dvd Yld Fact Exp:D-1</t>
  </si>
  <si>
    <t>PORT US Earn Var Fact Exp:D-1</t>
  </si>
  <si>
    <t>P/S</t>
  </si>
  <si>
    <t>BEst P/S BF12M</t>
  </si>
  <si>
    <t>P/B</t>
  </si>
  <si>
    <t>BEst P/B BF12M</t>
  </si>
  <si>
    <t>P/E</t>
  </si>
  <si>
    <t>BEst P/E BF12M</t>
  </si>
  <si>
    <t>ROE LF</t>
  </si>
  <si>
    <t>T12M R&amp;D/Sls</t>
  </si>
  <si>
    <t>GICS Sector</t>
  </si>
  <si>
    <t>GICS Ind</t>
  </si>
  <si>
    <t>GICS SubInd</t>
  </si>
  <si>
    <t>GICS Ind Name</t>
  </si>
  <si>
    <t>GICS SubInd Name</t>
  </si>
  <si>
    <t>ESG Disclosure Score (Latest Available) (BLOOMBERG L.P.)</t>
  </si>
  <si>
    <t>Beta:Y-1</t>
  </si>
  <si>
    <t>Total Return:Y-1</t>
  </si>
  <si>
    <t>Number of Employees:Y</t>
  </si>
  <si>
    <t>Number of Employees:Y-5</t>
  </si>
  <si>
    <t>None (700 securities)</t>
  </si>
  <si>
    <t>9982165D US Equity</t>
  </si>
  <si>
    <t>FERGUSON PLC</t>
  </si>
  <si>
    <t>9982165D US</t>
  </si>
  <si>
    <t>Industrials</t>
  </si>
  <si>
    <t>Trading Companies &amp; Distributors</t>
  </si>
  <si>
    <t>AAGIY US Equity</t>
  </si>
  <si>
    <t>AIA GROUP LT-ADR</t>
  </si>
  <si>
    <t>AAGIY US</t>
  </si>
  <si>
    <t>Financials</t>
  </si>
  <si>
    <t>Insurance</t>
  </si>
  <si>
    <t>Life &amp; Health Insurance</t>
  </si>
  <si>
    <t>AAIGF US Equity</t>
  </si>
  <si>
    <t>AIA</t>
  </si>
  <si>
    <t>AAIGF US</t>
  </si>
  <si>
    <t>AAL US Equity</t>
  </si>
  <si>
    <t>AMERICAN AIRLINE</t>
  </si>
  <si>
    <t>AAL US</t>
  </si>
  <si>
    <t>Passenger Airlines</t>
  </si>
  <si>
    <t>AAPL US Equity</t>
  </si>
  <si>
    <t>APPLE INC</t>
  </si>
  <si>
    <t>AAPL US</t>
  </si>
  <si>
    <t>Information Technology</t>
  </si>
  <si>
    <t>Technology Hardware, Storage &amp; Peripherals</t>
  </si>
  <si>
    <t>AAUKF US Equity</t>
  </si>
  <si>
    <t>ANGLO AMER PLC</t>
  </si>
  <si>
    <t>AAUKF US</t>
  </si>
  <si>
    <t>Materials</t>
  </si>
  <si>
    <t>Metals &amp; Mining</t>
  </si>
  <si>
    <t>Diversified Metals &amp; Mining</t>
  </si>
  <si>
    <t>AAVMY US Equity</t>
  </si>
  <si>
    <t>ABN AMRO BAN ADR</t>
  </si>
  <si>
    <t>AAVMY US</t>
  </si>
  <si>
    <t>Banks</t>
  </si>
  <si>
    <t>Diversified Banks</t>
  </si>
  <si>
    <t>ABBV US Equity</t>
  </si>
  <si>
    <t>ABBVIE INC</t>
  </si>
  <si>
    <t>ABBV US</t>
  </si>
  <si>
    <t>Health Care</t>
  </si>
  <si>
    <t>Biotechnology</t>
  </si>
  <si>
    <t>ABFOF US Equity</t>
  </si>
  <si>
    <t>ABERTIS</t>
  </si>
  <si>
    <t>ABFOF US</t>
  </si>
  <si>
    <t>Transportation Infrastructure</t>
  </si>
  <si>
    <t>Highways &amp; Railtracks</t>
  </si>
  <si>
    <t>ABMRF US Equity</t>
  </si>
  <si>
    <t>ABN AMRO BANK-CV</t>
  </si>
  <si>
    <t>ABMRF US</t>
  </si>
  <si>
    <t>ABNB US Equity</t>
  </si>
  <si>
    <t>AIRBNB INC-A</t>
  </si>
  <si>
    <t>ABNB US</t>
  </si>
  <si>
    <t>Consumer Discretionary</t>
  </si>
  <si>
    <t>Hotels, Restaurants &amp; Leisure</t>
  </si>
  <si>
    <t>Hotels, Resorts &amp; Cruise Lines</t>
  </si>
  <si>
    <t>ABT US Equity</t>
  </si>
  <si>
    <t>ABBOTT LABS</t>
  </si>
  <si>
    <t>ABT US</t>
  </si>
  <si>
    <t>Health Care Equipment &amp; Supplies</t>
  </si>
  <si>
    <t>Health Care Equipment</t>
  </si>
  <si>
    <t>ACGBF US Equity</t>
  </si>
  <si>
    <t>ABC-H</t>
  </si>
  <si>
    <t>ACGBF US</t>
  </si>
  <si>
    <t>ACGBY US Equity</t>
  </si>
  <si>
    <t>AGRICULTURAL-ADR</t>
  </si>
  <si>
    <t>ACGBY US</t>
  </si>
  <si>
    <t>ACGL US Equity</t>
  </si>
  <si>
    <t>ARCH CAPITAL GRP</t>
  </si>
  <si>
    <t>ACGL US</t>
  </si>
  <si>
    <t>Property &amp; Casualty Insurance</t>
  </si>
  <si>
    <t>ACI US Equity</t>
  </si>
  <si>
    <t>ALBERTSONS COS-A</t>
  </si>
  <si>
    <t>ACI US</t>
  </si>
  <si>
    <t>Consumer Staples</t>
  </si>
  <si>
    <t>Consumer Staples Distribution &amp; Retail</t>
  </si>
  <si>
    <t>Food Retail</t>
  </si>
  <si>
    <t>ACN US Equity</t>
  </si>
  <si>
    <t>ACCENTURE PLC-A</t>
  </si>
  <si>
    <t>ACN US</t>
  </si>
  <si>
    <t>IT Services</t>
  </si>
  <si>
    <t>IT Consulting &amp; Other Services</t>
  </si>
  <si>
    <t>ADBE US Equity</t>
  </si>
  <si>
    <t>ADOBE INC</t>
  </si>
  <si>
    <t>ADBE US</t>
  </si>
  <si>
    <t>Software</t>
  </si>
  <si>
    <t>Application Software</t>
  </si>
  <si>
    <t>ADDDF US Equity</t>
  </si>
  <si>
    <t>ADIDAS AG</t>
  </si>
  <si>
    <t>ADDDF US</t>
  </si>
  <si>
    <t>Textiles, Apparel &amp; Luxury Goods</t>
  </si>
  <si>
    <t>Apparel, Accessories &amp; Luxury Goods</t>
  </si>
  <si>
    <t>ADDYY US Equity</t>
  </si>
  <si>
    <t>ADIDAS AG-ADR</t>
  </si>
  <si>
    <t>ADDYY US</t>
  </si>
  <si>
    <t>ADI US Equity</t>
  </si>
  <si>
    <t>ANALOG DEVICES</t>
  </si>
  <si>
    <t>ADI US</t>
  </si>
  <si>
    <t>Semiconductors &amp; Semiconductor Equipment</t>
  </si>
  <si>
    <t>Semiconductors</t>
  </si>
  <si>
    <t>ADM US Equity</t>
  </si>
  <si>
    <t>ARCHER-DANIELS</t>
  </si>
  <si>
    <t>ADM US</t>
  </si>
  <si>
    <t>Food Products</t>
  </si>
  <si>
    <t>Agricultural Products &amp; Services</t>
  </si>
  <si>
    <t>ADP US Equity</t>
  </si>
  <si>
    <t>AUTOMATIC DATA</t>
  </si>
  <si>
    <t>ADP US</t>
  </si>
  <si>
    <t>Professional Services</t>
  </si>
  <si>
    <t>Human Resource &amp; Employment Services</t>
  </si>
  <si>
    <t>ADRNY US Equity</t>
  </si>
  <si>
    <t>KONINKLIJKE-ADR</t>
  </si>
  <si>
    <t>ADRNY US</t>
  </si>
  <si>
    <t>AEG US Equity</t>
  </si>
  <si>
    <t>AEGON LTD-NY REG</t>
  </si>
  <si>
    <t>AEG US</t>
  </si>
  <si>
    <t>AEGOF US Equity</t>
  </si>
  <si>
    <t>AEGON LTD</t>
  </si>
  <si>
    <t>AEGOF US</t>
  </si>
  <si>
    <t>AEP US Equity</t>
  </si>
  <si>
    <t>AMERICAN ELECTRI</t>
  </si>
  <si>
    <t>AEP US</t>
  </si>
  <si>
    <t>Utilities</t>
  </si>
  <si>
    <t>Electric Utilities</t>
  </si>
  <si>
    <t>AFL US Equity</t>
  </si>
  <si>
    <t>AFLAC INC</t>
  </si>
  <si>
    <t>AFL US</t>
  </si>
  <si>
    <t>AHODF US Equity</t>
  </si>
  <si>
    <t>KONINKLIJKE AHOL</t>
  </si>
  <si>
    <t>AHODF US</t>
  </si>
  <si>
    <t>AIG US Equity</t>
  </si>
  <si>
    <t>AMERICAN INTERNA</t>
  </si>
  <si>
    <t>AIG US</t>
  </si>
  <si>
    <t>Multi-line Insurance</t>
  </si>
  <si>
    <t>AIVAF US Equity</t>
  </si>
  <si>
    <t>AVIVA PLC</t>
  </si>
  <si>
    <t>AIVAF US</t>
  </si>
  <si>
    <t>AJG US Equity</t>
  </si>
  <si>
    <t>ARTHUR J GALLAGH</t>
  </si>
  <si>
    <t>AJG US</t>
  </si>
  <si>
    <t>Insurance Brokers</t>
  </si>
  <si>
    <t>AKBDY US Equity</t>
  </si>
  <si>
    <t>AKBANK-144A ADR</t>
  </si>
  <si>
    <t>AKBDY US</t>
  </si>
  <si>
    <t>ALIZF US Equity</t>
  </si>
  <si>
    <t>ALLIANZ SE-REG</t>
  </si>
  <si>
    <t>ALIZF US</t>
  </si>
  <si>
    <t>ALIZY US Equity</t>
  </si>
  <si>
    <t>ALLIANZ-UNSP ADR</t>
  </si>
  <si>
    <t>ALIZY US</t>
  </si>
  <si>
    <t>ALL US Equity</t>
  </si>
  <si>
    <t>ALLSTATE CORP</t>
  </si>
  <si>
    <t>ALL US</t>
  </si>
  <si>
    <t>ALLY US Equity</t>
  </si>
  <si>
    <t>ALLY FINANCIAL I</t>
  </si>
  <si>
    <t>ALLY US</t>
  </si>
  <si>
    <t>Consumer Finance</t>
  </si>
  <si>
    <t>AMAT US Equity</t>
  </si>
  <si>
    <t>APPLIED MATERIAL</t>
  </si>
  <si>
    <t>AMAT US</t>
  </si>
  <si>
    <t>Semiconductor Materials &amp; Equipment</t>
  </si>
  <si>
    <t>AMD US Equity</t>
  </si>
  <si>
    <t>ADV MICRO DEVICE</t>
  </si>
  <si>
    <t>AMD US</t>
  </si>
  <si>
    <t>AMGN US Equity</t>
  </si>
  <si>
    <t>AMGEN INC</t>
  </si>
  <si>
    <t>AMGN US</t>
  </si>
  <si>
    <t>AMKAF US Equity</t>
  </si>
  <si>
    <t>AP MOLLER-A</t>
  </si>
  <si>
    <t>AMKAF US</t>
  </si>
  <si>
    <t>Marine Transportation</t>
  </si>
  <si>
    <t>AMKBF US Equity</t>
  </si>
  <si>
    <t>AP MOLLER-B</t>
  </si>
  <si>
    <t>AMKBF US</t>
  </si>
  <si>
    <t>AMKBY US Equity</t>
  </si>
  <si>
    <t>A P MOLLER-B-ADR</t>
  </si>
  <si>
    <t>AMKBY US</t>
  </si>
  <si>
    <t>AMP US Equity</t>
  </si>
  <si>
    <t>AMERIPRISE FINAN</t>
  </si>
  <si>
    <t>AMP US</t>
  </si>
  <si>
    <t>Capital Markets</t>
  </si>
  <si>
    <t>Asset Management &amp; Custody Banks</t>
  </si>
  <si>
    <t>AMSYF US Equity</t>
  </si>
  <si>
    <t>ARCELORMITTAL</t>
  </si>
  <si>
    <t>AMSYF US</t>
  </si>
  <si>
    <t>Steel</t>
  </si>
  <si>
    <t>AMT US Equity</t>
  </si>
  <si>
    <t>AMERICAN TOWER C</t>
  </si>
  <si>
    <t>AMT US</t>
  </si>
  <si>
    <t>Real Estate</t>
  </si>
  <si>
    <t>Specialized REITs</t>
  </si>
  <si>
    <t>Telecom Tower REITs</t>
  </si>
  <si>
    <t>AMZN US Equity</t>
  </si>
  <si>
    <t>AMAZON.COM INC</t>
  </si>
  <si>
    <t>AMZN US</t>
  </si>
  <si>
    <t>Broadline Retail</t>
  </si>
  <si>
    <t>ANCTF US Equity</t>
  </si>
  <si>
    <t>ALIMEN COUCHE</t>
  </si>
  <si>
    <t>ANCTF US</t>
  </si>
  <si>
    <t>ANZGF US Equity</t>
  </si>
  <si>
    <t>ANZ GROUP HOLDIN</t>
  </si>
  <si>
    <t>ANZGF US</t>
  </si>
  <si>
    <t>ANZGY US Equity</t>
  </si>
  <si>
    <t>ANZ GROUP HO-ADR</t>
  </si>
  <si>
    <t>ANZGY US</t>
  </si>
  <si>
    <t>AON US Equity</t>
  </si>
  <si>
    <t>AON PLC-CLASS A</t>
  </si>
  <si>
    <t>AON US</t>
  </si>
  <si>
    <t>AONNF US Equity</t>
  </si>
  <si>
    <t>AEON CO LTD</t>
  </si>
  <si>
    <t>AONNF US</t>
  </si>
  <si>
    <t>Consumer Staples Merchandise Retail</t>
  </si>
  <si>
    <t>AONNY US Equity</t>
  </si>
  <si>
    <t>AEON CO LTD-ADR</t>
  </si>
  <si>
    <t>AONNY US</t>
  </si>
  <si>
    <t>APD US Equity</t>
  </si>
  <si>
    <t>AIR PRODS &amp; CHEM</t>
  </si>
  <si>
    <t>APD US</t>
  </si>
  <si>
    <t>Chemicals</t>
  </si>
  <si>
    <t>Industrial Gases</t>
  </si>
  <si>
    <t>APO US Equity</t>
  </si>
  <si>
    <t>APOLLO GLOBAL MA</t>
  </si>
  <si>
    <t>APO US</t>
  </si>
  <si>
    <t>Financial Services</t>
  </si>
  <si>
    <t>Diversified Financial Services</t>
  </si>
  <si>
    <t>ARZGF US Equity</t>
  </si>
  <si>
    <t>GENERALI</t>
  </si>
  <si>
    <t>ARZGF US</t>
  </si>
  <si>
    <t>ARZGY US Equity</t>
  </si>
  <si>
    <t>ASSICURAZI-ADR</t>
  </si>
  <si>
    <t>ARZGY US</t>
  </si>
  <si>
    <t>ASUTZ US Equity</t>
  </si>
  <si>
    <t>ASUSTEK COMP-GDR</t>
  </si>
  <si>
    <t>ASUTZ US</t>
  </si>
  <si>
    <t>AVGO US Equity</t>
  </si>
  <si>
    <t>BROADCOM INC</t>
  </si>
  <si>
    <t>AVGO US</t>
  </si>
  <si>
    <t>AVVIY US Equity</t>
  </si>
  <si>
    <t>AVIVA PLC - ADR</t>
  </si>
  <si>
    <t>AVVIY US</t>
  </si>
  <si>
    <t>AXAHF US Equity</t>
  </si>
  <si>
    <t>AXA</t>
  </si>
  <si>
    <t>AXAHF US</t>
  </si>
  <si>
    <t>AXAHY US Equity</t>
  </si>
  <si>
    <t>AXA -ADR</t>
  </si>
  <si>
    <t>AXAHY US</t>
  </si>
  <si>
    <t>AXBKY US Equity</t>
  </si>
  <si>
    <t>AXIS BANK- GDR</t>
  </si>
  <si>
    <t>AXBKY US</t>
  </si>
  <si>
    <t>AXP US Equity</t>
  </si>
  <si>
    <t>AMERICAN EXPRESS</t>
  </si>
  <si>
    <t>AXP US</t>
  </si>
  <si>
    <t>AZO US Equity</t>
  </si>
  <si>
    <t>AUTOZONE INC</t>
  </si>
  <si>
    <t>AZO US</t>
  </si>
  <si>
    <t>Specialty Retail</t>
  </si>
  <si>
    <t>Automotive Retail</t>
  </si>
  <si>
    <t>BA US Equity</t>
  </si>
  <si>
    <t>BOEING CO/THE</t>
  </si>
  <si>
    <t>BA US</t>
  </si>
  <si>
    <t>Aerospace &amp; Defense</t>
  </si>
  <si>
    <t>BABA US Equity</t>
  </si>
  <si>
    <t>ALIBABA GRP-ADR</t>
  </si>
  <si>
    <t>BABA US</t>
  </si>
  <si>
    <t>BABAF US Equity</t>
  </si>
  <si>
    <t>BABA-W</t>
  </si>
  <si>
    <t>BABAF US</t>
  </si>
  <si>
    <t>BAC US Equity</t>
  </si>
  <si>
    <t>BANK OF AMERICA</t>
  </si>
  <si>
    <t>BAC US</t>
  </si>
  <si>
    <t>BACHF US Equity</t>
  </si>
  <si>
    <t>BANK OF CHINA-H</t>
  </si>
  <si>
    <t>BACHF US</t>
  </si>
  <si>
    <t>BACHY US Equity</t>
  </si>
  <si>
    <t>BANK OF CHIN-ADR</t>
  </si>
  <si>
    <t>BACHY US</t>
  </si>
  <si>
    <t>BAIDF US Equity</t>
  </si>
  <si>
    <t>BIDU-SW</t>
  </si>
  <si>
    <t>BAIDF US</t>
  </si>
  <si>
    <t>Communication Services</t>
  </si>
  <si>
    <t>Interactive Media &amp; Services</t>
  </si>
  <si>
    <t>BAMXF US Equity</t>
  </si>
  <si>
    <t>BMW AG</t>
  </si>
  <si>
    <t>BAMXF US</t>
  </si>
  <si>
    <t>Automobiles</t>
  </si>
  <si>
    <t>Automobile Manufacturers</t>
  </si>
  <si>
    <t>BASFY US Equity</t>
  </si>
  <si>
    <t>BASF SE-ADR</t>
  </si>
  <si>
    <t>BASFY US</t>
  </si>
  <si>
    <t>Diversified Chemicals</t>
  </si>
  <si>
    <t>BAYRY US Equity</t>
  </si>
  <si>
    <t>BAYER AG-ADR</t>
  </si>
  <si>
    <t>BAYRY US</t>
  </si>
  <si>
    <t>Pharmaceuticals</t>
  </si>
  <si>
    <t>BAYZF US Equity</t>
  </si>
  <si>
    <t>BAYER AG-REG</t>
  </si>
  <si>
    <t>BAYZF US</t>
  </si>
  <si>
    <t>BBD US Equity</t>
  </si>
  <si>
    <t>BRADESCO-ADR</t>
  </si>
  <si>
    <t>BBD US</t>
  </si>
  <si>
    <t>BBDO US Equity</t>
  </si>
  <si>
    <t>BBDO US</t>
  </si>
  <si>
    <t>BBVA US Equity</t>
  </si>
  <si>
    <t>BANCO BILBAO-ADR</t>
  </si>
  <si>
    <t>BBVA US</t>
  </si>
  <si>
    <t>BBVXF US Equity</t>
  </si>
  <si>
    <t>BBVA</t>
  </si>
  <si>
    <t>BBVXF US</t>
  </si>
  <si>
    <t>BCDRF US Equity</t>
  </si>
  <si>
    <t>BANCO SANTANDER</t>
  </si>
  <si>
    <t>BCDRF US</t>
  </si>
  <si>
    <t>BCE US Equity</t>
  </si>
  <si>
    <t>BCE INC</t>
  </si>
  <si>
    <t>BCE US</t>
  </si>
  <si>
    <t>Diversified Telecommunication Services</t>
  </si>
  <si>
    <t>Integrated Telecommunication Services</t>
  </si>
  <si>
    <t>BCLYF US Equity</t>
  </si>
  <si>
    <t>BARCLAYS PLC</t>
  </si>
  <si>
    <t>BCLYF US</t>
  </si>
  <si>
    <t>BCS US Equity</t>
  </si>
  <si>
    <t>BARCLAYS PLC-ADR</t>
  </si>
  <si>
    <t>BCS US</t>
  </si>
  <si>
    <t>BDORY US Equity</t>
  </si>
  <si>
    <t>BANCO DO BRA-ADR</t>
  </si>
  <si>
    <t>BDORY US</t>
  </si>
  <si>
    <t>BDX US Equity</t>
  </si>
  <si>
    <t>BECTON DICKINSON</t>
  </si>
  <si>
    <t>BDX US</t>
  </si>
  <si>
    <t>BFFAF US Equity</t>
  </si>
  <si>
    <t>BASF SE</t>
  </si>
  <si>
    <t>BFFAF US</t>
  </si>
  <si>
    <t>BHP US Equity</t>
  </si>
  <si>
    <t>BHP GROUP-ADR</t>
  </si>
  <si>
    <t>BHP US</t>
  </si>
  <si>
    <t>BHPLF US Equity</t>
  </si>
  <si>
    <t>BHP GROUP LTD</t>
  </si>
  <si>
    <t>BHPLF US</t>
  </si>
  <si>
    <t>BIDU US Equity</t>
  </si>
  <si>
    <t>BAIDU INC-SP ADR</t>
  </si>
  <si>
    <t>BIDU US</t>
  </si>
  <si>
    <t>BK US Equity</t>
  </si>
  <si>
    <t>BANK NY MELLON</t>
  </si>
  <si>
    <t>BK US</t>
  </si>
  <si>
    <t>BKHPF US Equity</t>
  </si>
  <si>
    <t>BANK HAPOALIM</t>
  </si>
  <si>
    <t>BKHPF US</t>
  </si>
  <si>
    <t>BKHYY US Equity</t>
  </si>
  <si>
    <t>BANK HAPOALI-ADR</t>
  </si>
  <si>
    <t>BKHYY US</t>
  </si>
  <si>
    <t>BKNG US Equity</t>
  </si>
  <si>
    <t>BOOKING HOLDINGS</t>
  </si>
  <si>
    <t>BKNG US</t>
  </si>
  <si>
    <t>BKR US Equity</t>
  </si>
  <si>
    <t>BAKER HUGHES CO</t>
  </si>
  <si>
    <t>BKR US</t>
  </si>
  <si>
    <t>Energy</t>
  </si>
  <si>
    <t>Energy Equipment &amp; Services</t>
  </si>
  <si>
    <t>Oil &amp; Gas Equipment &amp; Services</t>
  </si>
  <si>
    <t>BMO US Equity</t>
  </si>
  <si>
    <t>BANK OF MONTREAL</t>
  </si>
  <si>
    <t>BMO US</t>
  </si>
  <si>
    <t>BMWYY US Equity</t>
  </si>
  <si>
    <t>BAYERISCHE-ADR</t>
  </si>
  <si>
    <t>BMWYY US</t>
  </si>
  <si>
    <t>BMY US Equity</t>
  </si>
  <si>
    <t>BRISTOL-MYER SQB</t>
  </si>
  <si>
    <t>BMY US</t>
  </si>
  <si>
    <t>BN US Equity</t>
  </si>
  <si>
    <t>BROOKFIELD CORP</t>
  </si>
  <si>
    <t>BN US</t>
  </si>
  <si>
    <t>BNDSF US Equity</t>
  </si>
  <si>
    <t>BANCO SABADELL</t>
  </si>
  <si>
    <t>BNDSF US</t>
  </si>
  <si>
    <t>BNDSY US Equity</t>
  </si>
  <si>
    <t>BANCO DE SAB-ADR</t>
  </si>
  <si>
    <t>BNDSY US</t>
  </si>
  <si>
    <t>BNPQF US Equity</t>
  </si>
  <si>
    <t>BNP PARIBAS</t>
  </si>
  <si>
    <t>BNPQF US</t>
  </si>
  <si>
    <t>BNPQY US Equity</t>
  </si>
  <si>
    <t>BNP PARIBAS-ADR</t>
  </si>
  <si>
    <t>BNPQY US</t>
  </si>
  <si>
    <t>BNPZY US Equity</t>
  </si>
  <si>
    <t>BNP PARIBAS-144A</t>
  </si>
  <si>
    <t>BNPZY US</t>
  </si>
  <si>
    <t>BNS US Equity</t>
  </si>
  <si>
    <t>BANK OF NOVA SCO</t>
  </si>
  <si>
    <t>BNS US</t>
  </si>
  <si>
    <t>BOUYF US Equity</t>
  </si>
  <si>
    <t>BOUYGUES SA</t>
  </si>
  <si>
    <t>BOUYF US</t>
  </si>
  <si>
    <t>Construction &amp; Engineering</t>
  </si>
  <si>
    <t>BOUYY US Equity</t>
  </si>
  <si>
    <t>BOUYGUES-UNS ADR</t>
  </si>
  <si>
    <t>BOUYY US</t>
  </si>
  <si>
    <t>BRDCF US Equity</t>
  </si>
  <si>
    <t>BRIDGESTONE CORP</t>
  </si>
  <si>
    <t>BRDCF US</t>
  </si>
  <si>
    <t>Automobile Components</t>
  </si>
  <si>
    <t>Tires &amp; Rubber</t>
  </si>
  <si>
    <t>BRDCY US Equity</t>
  </si>
  <si>
    <t>BRIDGESTONE-ADR</t>
  </si>
  <si>
    <t>BRDCY US</t>
  </si>
  <si>
    <t>BRK/A US Equity</t>
  </si>
  <si>
    <t>BERKSHIRE HATH-A</t>
  </si>
  <si>
    <t>BRK/A US</t>
  </si>
  <si>
    <t>Multi-Sector Holdings</t>
  </si>
  <si>
    <t>BRK/B US Equity</t>
  </si>
  <si>
    <t>BERKSHIRE HATH-B</t>
  </si>
  <si>
    <t>BRK/B US</t>
  </si>
  <si>
    <t>BSQKZ US Equity</t>
  </si>
  <si>
    <t>BLOCK INC - CDI</t>
  </si>
  <si>
    <t>BSQKZ US</t>
  </si>
  <si>
    <t>Transaction &amp; Payment Processing Services</t>
  </si>
  <si>
    <t>BSX US Equity</t>
  </si>
  <si>
    <t>BOSTON SCIENTIFC</t>
  </si>
  <si>
    <t>BSX US</t>
  </si>
  <si>
    <t>BX US Equity</t>
  </si>
  <si>
    <t>BLACKSTONE INC</t>
  </si>
  <si>
    <t>BX US</t>
  </si>
  <si>
    <t>BYDDF US Equity</t>
  </si>
  <si>
    <t>BYD COMPANY</t>
  </si>
  <si>
    <t>BYDDF US</t>
  </si>
  <si>
    <t>BYDDY US Equity</t>
  </si>
  <si>
    <t>BYD CO-UNSP ADR</t>
  </si>
  <si>
    <t>BYDDY US</t>
  </si>
  <si>
    <t>BYMOF US Equity</t>
  </si>
  <si>
    <t>BMW AG - PRF</t>
  </si>
  <si>
    <t>BYMOF US</t>
  </si>
  <si>
    <t>C US Equity</t>
  </si>
  <si>
    <t>CITIGROUP INC</t>
  </si>
  <si>
    <t>C US</t>
  </si>
  <si>
    <t>CAH US Equity</t>
  </si>
  <si>
    <t>CARDINAL HEALTH</t>
  </si>
  <si>
    <t>CAH US</t>
  </si>
  <si>
    <t>Health Care Providers &amp; Services</t>
  </si>
  <si>
    <t>Health Care Distributors</t>
  </si>
  <si>
    <t>CAJFF US Equity</t>
  </si>
  <si>
    <t>CANON INC</t>
  </si>
  <si>
    <t>CAJFF US</t>
  </si>
  <si>
    <t>CAJPY US Equity</t>
  </si>
  <si>
    <t>CANON INC-ADR</t>
  </si>
  <si>
    <t>CAJPY US</t>
  </si>
  <si>
    <t>CAOVF US Equity</t>
  </si>
  <si>
    <t>CHINA OVERSEAS</t>
  </si>
  <si>
    <t>CAOVF US</t>
  </si>
  <si>
    <t>Real Estate Management &amp; Development</t>
  </si>
  <si>
    <t>Real Estate Development</t>
  </si>
  <si>
    <t>CAOVY US Equity</t>
  </si>
  <si>
    <t>CHINA OVER-ADR</t>
  </si>
  <si>
    <t>CAOVY US</t>
  </si>
  <si>
    <t>CAPMF US Equity</t>
  </si>
  <si>
    <t>CAPGEMINI SE</t>
  </si>
  <si>
    <t>CAPMF US</t>
  </si>
  <si>
    <t>CARR US Equity</t>
  </si>
  <si>
    <t>CARRIER GLOB</t>
  </si>
  <si>
    <t>CARR US</t>
  </si>
  <si>
    <t>Building Products</t>
  </si>
  <si>
    <t>CAT US Equity</t>
  </si>
  <si>
    <t>CATERPILLAR INC</t>
  </si>
  <si>
    <t>CAT US</t>
  </si>
  <si>
    <t>Machinery</t>
  </si>
  <si>
    <t>Construction Machinery &amp; Heavy Transportation Equipment</t>
  </si>
  <si>
    <t>CB US Equity</t>
  </si>
  <si>
    <t>CHUBB LTD</t>
  </si>
  <si>
    <t>CB US</t>
  </si>
  <si>
    <t>CBRE US Equity</t>
  </si>
  <si>
    <t>CBRE GROUP INC-A</t>
  </si>
  <si>
    <t>CBRE US</t>
  </si>
  <si>
    <t>Real Estate Services</t>
  </si>
  <si>
    <t>CCEP US Equity</t>
  </si>
  <si>
    <t>COCA-COLA EUROPA</t>
  </si>
  <si>
    <t>CCEP US</t>
  </si>
  <si>
    <t>Beverages</t>
  </si>
  <si>
    <t>Soft Drinks &amp; Non-alcoholic Beverages</t>
  </si>
  <si>
    <t>CCI US Equity</t>
  </si>
  <si>
    <t>CROWN CASTLE INC</t>
  </si>
  <si>
    <t>CCI US</t>
  </si>
  <si>
    <t>CCL US Equity</t>
  </si>
  <si>
    <t>CARNIVAL CORP</t>
  </si>
  <si>
    <t>CCL US</t>
  </si>
  <si>
    <t>CCOZY US Equity</t>
  </si>
  <si>
    <t>CHINA COAL E-ADR</t>
  </si>
  <si>
    <t>CCOZY US</t>
  </si>
  <si>
    <t>Oil, Gas &amp; Consumable Fuels</t>
  </si>
  <si>
    <t>Coal &amp; Consumable Fuels</t>
  </si>
  <si>
    <t>CEG US Equity</t>
  </si>
  <si>
    <t>CONSTELLATION EN</t>
  </si>
  <si>
    <t>CEG US</t>
  </si>
  <si>
    <t>CELG-R US Equity</t>
  </si>
  <si>
    <t>BMY- CELGENE-CVR</t>
  </si>
  <si>
    <t>CELG-R US</t>
  </si>
  <si>
    <t>CFG US Equity</t>
  </si>
  <si>
    <t>CITIZENS FINANCI</t>
  </si>
  <si>
    <t>CFG US</t>
  </si>
  <si>
    <t>Regional Banks</t>
  </si>
  <si>
    <t>CFRHF US Equity</t>
  </si>
  <si>
    <t>CIE FINANCI-REG</t>
  </si>
  <si>
    <t>CFRHF US</t>
  </si>
  <si>
    <t>CFRUY US Equity</t>
  </si>
  <si>
    <t>CIE FINANCI-ADR</t>
  </si>
  <si>
    <t>CFRUY US</t>
  </si>
  <si>
    <t>CGEMY US Equity</t>
  </si>
  <si>
    <t>CAPGEMINI - ADR</t>
  </si>
  <si>
    <t>CGEMY US</t>
  </si>
  <si>
    <t>CHTR US Equity</t>
  </si>
  <si>
    <t>CHARTER COMMUN-A</t>
  </si>
  <si>
    <t>CHTR US</t>
  </si>
  <si>
    <t>Media</t>
  </si>
  <si>
    <t>Cable &amp; Satellite</t>
  </si>
  <si>
    <t>CHVKF US Equity</t>
  </si>
  <si>
    <t>CHINA VANKE-H</t>
  </si>
  <si>
    <t>CHVKF US</t>
  </si>
  <si>
    <t>CHVKY US Equity</t>
  </si>
  <si>
    <t>CHINA VANKE-UNSP</t>
  </si>
  <si>
    <t>CHVKY US</t>
  </si>
  <si>
    <t>CI US Equity</t>
  </si>
  <si>
    <t>THE CIGNA GROUP</t>
  </si>
  <si>
    <t>CI US</t>
  </si>
  <si>
    <t>Health Care Services</t>
  </si>
  <si>
    <t>CICOF US Equity</t>
  </si>
  <si>
    <t>COSCO SHIP HOL-H</t>
  </si>
  <si>
    <t>CICOF US</t>
  </si>
  <si>
    <t>CICOY US Equity</t>
  </si>
  <si>
    <t>CHINA COSCO-ADR</t>
  </si>
  <si>
    <t>CICOY US</t>
  </si>
  <si>
    <t>CJPRF US Equity</t>
  </si>
  <si>
    <t>CENTRAL JAPAN RL</t>
  </si>
  <si>
    <t>CJPRF US</t>
  </si>
  <si>
    <t>Ground Transportation</t>
  </si>
  <si>
    <t>Rail Transportation</t>
  </si>
  <si>
    <t>CJPRY US Equity</t>
  </si>
  <si>
    <t>CENTRAL JAPA-ADR</t>
  </si>
  <si>
    <t>CJPRY US</t>
  </si>
  <si>
    <t>CL US Equity</t>
  </si>
  <si>
    <t>COLGATE-PALMOLIV</t>
  </si>
  <si>
    <t>CL US</t>
  </si>
  <si>
    <t>Household Products</t>
  </si>
  <si>
    <t>CM US Equity</t>
  </si>
  <si>
    <t>CAN IMPL BK COMM</t>
  </si>
  <si>
    <t>CM US</t>
  </si>
  <si>
    <t>CMCSA US Equity</t>
  </si>
  <si>
    <t>COMCAST CORP-A</t>
  </si>
  <si>
    <t>CMCSA US</t>
  </si>
  <si>
    <t>CME US Equity</t>
  </si>
  <si>
    <t>CME GROUP INC</t>
  </si>
  <si>
    <t>CME US</t>
  </si>
  <si>
    <t>Financial Exchanges &amp; Data</t>
  </si>
  <si>
    <t>CMI US Equity</t>
  </si>
  <si>
    <t>CUMMINS INC</t>
  </si>
  <si>
    <t>CMI US</t>
  </si>
  <si>
    <t>CMTDF US Equity</t>
  </si>
  <si>
    <t>SUMITOMO MITSUI</t>
  </si>
  <si>
    <t>CMTDF US</t>
  </si>
  <si>
    <t>CMXHF US Equity</t>
  </si>
  <si>
    <t>CSL LTD</t>
  </si>
  <si>
    <t>CMXHF US</t>
  </si>
  <si>
    <t>CNC US Equity</t>
  </si>
  <si>
    <t>CENTENE CORP</t>
  </si>
  <si>
    <t>CNC US</t>
  </si>
  <si>
    <t>Managed Health Care</t>
  </si>
  <si>
    <t>CNH US Equity</t>
  </si>
  <si>
    <t>CNH INDUSTRIAL N</t>
  </si>
  <si>
    <t>CNH US</t>
  </si>
  <si>
    <t>Agricultural &amp; Farm Machinery</t>
  </si>
  <si>
    <t>CNI US Equity</t>
  </si>
  <si>
    <t>CAN NATL RAILWAY</t>
  </si>
  <si>
    <t>CNI US</t>
  </si>
  <si>
    <t>CNQ US Equity</t>
  </si>
  <si>
    <t>CAN NATURAL RES</t>
  </si>
  <si>
    <t>CNQ US</t>
  </si>
  <si>
    <t>Oil &amp; Gas Exploration &amp; Production</t>
  </si>
  <si>
    <t>CODGF US Equity</t>
  </si>
  <si>
    <t>SAINT GOBAIN</t>
  </si>
  <si>
    <t>CODGF US</t>
  </si>
  <si>
    <t>CODYY US Equity</t>
  </si>
  <si>
    <t>COMPAGNIE DE-ADR</t>
  </si>
  <si>
    <t>CODYY US</t>
  </si>
  <si>
    <t>COF US Equity</t>
  </si>
  <si>
    <t>CAPITAL ONE FINA</t>
  </si>
  <si>
    <t>COF US</t>
  </si>
  <si>
    <t>COP US Equity</t>
  </si>
  <si>
    <t>CONOCOPHILLIPS</t>
  </si>
  <si>
    <t>COP US</t>
  </si>
  <si>
    <t>COR US Equity</t>
  </si>
  <si>
    <t>CENCORA INC</t>
  </si>
  <si>
    <t>COR US</t>
  </si>
  <si>
    <t>COST US Equity</t>
  </si>
  <si>
    <t>COSTCO WHOLESALE</t>
  </si>
  <si>
    <t>COST US</t>
  </si>
  <si>
    <t>CP US Equity</t>
  </si>
  <si>
    <t>CANADIAN PACIFIC</t>
  </si>
  <si>
    <t>CP US</t>
  </si>
  <si>
    <t>CRARF US Equity</t>
  </si>
  <si>
    <t>CREDIT AGRICOLE</t>
  </si>
  <si>
    <t>CRARF US</t>
  </si>
  <si>
    <t>CRARY US Equity</t>
  </si>
  <si>
    <t>CREDIT AGRI-ADR</t>
  </si>
  <si>
    <t>CRARY US</t>
  </si>
  <si>
    <t>CRBG US Equity</t>
  </si>
  <si>
    <t>COREBRIDGE FINAN</t>
  </si>
  <si>
    <t>CRBG US</t>
  </si>
  <si>
    <t>CRERF US Equity</t>
  </si>
  <si>
    <t>CARREFOUR SA</t>
  </si>
  <si>
    <t>CRERF US</t>
  </si>
  <si>
    <t>CRM US Equity</t>
  </si>
  <si>
    <t>SALESFORCE INC</t>
  </si>
  <si>
    <t>CRM US</t>
  </si>
  <si>
    <t>CRRFY US Equity</t>
  </si>
  <si>
    <t>CARREFOUR SA-ADR</t>
  </si>
  <si>
    <t>CRRFY US</t>
  </si>
  <si>
    <t>CRZBF US Equity</t>
  </si>
  <si>
    <t>COMMERZBANK</t>
  </si>
  <si>
    <t>CRZBF US</t>
  </si>
  <si>
    <t>CRZBY US Equity</t>
  </si>
  <si>
    <t>COMMERZBANK-ADR</t>
  </si>
  <si>
    <t>CRZBY US</t>
  </si>
  <si>
    <t>CSCO US Equity</t>
  </si>
  <si>
    <t>CISCO SYSTEMS</t>
  </si>
  <si>
    <t>CSCO US</t>
  </si>
  <si>
    <t>Communications Equipment</t>
  </si>
  <si>
    <t>CSLLY US Equity</t>
  </si>
  <si>
    <t>CSL LTD-SPON ADR</t>
  </si>
  <si>
    <t>CSLLY US</t>
  </si>
  <si>
    <t>CSUAY US Equity</t>
  </si>
  <si>
    <t>CHINA SHENH-ADR</t>
  </si>
  <si>
    <t>CSUAY US</t>
  </si>
  <si>
    <t>CSX US Equity</t>
  </si>
  <si>
    <t>CSX CORP</t>
  </si>
  <si>
    <t>CSX US</t>
  </si>
  <si>
    <t>CTRYF US Equity</t>
  </si>
  <si>
    <t>COUNTRY GARDEN</t>
  </si>
  <si>
    <t>CTRYF US</t>
  </si>
  <si>
    <t>CTRYY US Equity</t>
  </si>
  <si>
    <t>CTRYY US</t>
  </si>
  <si>
    <t>CTSH US Equity</t>
  </si>
  <si>
    <t>COGNIZANT TECH-A</t>
  </si>
  <si>
    <t>CTSH US</t>
  </si>
  <si>
    <t>CTTAF US Equity</t>
  </si>
  <si>
    <t>CONTINENTAL AG</t>
  </si>
  <si>
    <t>CTTAF US</t>
  </si>
  <si>
    <t>Automotive Parts &amp; Equipment</t>
  </si>
  <si>
    <t>CTTAY US Equity</t>
  </si>
  <si>
    <t>CONTL AG-ADR</t>
  </si>
  <si>
    <t>CTTAY US</t>
  </si>
  <si>
    <t>CTVA US Equity</t>
  </si>
  <si>
    <t>CORTEVA INC</t>
  </si>
  <si>
    <t>CTVA US</t>
  </si>
  <si>
    <t>Fertilizers &amp; Agricultural Chemicals</t>
  </si>
  <si>
    <t>CUAEF US Equity</t>
  </si>
  <si>
    <t>CHINA SHENHUA-H</t>
  </si>
  <si>
    <t>CUAEF US</t>
  </si>
  <si>
    <t>CUK US Equity</t>
  </si>
  <si>
    <t>CARNIVAL PLC-ADR</t>
  </si>
  <si>
    <t>CUK US</t>
  </si>
  <si>
    <t>CUKPF US Equity</t>
  </si>
  <si>
    <t>CARNIVAL PLC</t>
  </si>
  <si>
    <t>CUKPF US</t>
  </si>
  <si>
    <t>CVE US Equity</t>
  </si>
  <si>
    <t>CENOVUS ENERGY</t>
  </si>
  <si>
    <t>CVE US</t>
  </si>
  <si>
    <t>Integrated Oil &amp; Gas</t>
  </si>
  <si>
    <t>CVS US Equity</t>
  </si>
  <si>
    <t>CVS HEALTH CORP</t>
  </si>
  <si>
    <t>CVS US</t>
  </si>
  <si>
    <t>CVX US Equity</t>
  </si>
  <si>
    <t>CHEVRON CORP</t>
  </si>
  <si>
    <t>CVX US</t>
  </si>
  <si>
    <t>D US Equity</t>
  </si>
  <si>
    <t>DOMINION ENERGY</t>
  </si>
  <si>
    <t>D US</t>
  </si>
  <si>
    <t>Multi-Utilities</t>
  </si>
  <si>
    <t>DAL US Equity</t>
  </si>
  <si>
    <t>DELTA AIR LI</t>
  </si>
  <si>
    <t>DAL US</t>
  </si>
  <si>
    <t>DANOY US Equity</t>
  </si>
  <si>
    <t>DANONE-ADR</t>
  </si>
  <si>
    <t>DANOY US</t>
  </si>
  <si>
    <t>Packaged Foods &amp; Meats</t>
  </si>
  <si>
    <t>DB US Equity</t>
  </si>
  <si>
    <t>DEUTSCHE BANK-RG</t>
  </si>
  <si>
    <t>DB US</t>
  </si>
  <si>
    <t>Diversified Capital Markets</t>
  </si>
  <si>
    <t>DBOEF US Equity</t>
  </si>
  <si>
    <t>DEUTSCHE BOERSE</t>
  </si>
  <si>
    <t>DBOEF US</t>
  </si>
  <si>
    <t>DBOEY US Equity</t>
  </si>
  <si>
    <t>DEUTSCHE BOE-ADR</t>
  </si>
  <si>
    <t>DBOEY US</t>
  </si>
  <si>
    <t>DCNSF US Equity</t>
  </si>
  <si>
    <t>DAI-ICHI LIFE HO</t>
  </si>
  <si>
    <t>DCNSF US</t>
  </si>
  <si>
    <t>DD US Equity</t>
  </si>
  <si>
    <t>DUPONT DE NEMOUR</t>
  </si>
  <si>
    <t>DD US</t>
  </si>
  <si>
    <t>Specialty Chemicals</t>
  </si>
  <si>
    <t>DE US Equity</t>
  </si>
  <si>
    <t>DEERE &amp; CO</t>
  </si>
  <si>
    <t>DE US</t>
  </si>
  <si>
    <t>DELL US Equity</t>
  </si>
  <si>
    <t>DELL TECHN-C</t>
  </si>
  <si>
    <t>DELL US</t>
  </si>
  <si>
    <t>DFS US Equity</t>
  </si>
  <si>
    <t>DISCOVER FINANCI</t>
  </si>
  <si>
    <t>DFS US</t>
  </si>
  <si>
    <t>DG US Equity</t>
  </si>
  <si>
    <t>DOLLAR GENERAL C</t>
  </si>
  <si>
    <t>DG US</t>
  </si>
  <si>
    <t>DHI US Equity</t>
  </si>
  <si>
    <t>DR HORTON INC</t>
  </si>
  <si>
    <t>DHI US</t>
  </si>
  <si>
    <t>Household Durables</t>
  </si>
  <si>
    <t>Homebuilding</t>
  </si>
  <si>
    <t>DHLGY US Equity</t>
  </si>
  <si>
    <t>DHL GROUP-ADR</t>
  </si>
  <si>
    <t>DHLGY US</t>
  </si>
  <si>
    <t>Air Freight &amp; Logistics</t>
  </si>
  <si>
    <t>DHR US Equity</t>
  </si>
  <si>
    <t>DANAHER CORP</t>
  </si>
  <si>
    <t>DHR US</t>
  </si>
  <si>
    <t>Life Sciences Tools &amp; Services</t>
  </si>
  <si>
    <t>DIS US Equity</t>
  </si>
  <si>
    <t>WALT DISNEY CO/T</t>
  </si>
  <si>
    <t>DIS US</t>
  </si>
  <si>
    <t>Entertainment</t>
  </si>
  <si>
    <t>Movies &amp; Entertainment</t>
  </si>
  <si>
    <t>DKILF US Equity</t>
  </si>
  <si>
    <t>DAIKIN INDS</t>
  </si>
  <si>
    <t>DKILF US</t>
  </si>
  <si>
    <t>DKILY US Equity</t>
  </si>
  <si>
    <t>DAIKIN INDUS-ADR</t>
  </si>
  <si>
    <t>DKILY US</t>
  </si>
  <si>
    <t>DLICY US Equity</t>
  </si>
  <si>
    <t>DLICY US</t>
  </si>
  <si>
    <t>DLTR US Equity</t>
  </si>
  <si>
    <t>DOLLAR TREE INC</t>
  </si>
  <si>
    <t>DLTR US</t>
  </si>
  <si>
    <t>DNKEY US Equity</t>
  </si>
  <si>
    <t>DANSKE BANK-ADR</t>
  </si>
  <si>
    <t>DNKEY US</t>
  </si>
  <si>
    <t>DNSKF US Equity</t>
  </si>
  <si>
    <t>DANSKE BANK A/S</t>
  </si>
  <si>
    <t>DNSKF US</t>
  </si>
  <si>
    <t>DNZOF US Equity</t>
  </si>
  <si>
    <t>DENSO CORP</t>
  </si>
  <si>
    <t>DNZOF US</t>
  </si>
  <si>
    <t>DNZOY US Equity</t>
  </si>
  <si>
    <t>DENSO CORP-ADR</t>
  </si>
  <si>
    <t>DNZOY US</t>
  </si>
  <si>
    <t>DOW US Equity</t>
  </si>
  <si>
    <t>DOW INC</t>
  </si>
  <si>
    <t>DOW US</t>
  </si>
  <si>
    <t>Commodity Chemicals</t>
  </si>
  <si>
    <t>DPSTF US Equity</t>
  </si>
  <si>
    <t>DHL GROUP</t>
  </si>
  <si>
    <t>DPSTF US</t>
  </si>
  <si>
    <t>DTE US Equity</t>
  </si>
  <si>
    <t>DTE ENERGY CO</t>
  </si>
  <si>
    <t>DTE US</t>
  </si>
  <si>
    <t>DTGHF US Equity</t>
  </si>
  <si>
    <t>DAIMLER TRUCK HO</t>
  </si>
  <si>
    <t>DTGHF US</t>
  </si>
  <si>
    <t>DTRUY US Equity</t>
  </si>
  <si>
    <t>DAIM - SPON ADR</t>
  </si>
  <si>
    <t>DTRUY US</t>
  </si>
  <si>
    <t>DUK US Equity</t>
  </si>
  <si>
    <t>DUKE ENERGY CORP</t>
  </si>
  <si>
    <t>DUK US</t>
  </si>
  <si>
    <t>DWAHF US Equity</t>
  </si>
  <si>
    <t>DAIWA HOUSE INDU</t>
  </si>
  <si>
    <t>DWAHF US</t>
  </si>
  <si>
    <t>Diversified Real Estate Activities</t>
  </si>
  <si>
    <t>DWAHY US Equity</t>
  </si>
  <si>
    <t>DAIWA HOUSE-ADR</t>
  </si>
  <si>
    <t>DWAHY US</t>
  </si>
  <si>
    <t>E US Equity</t>
  </si>
  <si>
    <t>ENI SPA-ADR</t>
  </si>
  <si>
    <t>E US</t>
  </si>
  <si>
    <t>ECL US Equity</t>
  </si>
  <si>
    <t>ECOLAB INC</t>
  </si>
  <si>
    <t>ECL US</t>
  </si>
  <si>
    <t>ED US Equity</t>
  </si>
  <si>
    <t>CONS EDISON INC</t>
  </si>
  <si>
    <t>ED US</t>
  </si>
  <si>
    <t>EEEP US Equity</t>
  </si>
  <si>
    <t>EP3OIL INC</t>
  </si>
  <si>
    <t>EEEP US</t>
  </si>
  <si>
    <t>EIPAF US Equity</t>
  </si>
  <si>
    <t>ENI SPA</t>
  </si>
  <si>
    <t>EIPAF US</t>
  </si>
  <si>
    <t>EIX US Equity</t>
  </si>
  <si>
    <t>EDISON INTL</t>
  </si>
  <si>
    <t>EIX US</t>
  </si>
  <si>
    <t>EJPRF US Equity</t>
  </si>
  <si>
    <t>EAST JAPAN RAIL</t>
  </si>
  <si>
    <t>EJPRF US</t>
  </si>
  <si>
    <t>EJPRY US Equity</t>
  </si>
  <si>
    <t>EAST RAILWAY-ADR</t>
  </si>
  <si>
    <t>EJPRY US</t>
  </si>
  <si>
    <t>EL US Equity</t>
  </si>
  <si>
    <t>ESTEE LAUDER</t>
  </si>
  <si>
    <t>EL US</t>
  </si>
  <si>
    <t>Personal Care Products</t>
  </si>
  <si>
    <t>ELV US Equity</t>
  </si>
  <si>
    <t>ELEVANCE HEALTH</t>
  </si>
  <si>
    <t>ELV US</t>
  </si>
  <si>
    <t>EMR US Equity</t>
  </si>
  <si>
    <t>EMERSON ELEC CO</t>
  </si>
  <si>
    <t>EMR US</t>
  </si>
  <si>
    <t>Electrical Equipment</t>
  </si>
  <si>
    <t>Electrical Components &amp; Equipment</t>
  </si>
  <si>
    <t>ENAKF US Equity</t>
  </si>
  <si>
    <t>E.ON SE</t>
  </si>
  <si>
    <t>ENAKF US</t>
  </si>
  <si>
    <t>ENB US Equity</t>
  </si>
  <si>
    <t>ENBRIDGE INC</t>
  </si>
  <si>
    <t>ENB US</t>
  </si>
  <si>
    <t>Oil &amp; Gas Storage &amp; Transportation</t>
  </si>
  <si>
    <t>ENGIY US Equity</t>
  </si>
  <si>
    <t>ENGIE-ADR</t>
  </si>
  <si>
    <t>ENGIY US</t>
  </si>
  <si>
    <t>ENGQF US Equity</t>
  </si>
  <si>
    <t>ENGIE</t>
  </si>
  <si>
    <t>ENGQF US</t>
  </si>
  <si>
    <t>ENLAY US Equity</t>
  </si>
  <si>
    <t>ENEL SPA - ADR</t>
  </si>
  <si>
    <t>ENLAY US</t>
  </si>
  <si>
    <t>EOG US Equity</t>
  </si>
  <si>
    <t>EOG RESOURCES</t>
  </si>
  <si>
    <t>EOG US</t>
  </si>
  <si>
    <t>EONGY US Equity</t>
  </si>
  <si>
    <t>E.ON SE-ADR</t>
  </si>
  <si>
    <t>EONGY US</t>
  </si>
  <si>
    <t>EPD US Equity</t>
  </si>
  <si>
    <t>ENTERPRISE PRODU</t>
  </si>
  <si>
    <t>EPD US</t>
  </si>
  <si>
    <t>EQH US Equity</t>
  </si>
  <si>
    <t>EQUITABLE HOLDIN</t>
  </si>
  <si>
    <t>EQH US</t>
  </si>
  <si>
    <t>EQIX US Equity</t>
  </si>
  <si>
    <t>EQUINIX INC</t>
  </si>
  <si>
    <t>EQIX US</t>
  </si>
  <si>
    <t>Data Center REITs</t>
  </si>
  <si>
    <t>ES US Equity</t>
  </si>
  <si>
    <t>EVERSOURCE ENERG</t>
  </si>
  <si>
    <t>ES US</t>
  </si>
  <si>
    <t>ESOCF US Equity</t>
  </si>
  <si>
    <t>ENEL SPA</t>
  </si>
  <si>
    <t>ESOCF US</t>
  </si>
  <si>
    <t>ET US Equity</t>
  </si>
  <si>
    <t>ENERGY TRANSFER</t>
  </si>
  <si>
    <t>ET US</t>
  </si>
  <si>
    <t>ETN US Equity</t>
  </si>
  <si>
    <t>EATON CORP PLC</t>
  </si>
  <si>
    <t>ETN US</t>
  </si>
  <si>
    <t>ETR US Equity</t>
  </si>
  <si>
    <t>ENTERGY CORP</t>
  </si>
  <si>
    <t>ETR US</t>
  </si>
  <si>
    <t>EXC US Equity</t>
  </si>
  <si>
    <t>EXELON CORP</t>
  </si>
  <si>
    <t>EXC US</t>
  </si>
  <si>
    <t>F US Equity</t>
  </si>
  <si>
    <t>FORD MOTOR CO</t>
  </si>
  <si>
    <t>F US</t>
  </si>
  <si>
    <t>FANDF US Equity</t>
  </si>
  <si>
    <t>FIRSTRAND LTD</t>
  </si>
  <si>
    <t>FANDF US</t>
  </si>
  <si>
    <t>FANDY US Equity</t>
  </si>
  <si>
    <t>FIRSTRAND-UN ADR</t>
  </si>
  <si>
    <t>FANDY US</t>
  </si>
  <si>
    <t>FCNCA US Equity</t>
  </si>
  <si>
    <t>FIRST CITIZENS-A</t>
  </si>
  <si>
    <t>FCNCA US</t>
  </si>
  <si>
    <t>FCNCB US Equity</t>
  </si>
  <si>
    <t>FIRST CITIZENS-B</t>
  </si>
  <si>
    <t>FCNCB US</t>
  </si>
  <si>
    <t>FCX US Equity</t>
  </si>
  <si>
    <t>FREEPORT-MCMORAN</t>
  </si>
  <si>
    <t>FCX US</t>
  </si>
  <si>
    <t>Copper</t>
  </si>
  <si>
    <t>FDX US Equity</t>
  </si>
  <si>
    <t>FEDEX CORP</t>
  </si>
  <si>
    <t>FDX US</t>
  </si>
  <si>
    <t>FERN US Equity</t>
  </si>
  <si>
    <t>FERNHILL CORP</t>
  </si>
  <si>
    <t>FERN US</t>
  </si>
  <si>
    <t>N/A</t>
  </si>
  <si>
    <t>FFHMY US Equity</t>
  </si>
  <si>
    <t>FIRST FINL - GDR</t>
  </si>
  <si>
    <t>FFHMY US</t>
  </si>
  <si>
    <t>FI US Equity</t>
  </si>
  <si>
    <t>FISERV INC</t>
  </si>
  <si>
    <t>FI US</t>
  </si>
  <si>
    <t>FIS US Equity</t>
  </si>
  <si>
    <t>FIDELITY NATIONA</t>
  </si>
  <si>
    <t>FIS US</t>
  </si>
  <si>
    <t>FITB US Equity</t>
  </si>
  <si>
    <t>FIFTH THIRD BANC</t>
  </si>
  <si>
    <t>FITB US</t>
  </si>
  <si>
    <t>FJTSF US Equity</t>
  </si>
  <si>
    <t>FUJITSU LTD</t>
  </si>
  <si>
    <t>FJTSF US</t>
  </si>
  <si>
    <t>FJTSY US Equity</t>
  </si>
  <si>
    <t>FUJITSU LTD-ADR</t>
  </si>
  <si>
    <t>FJTSY US</t>
  </si>
  <si>
    <t>FNCTF US Equity</t>
  </si>
  <si>
    <t>ORANGE</t>
  </si>
  <si>
    <t>FNCTF US</t>
  </si>
  <si>
    <t>FNRC US Equity</t>
  </si>
  <si>
    <t>1ST NRG CORP</t>
  </si>
  <si>
    <t>FNRC US</t>
  </si>
  <si>
    <t>FRCOF US Equity</t>
  </si>
  <si>
    <t>FAST RETAILING</t>
  </si>
  <si>
    <t>FRCOF US</t>
  </si>
  <si>
    <t>Apparel Retail</t>
  </si>
  <si>
    <t>FRCOY US Equity</t>
  </si>
  <si>
    <t>FAST RETAIL-ADR</t>
  </si>
  <si>
    <t>FRCOY US</t>
  </si>
  <si>
    <t>FRFHF US Equity</t>
  </si>
  <si>
    <t>FAIRFAX FINL HLD</t>
  </si>
  <si>
    <t>FRFHF US</t>
  </si>
  <si>
    <t>FSNUF US Equity</t>
  </si>
  <si>
    <t>FRESENIUS SE &amp; C</t>
  </si>
  <si>
    <t>FSNUF US</t>
  </si>
  <si>
    <t>FSNUY US Equity</t>
  </si>
  <si>
    <t>FRESENIUS SE-ADR</t>
  </si>
  <si>
    <t>FSNUY US</t>
  </si>
  <si>
    <t>FSUGY US Equity</t>
  </si>
  <si>
    <t>FORTESCUE-ADR</t>
  </si>
  <si>
    <t>FSUGY US</t>
  </si>
  <si>
    <t>FSUMF US Equity</t>
  </si>
  <si>
    <t>FORTESCUE LTD</t>
  </si>
  <si>
    <t>FSUMF US</t>
  </si>
  <si>
    <t>FUISF US Equity</t>
  </si>
  <si>
    <t>FUBON FINANCIAL</t>
  </si>
  <si>
    <t>FUISF US</t>
  </si>
  <si>
    <t>FUIZF US Equity</t>
  </si>
  <si>
    <t>FUBON FINAN-GDR</t>
  </si>
  <si>
    <t>FUIZF US</t>
  </si>
  <si>
    <t>FUJIF US Equity</t>
  </si>
  <si>
    <t>FUJIFILM HOLDING</t>
  </si>
  <si>
    <t>FUJIF US</t>
  </si>
  <si>
    <t>FUJIY US Equity</t>
  </si>
  <si>
    <t>FUJIFILM HOL-ADR</t>
  </si>
  <si>
    <t>FUJIY US</t>
  </si>
  <si>
    <t>GBOOF US Equity</t>
  </si>
  <si>
    <t>GRUPO F BANORT-O</t>
  </si>
  <si>
    <t>GBOOF US</t>
  </si>
  <si>
    <t>GBOOY US Equity</t>
  </si>
  <si>
    <t>GRUPO F BANO-ADR</t>
  </si>
  <si>
    <t>GBOOY US</t>
  </si>
  <si>
    <t>GD US Equity</t>
  </si>
  <si>
    <t>GENERAL DYNAMICS</t>
  </si>
  <si>
    <t>GD US</t>
  </si>
  <si>
    <t>GE US Equity</t>
  </si>
  <si>
    <t>GENERAL ELECTRIC</t>
  </si>
  <si>
    <t>GE US</t>
  </si>
  <si>
    <t>GEHC US Equity</t>
  </si>
  <si>
    <t>GE HEALTHCARE TE</t>
  </si>
  <si>
    <t>GEHC US</t>
  </si>
  <si>
    <t>GILD US Equity</t>
  </si>
  <si>
    <t>GILEAD SCIENCES</t>
  </si>
  <si>
    <t>GILD US</t>
  </si>
  <si>
    <t>GIS US Equity</t>
  </si>
  <si>
    <t>GENERAL MILLS IN</t>
  </si>
  <si>
    <t>GIS US</t>
  </si>
  <si>
    <t>GLCNF US Equity</t>
  </si>
  <si>
    <t>GLENCORE PLC</t>
  </si>
  <si>
    <t>GLCNF US</t>
  </si>
  <si>
    <t>GLNCY US Equity</t>
  </si>
  <si>
    <t>GLENCORE PLC-ADR</t>
  </si>
  <si>
    <t>GLNCY US</t>
  </si>
  <si>
    <t>GM US Equity</t>
  </si>
  <si>
    <t>GENERAL MOTORS C</t>
  </si>
  <si>
    <t>GM US</t>
  </si>
  <si>
    <t>GOLD US Equity</t>
  </si>
  <si>
    <t>BARRICK GOLD CRP</t>
  </si>
  <si>
    <t>GOLD US</t>
  </si>
  <si>
    <t>Gold</t>
  </si>
  <si>
    <t>GOOG US Equity</t>
  </si>
  <si>
    <t>ALPHABET INC-C</t>
  </si>
  <si>
    <t>GOOG US</t>
  </si>
  <si>
    <t>GOOGL US Equity</t>
  </si>
  <si>
    <t>ALPHABET INC-A</t>
  </si>
  <si>
    <t>GOOGL US</t>
  </si>
  <si>
    <t>GPDNF US Equity</t>
  </si>
  <si>
    <t>DANONE</t>
  </si>
  <si>
    <t>GPDNF US</t>
  </si>
  <si>
    <t>GPN US Equity</t>
  </si>
  <si>
    <t>GLOBAL PAYMENTS</t>
  </si>
  <si>
    <t>GPN US</t>
  </si>
  <si>
    <t>GS US Equity</t>
  </si>
  <si>
    <t>GOLDMAN SACHS GP</t>
  </si>
  <si>
    <t>GS US</t>
  </si>
  <si>
    <t>Investment Banking &amp; Brokerage</t>
  </si>
  <si>
    <t>GWLIF US Equity</t>
  </si>
  <si>
    <t>GREAT-WEST LIFEC</t>
  </si>
  <si>
    <t>GWLIF US</t>
  </si>
  <si>
    <t>GWLLF US Equity</t>
  </si>
  <si>
    <t>GWMOTOR</t>
  </si>
  <si>
    <t>GWLLF US</t>
  </si>
  <si>
    <t>GWLLY US Equity</t>
  </si>
  <si>
    <t>GREAT WALL-ADR</t>
  </si>
  <si>
    <t>GWLLY US</t>
  </si>
  <si>
    <t>HAL US Equity</t>
  </si>
  <si>
    <t>HALLIBURTON CO</t>
  </si>
  <si>
    <t>HAL US</t>
  </si>
  <si>
    <t>HBAN US Equity</t>
  </si>
  <si>
    <t>HUNTINGTON BANC</t>
  </si>
  <si>
    <t>HBAN US</t>
  </si>
  <si>
    <t>HCA US Equity</t>
  </si>
  <si>
    <t>HCA HEALTHCARE I</t>
  </si>
  <si>
    <t>HCA US</t>
  </si>
  <si>
    <t>Health Care Facilities</t>
  </si>
  <si>
    <t>HCMLF US Equity</t>
  </si>
  <si>
    <t>HOLCIM LTD</t>
  </si>
  <si>
    <t>HCMLF US</t>
  </si>
  <si>
    <t>Construction Materials</t>
  </si>
  <si>
    <t>HCMLY US Equity</t>
  </si>
  <si>
    <t>HOLCIM LTD-ADR</t>
  </si>
  <si>
    <t>HCMLY US</t>
  </si>
  <si>
    <t>HD US Equity</t>
  </si>
  <si>
    <t>HOME DEPOT INC</t>
  </si>
  <si>
    <t>HD US</t>
  </si>
  <si>
    <t>Home Improvement Retail</t>
  </si>
  <si>
    <t>HDB US Equity</t>
  </si>
  <si>
    <t>HDFC BANK-ADR</t>
  </si>
  <si>
    <t>HDB US</t>
  </si>
  <si>
    <t>HELKF US Equity</t>
  </si>
  <si>
    <t>HENKEL AG &amp; CO K</t>
  </si>
  <si>
    <t>HELKF US</t>
  </si>
  <si>
    <t>HENKY US Equity</t>
  </si>
  <si>
    <t>HENKEL AG &amp; ADR</t>
  </si>
  <si>
    <t>HENKY US</t>
  </si>
  <si>
    <t>HENOF US Equity</t>
  </si>
  <si>
    <t>HENKEL AG -PREF</t>
  </si>
  <si>
    <t>HENOF US</t>
  </si>
  <si>
    <t>HENOY US Equity</t>
  </si>
  <si>
    <t>HENKEL KGAA-ADR</t>
  </si>
  <si>
    <t>HENOY US</t>
  </si>
  <si>
    <t>HES US Equity</t>
  </si>
  <si>
    <t>HESS CORP</t>
  </si>
  <si>
    <t>HES US</t>
  </si>
  <si>
    <t>HIG US Equity</t>
  </si>
  <si>
    <t>HARTFORD INSURAN</t>
  </si>
  <si>
    <t>HIG US</t>
  </si>
  <si>
    <t>HMC US Equity</t>
  </si>
  <si>
    <t>HONDA MOTOR-ADR</t>
  </si>
  <si>
    <t>HMC US</t>
  </si>
  <si>
    <t>HNDAF US Equity</t>
  </si>
  <si>
    <t>HONDA MOTOR CO</t>
  </si>
  <si>
    <t>HNDAF US</t>
  </si>
  <si>
    <t>HNHAF US Equity</t>
  </si>
  <si>
    <t>HON HAI</t>
  </si>
  <si>
    <t>HNHAF US</t>
  </si>
  <si>
    <t>Electronic Equipment, Instruments &amp; Components</t>
  </si>
  <si>
    <t>Electronic Manufacturing Services</t>
  </si>
  <si>
    <t>HNHAY US Equity</t>
  </si>
  <si>
    <t>HON HAI-GDR 144A</t>
  </si>
  <si>
    <t>HNHAY US</t>
  </si>
  <si>
    <t>HNHPF US Equity</t>
  </si>
  <si>
    <t>HON HAI-GDR REGS</t>
  </si>
  <si>
    <t>HNHPF US</t>
  </si>
  <si>
    <t>HON US Equity</t>
  </si>
  <si>
    <t>HONEYWELL INTL</t>
  </si>
  <si>
    <t>HON US</t>
  </si>
  <si>
    <t>Industrial Conglomerates</t>
  </si>
  <si>
    <t>HOSZY US Equity</t>
  </si>
  <si>
    <t>SABANCI HLDG-ADR</t>
  </si>
  <si>
    <t>HOSZY US</t>
  </si>
  <si>
    <t>HPE US Equity</t>
  </si>
  <si>
    <t>HEWLETT PACKA</t>
  </si>
  <si>
    <t>HPE US</t>
  </si>
  <si>
    <t>HPQ US Equity</t>
  </si>
  <si>
    <t>HP INC</t>
  </si>
  <si>
    <t>HPQ US</t>
  </si>
  <si>
    <t>HTHIF US Equity</t>
  </si>
  <si>
    <t>HITACHI LTD</t>
  </si>
  <si>
    <t>HTHIF US</t>
  </si>
  <si>
    <t>HTHIY US Equity</t>
  </si>
  <si>
    <t>HITACHI LTD-ADR</t>
  </si>
  <si>
    <t>HTHIY US</t>
  </si>
  <si>
    <t>HUM US Equity</t>
  </si>
  <si>
    <t>HUMANA INC</t>
  </si>
  <si>
    <t>HUM US</t>
  </si>
  <si>
    <t>HXSCL US Equity</t>
  </si>
  <si>
    <t>SK HYN</t>
  </si>
  <si>
    <t>HXSCL US</t>
  </si>
  <si>
    <t>HYMLY US Equity</t>
  </si>
  <si>
    <t>HYUNDAI MOTO-GDR</t>
  </si>
  <si>
    <t>HYMLY US</t>
  </si>
  <si>
    <t>HYMPY US Equity</t>
  </si>
  <si>
    <t>HYUNDAI MOT -144</t>
  </si>
  <si>
    <t>HYMPY US</t>
  </si>
  <si>
    <t>IBDRY US Equity</t>
  </si>
  <si>
    <t>IBERDROLA SA-ADR</t>
  </si>
  <si>
    <t>IBDRY US</t>
  </si>
  <si>
    <t>IBDSF US Equity</t>
  </si>
  <si>
    <t>IBERDROLA SA</t>
  </si>
  <si>
    <t>IBDSF US</t>
  </si>
  <si>
    <t>IBKR US Equity</t>
  </si>
  <si>
    <t>INTERACTIVE BROK</t>
  </si>
  <si>
    <t>IBKR US</t>
  </si>
  <si>
    <t>IBM US Equity</t>
  </si>
  <si>
    <t>IBM</t>
  </si>
  <si>
    <t>IBM US</t>
  </si>
  <si>
    <t>IBN US Equity</t>
  </si>
  <si>
    <t>ICICI BANK-ADR</t>
  </si>
  <si>
    <t>IBN US</t>
  </si>
  <si>
    <t>IBOKY US Equity</t>
  </si>
  <si>
    <t>IND BK KOREA-GDR</t>
  </si>
  <si>
    <t>IBOKY US</t>
  </si>
  <si>
    <t>ICE US Equity</t>
  </si>
  <si>
    <t>INTERCONTINENTAL</t>
  </si>
  <si>
    <t>ICE US</t>
  </si>
  <si>
    <t>IFCZF US Equity</t>
  </si>
  <si>
    <t>INTACT FINANCIAL</t>
  </si>
  <si>
    <t>IFCZF US</t>
  </si>
  <si>
    <t>IFNNF US Equity</t>
  </si>
  <si>
    <t>INFINEON TECH</t>
  </si>
  <si>
    <t>IFNNF US</t>
  </si>
  <si>
    <t>IFNNY US Equity</t>
  </si>
  <si>
    <t>INFINEON TEC-ADR</t>
  </si>
  <si>
    <t>IFNNY US</t>
  </si>
  <si>
    <t>IITSF US Equity</t>
  </si>
  <si>
    <t>INTESA SANPAOLO</t>
  </si>
  <si>
    <t>IITSF US</t>
  </si>
  <si>
    <t>IMO US Equity</t>
  </si>
  <si>
    <t>IMPERIAL OIL</t>
  </si>
  <si>
    <t>IMO US</t>
  </si>
  <si>
    <t>ING US Equity</t>
  </si>
  <si>
    <t>ING GROEP-ADR</t>
  </si>
  <si>
    <t>ING US</t>
  </si>
  <si>
    <t>INGVF US Equity</t>
  </si>
  <si>
    <t>ING GROEP NV</t>
  </si>
  <si>
    <t>INGVF US</t>
  </si>
  <si>
    <t>INTC US Equity</t>
  </si>
  <si>
    <t>INTEL CORP</t>
  </si>
  <si>
    <t>INTC US</t>
  </si>
  <si>
    <t>INTU US Equity</t>
  </si>
  <si>
    <t>INTUIT INC</t>
  </si>
  <si>
    <t>INTU US</t>
  </si>
  <si>
    <t>IPXHF US Equity</t>
  </si>
  <si>
    <t>INPEX CORP</t>
  </si>
  <si>
    <t>IPXHF US</t>
  </si>
  <si>
    <t>IPXHY US Equity</t>
  </si>
  <si>
    <t>INPEX CORP-ADR</t>
  </si>
  <si>
    <t>IPXHY US</t>
  </si>
  <si>
    <t>IQV US Equity</t>
  </si>
  <si>
    <t>IQVIA HOLDINGS I</t>
  </si>
  <si>
    <t>IQV US</t>
  </si>
  <si>
    <t>ISNPY US Equity</t>
  </si>
  <si>
    <t>INTESA SAN- ADR</t>
  </si>
  <si>
    <t>ISNPY US</t>
  </si>
  <si>
    <t>ISRG US Equity</t>
  </si>
  <si>
    <t>INTUITIVE SURGIC</t>
  </si>
  <si>
    <t>ISRG US</t>
  </si>
  <si>
    <t>ITOCF US Equity</t>
  </si>
  <si>
    <t>ITOCHU CORP</t>
  </si>
  <si>
    <t>ITOCF US</t>
  </si>
  <si>
    <t>ITOCY US Equity</t>
  </si>
  <si>
    <t>ITOCHU CORP-ADR</t>
  </si>
  <si>
    <t>ITOCY US</t>
  </si>
  <si>
    <t>ITUB US Equity</t>
  </si>
  <si>
    <t>ITAU UNIBANC-ADR</t>
  </si>
  <si>
    <t>ITUB US</t>
  </si>
  <si>
    <t>ITW US Equity</t>
  </si>
  <si>
    <t>ILLINOIS TOOL WO</t>
  </si>
  <si>
    <t>ITW US</t>
  </si>
  <si>
    <t>Industrial Machinery &amp; Supplies &amp; Components</t>
  </si>
  <si>
    <t>IX US Equity</t>
  </si>
  <si>
    <t>ORIX-ADR</t>
  </si>
  <si>
    <t>IX US</t>
  </si>
  <si>
    <t>JAPAF US Equity</t>
  </si>
  <si>
    <t>JAPAN TOBACCO</t>
  </si>
  <si>
    <t>JAPAF US</t>
  </si>
  <si>
    <t>Tobacco</t>
  </si>
  <si>
    <t>JAPAY US Equity</t>
  </si>
  <si>
    <t>JAPAN TOB-UN ADR</t>
  </si>
  <si>
    <t>JAPAY US</t>
  </si>
  <si>
    <t>JBSAY US Equity</t>
  </si>
  <si>
    <t>JBS SA-SPONS ADR</t>
  </si>
  <si>
    <t>JBSAY US</t>
  </si>
  <si>
    <t>JBZY US Equity</t>
  </si>
  <si>
    <t>JB&amp;ZJMY HOLDING</t>
  </si>
  <si>
    <t>JBZY US</t>
  </si>
  <si>
    <t>JCI US Equity</t>
  </si>
  <si>
    <t>JOHNSON CONTROLS</t>
  </si>
  <si>
    <t>JCI US</t>
  </si>
  <si>
    <t>JD US Equity</t>
  </si>
  <si>
    <t>JD.COM INC-ADR</t>
  </si>
  <si>
    <t>JD US</t>
  </si>
  <si>
    <t>JDCMF US Equity</t>
  </si>
  <si>
    <t>JD-SW</t>
  </si>
  <si>
    <t>JDCMF US</t>
  </si>
  <si>
    <t>JNJ US Equity</t>
  </si>
  <si>
    <t>JOHNSON&amp;JOHNSON</t>
  </si>
  <si>
    <t>JNJ US</t>
  </si>
  <si>
    <t>JPHLF US Equity</t>
  </si>
  <si>
    <t>JAPAN POST HOLDI</t>
  </si>
  <si>
    <t>JPHLF US</t>
  </si>
  <si>
    <t>JPM US Equity</t>
  </si>
  <si>
    <t>JPMORGAN CHASE</t>
  </si>
  <si>
    <t>JPM US</t>
  </si>
  <si>
    <t>JPPHY US Equity</t>
  </si>
  <si>
    <t>JAPAN POST H-ADR</t>
  </si>
  <si>
    <t>JPPHY US</t>
  </si>
  <si>
    <t>JPPTY US Equity</t>
  </si>
  <si>
    <t>JAPAN POST B-ADR</t>
  </si>
  <si>
    <t>JPPTY US</t>
  </si>
  <si>
    <t>JPSTF US Equity</t>
  </si>
  <si>
    <t>JAPAN POST BANK</t>
  </si>
  <si>
    <t>JPSTF US</t>
  </si>
  <si>
    <t>JXHGF US Equity</t>
  </si>
  <si>
    <t>ENEOS HOLDINGS I</t>
  </si>
  <si>
    <t>JXHGF US</t>
  </si>
  <si>
    <t>Oil &amp; Gas Refining &amp; Marketing</t>
  </si>
  <si>
    <t>JXHLY US Equity</t>
  </si>
  <si>
    <t>ENEOS HOLDIN-ADR</t>
  </si>
  <si>
    <t>JXHLY US</t>
  </si>
  <si>
    <t>KAEPF US Equity</t>
  </si>
  <si>
    <t>KANSAI ELEC PWR</t>
  </si>
  <si>
    <t>KAEPF US</t>
  </si>
  <si>
    <t>KAEPY US Equity</t>
  </si>
  <si>
    <t>KANSAI ELEC-ADR</t>
  </si>
  <si>
    <t>KAEPY US</t>
  </si>
  <si>
    <t>KB US Equity</t>
  </si>
  <si>
    <t>KB FINANCIAL-ADR</t>
  </si>
  <si>
    <t>KB US</t>
  </si>
  <si>
    <t>KDDIF US Equity</t>
  </si>
  <si>
    <t>KDDI CORP</t>
  </si>
  <si>
    <t>KDDIF US</t>
  </si>
  <si>
    <t>Wireless Telecommunication Services</t>
  </si>
  <si>
    <t>KDDIY US Equity</t>
  </si>
  <si>
    <t>KDDI CORP-UN ADR</t>
  </si>
  <si>
    <t>KDDIY US</t>
  </si>
  <si>
    <t>KDP US Equity</t>
  </si>
  <si>
    <t>KEURIG DR PEPPER</t>
  </si>
  <si>
    <t>KDP US</t>
  </si>
  <si>
    <t>KEP US Equity</t>
  </si>
  <si>
    <t>KOREA ELEC P-ADR</t>
  </si>
  <si>
    <t>KEP US</t>
  </si>
  <si>
    <t>KEY US Equity</t>
  </si>
  <si>
    <t>KEYCORP</t>
  </si>
  <si>
    <t>KEY US</t>
  </si>
  <si>
    <t>KHC US Equity</t>
  </si>
  <si>
    <t>KRAFT HEINZ CO/T</t>
  </si>
  <si>
    <t>KHC US</t>
  </si>
  <si>
    <t>KHOLY US Equity</t>
  </si>
  <si>
    <t>KOC HOLDING-ADR</t>
  </si>
  <si>
    <t>KHOLY US</t>
  </si>
  <si>
    <t>KKR US Equity</t>
  </si>
  <si>
    <t>KKR &amp; CO INC</t>
  </si>
  <si>
    <t>KKR US</t>
  </si>
  <si>
    <t>KLAC US Equity</t>
  </si>
  <si>
    <t>KLA CORP</t>
  </si>
  <si>
    <t>KLAC US</t>
  </si>
  <si>
    <t>KMB US Equity</t>
  </si>
  <si>
    <t>KIMBERLY-CLARK</t>
  </si>
  <si>
    <t>KMB US</t>
  </si>
  <si>
    <t>KMI US Equity</t>
  </si>
  <si>
    <t>KINDER MORGAN IN</t>
  </si>
  <si>
    <t>KMI US</t>
  </si>
  <si>
    <t>KMTUF US Equity</t>
  </si>
  <si>
    <t>KOMATSU LTD</t>
  </si>
  <si>
    <t>KMTUF US</t>
  </si>
  <si>
    <t>KMTUY US Equity</t>
  </si>
  <si>
    <t>KOMATSU LTD-ADR</t>
  </si>
  <si>
    <t>KMTUY US</t>
  </si>
  <si>
    <t>KO US Equity</t>
  </si>
  <si>
    <t>COCA-COLA CO/THE</t>
  </si>
  <si>
    <t>KO US</t>
  </si>
  <si>
    <t>KR US Equity</t>
  </si>
  <si>
    <t>KROGER CO</t>
  </si>
  <si>
    <t>KR US</t>
  </si>
  <si>
    <t>KVUE US Equity</t>
  </si>
  <si>
    <t>KENVUE INC</t>
  </si>
  <si>
    <t>KVUE US</t>
  </si>
  <si>
    <t>L US Equity</t>
  </si>
  <si>
    <t>LOEWS CORP</t>
  </si>
  <si>
    <t>L US</t>
  </si>
  <si>
    <t>LBLCF US Equity</t>
  </si>
  <si>
    <t>LOBLAW COS LTD</t>
  </si>
  <si>
    <t>LBLCF US</t>
  </si>
  <si>
    <t>LEN US Equity</t>
  </si>
  <si>
    <t>LENNAR CORP-A</t>
  </si>
  <si>
    <t>LEN US</t>
  </si>
  <si>
    <t>LEN/B US Equity</t>
  </si>
  <si>
    <t>LENNAR CORP-B</t>
  </si>
  <si>
    <t>LEN/B US</t>
  </si>
  <si>
    <t>LGEIY US Equity</t>
  </si>
  <si>
    <t>LG ELECTRONI-GDR</t>
  </si>
  <si>
    <t>LGEIY US</t>
  </si>
  <si>
    <t>Consumer Electronics</t>
  </si>
  <si>
    <t>LGEJY US Equity</t>
  </si>
  <si>
    <t>LGEJY US</t>
  </si>
  <si>
    <t>LGFRY US Equity</t>
  </si>
  <si>
    <t>LONGFOR GROU-ADR</t>
  </si>
  <si>
    <t>LGFRY US</t>
  </si>
  <si>
    <t>LHX US Equity</t>
  </si>
  <si>
    <t>L3HARRIS TECHNOL</t>
  </si>
  <si>
    <t>LHX US</t>
  </si>
  <si>
    <t>LIN US Equity</t>
  </si>
  <si>
    <t>LINDE PLC</t>
  </si>
  <si>
    <t>LIN US</t>
  </si>
  <si>
    <t>LLDTF US Equity</t>
  </si>
  <si>
    <t>LLOYDS BANKING</t>
  </si>
  <si>
    <t>LLDTF US</t>
  </si>
  <si>
    <t>LLY US Equity</t>
  </si>
  <si>
    <t>ELI LILLY &amp; CO</t>
  </si>
  <si>
    <t>LLY US</t>
  </si>
  <si>
    <t>LMT US Equity</t>
  </si>
  <si>
    <t>LOCKHEED MARTIN</t>
  </si>
  <si>
    <t>LMT US</t>
  </si>
  <si>
    <t>LNC US Equity</t>
  </si>
  <si>
    <t>LINCOLN NATL CRP</t>
  </si>
  <si>
    <t>LNC US</t>
  </si>
  <si>
    <t>LNG US Equity</t>
  </si>
  <si>
    <t>CHENIERE ENERGY</t>
  </si>
  <si>
    <t>LNG US</t>
  </si>
  <si>
    <t>LNGPF US Equity</t>
  </si>
  <si>
    <t>LONGFOR GROUP HO</t>
  </si>
  <si>
    <t>LNGPF US</t>
  </si>
  <si>
    <t>LNVGF US Equity</t>
  </si>
  <si>
    <t>LENOVO GROUP</t>
  </si>
  <si>
    <t>LNVGF US</t>
  </si>
  <si>
    <t>LNVGY US Equity</t>
  </si>
  <si>
    <t>LENOVO GROUP-ADR</t>
  </si>
  <si>
    <t>LNVGY US</t>
  </si>
  <si>
    <t>LOW US Equity</t>
  </si>
  <si>
    <t>LOWE'S COS INC</t>
  </si>
  <si>
    <t>LOW US</t>
  </si>
  <si>
    <t>LRCX US Equity</t>
  </si>
  <si>
    <t>LAM RESEARCH</t>
  </si>
  <si>
    <t>LRCX US</t>
  </si>
  <si>
    <t>LTORY US Equity</t>
  </si>
  <si>
    <t>LARSEN &amp; TOU-GDR</t>
  </si>
  <si>
    <t>LTORY US</t>
  </si>
  <si>
    <t>LUKOY US Equity</t>
  </si>
  <si>
    <t>LUKOIL PJSC-ADR</t>
  </si>
  <si>
    <t>LUKOY US</t>
  </si>
  <si>
    <t>LUV US Equity</t>
  </si>
  <si>
    <t>SOUTHWEST AIR</t>
  </si>
  <si>
    <t>LUV US</t>
  </si>
  <si>
    <t>LYB US Equity</t>
  </si>
  <si>
    <t>LYONDELLBASELL-A</t>
  </si>
  <si>
    <t>LYB US</t>
  </si>
  <si>
    <t>LYG US Equity</t>
  </si>
  <si>
    <t>LLOYDS BANKING G</t>
  </si>
  <si>
    <t>LYG US</t>
  </si>
  <si>
    <t>MA US Equity</t>
  </si>
  <si>
    <t>MASTERCARD INC-A</t>
  </si>
  <si>
    <t>MA US</t>
  </si>
  <si>
    <t>MAR US Equity</t>
  </si>
  <si>
    <t>MARRIOTT INTL-A</t>
  </si>
  <si>
    <t>MAR US</t>
  </si>
  <si>
    <t>MARUF US Equity</t>
  </si>
  <si>
    <t>MARUBENI CORP</t>
  </si>
  <si>
    <t>MARUF US</t>
  </si>
  <si>
    <t>MARUY US Equity</t>
  </si>
  <si>
    <t>MARUBENI COR-ADR</t>
  </si>
  <si>
    <t>MARUY US</t>
  </si>
  <si>
    <t>MBFJF US Equity</t>
  </si>
  <si>
    <t>MITSUBISHI UFJ F</t>
  </si>
  <si>
    <t>MBFJF US</t>
  </si>
  <si>
    <t>MBGAF US Equity</t>
  </si>
  <si>
    <t>MERCEDES-BENZ GR</t>
  </si>
  <si>
    <t>MBGAF US</t>
  </si>
  <si>
    <t>MBGYY US Equity</t>
  </si>
  <si>
    <t>MERCEDES-B-U ADR</t>
  </si>
  <si>
    <t>MBGYY US</t>
  </si>
  <si>
    <t>MCD US Equity</t>
  </si>
  <si>
    <t>MCDONALDS CORP</t>
  </si>
  <si>
    <t>MCD US</t>
  </si>
  <si>
    <t>Restaurants</t>
  </si>
  <si>
    <t>MCK US Equity</t>
  </si>
  <si>
    <t>MCKESSON CORP</t>
  </si>
  <si>
    <t>MCK US</t>
  </si>
  <si>
    <t>MCQEF US Equity</t>
  </si>
  <si>
    <t>MACQUARIE GROUP</t>
  </si>
  <si>
    <t>MCQEF US</t>
  </si>
  <si>
    <t>MDLZ US Equity</t>
  </si>
  <si>
    <t>MONDELEZ INTER-A</t>
  </si>
  <si>
    <t>MDLZ US</t>
  </si>
  <si>
    <t>MDT US Equity</t>
  </si>
  <si>
    <t>MEDTRONIC PLC</t>
  </si>
  <si>
    <t>MDT US</t>
  </si>
  <si>
    <t>MELI US Equity</t>
  </si>
  <si>
    <t>MERCADOLIBRE INC</t>
  </si>
  <si>
    <t>MELI US</t>
  </si>
  <si>
    <t>MET US Equity</t>
  </si>
  <si>
    <t>METLIFE INC</t>
  </si>
  <si>
    <t>MET US</t>
  </si>
  <si>
    <t>META US Equity</t>
  </si>
  <si>
    <t>META PLATFORMS-A</t>
  </si>
  <si>
    <t>META US</t>
  </si>
  <si>
    <t>MFC US Equity</t>
  </si>
  <si>
    <t>MANULIFE FIN</t>
  </si>
  <si>
    <t>MFC US</t>
  </si>
  <si>
    <t>MFG US Equity</t>
  </si>
  <si>
    <t>MIZUHO FINAN-ADR</t>
  </si>
  <si>
    <t>MFG US</t>
  </si>
  <si>
    <t>MGA US Equity</t>
  </si>
  <si>
    <t>MAGNA INTL</t>
  </si>
  <si>
    <t>MGA US</t>
  </si>
  <si>
    <t>MGDDF US Equity</t>
  </si>
  <si>
    <t>MICHELIN</t>
  </si>
  <si>
    <t>MGDDF US</t>
  </si>
  <si>
    <t>MGDDY US Equity</t>
  </si>
  <si>
    <t>MICHELIN-ADR</t>
  </si>
  <si>
    <t>MGDDY US</t>
  </si>
  <si>
    <t>MIELF US Equity</t>
  </si>
  <si>
    <t>MITSUB ELEC CORP</t>
  </si>
  <si>
    <t>MIELF US</t>
  </si>
  <si>
    <t>Heavy Electrical Equipment</t>
  </si>
  <si>
    <t>MIELY US Equity</t>
  </si>
  <si>
    <t>MITSUB ELEC-ADR</t>
  </si>
  <si>
    <t>MIELY US</t>
  </si>
  <si>
    <t>MITSF US Equity</t>
  </si>
  <si>
    <t>MITSUI &amp; CO</t>
  </si>
  <si>
    <t>MITSF US</t>
  </si>
  <si>
    <t>MITSY US Equity</t>
  </si>
  <si>
    <t>MITSUI &amp; CO-ADR</t>
  </si>
  <si>
    <t>MITSY US</t>
  </si>
  <si>
    <t>MKGAF US Equity</t>
  </si>
  <si>
    <t>MERCK KGAA</t>
  </si>
  <si>
    <t>MKGAF US</t>
  </si>
  <si>
    <t>MKKGY US Equity</t>
  </si>
  <si>
    <t>MERCK-SPONS ADR</t>
  </si>
  <si>
    <t>MKKGY US</t>
  </si>
  <si>
    <t>MKL US Equity</t>
  </si>
  <si>
    <t>MARKEL GROUP INC</t>
  </si>
  <si>
    <t>MKL US</t>
  </si>
  <si>
    <t>MLLUY US Equity</t>
  </si>
  <si>
    <t>METALLURGICAL-AD</t>
  </si>
  <si>
    <t>MLLUY US</t>
  </si>
  <si>
    <t>MMC US Equity</t>
  </si>
  <si>
    <t>MARSH &amp; MCLENNAN</t>
  </si>
  <si>
    <t>MMC US</t>
  </si>
  <si>
    <t>MMM US Equity</t>
  </si>
  <si>
    <t>3M CO</t>
  </si>
  <si>
    <t>MMM US</t>
  </si>
  <si>
    <t>MMTOY US Equity</t>
  </si>
  <si>
    <t>MITSUBISHI M-ADR</t>
  </si>
  <si>
    <t>MMTOY US</t>
  </si>
  <si>
    <t>MO US Equity</t>
  </si>
  <si>
    <t>ALTRIA GROUP INC</t>
  </si>
  <si>
    <t>MO US</t>
  </si>
  <si>
    <t>MPC US Equity</t>
  </si>
  <si>
    <t>MARATHON PETROLE</t>
  </si>
  <si>
    <t>MPC US</t>
  </si>
  <si>
    <t>MPLX US Equity</t>
  </si>
  <si>
    <t>MPLX LP</t>
  </si>
  <si>
    <t>MPLX US</t>
  </si>
  <si>
    <t>MPNGF US Equity</t>
  </si>
  <si>
    <t>MEITUAN-W</t>
  </si>
  <si>
    <t>MPNGF US</t>
  </si>
  <si>
    <t>MPNGY US Equity</t>
  </si>
  <si>
    <t>MEITUAN-UNSP ADR</t>
  </si>
  <si>
    <t>MPNGY US</t>
  </si>
  <si>
    <t>MQBKY US Equity</t>
  </si>
  <si>
    <t>MACQUARIE GR-ADR</t>
  </si>
  <si>
    <t>MQBKY US</t>
  </si>
  <si>
    <t>MRK US Equity</t>
  </si>
  <si>
    <t>MERCK &amp; CO</t>
  </si>
  <si>
    <t>MRK US</t>
  </si>
  <si>
    <t>MS US Equity</t>
  </si>
  <si>
    <t>MORGAN STANLEY</t>
  </si>
  <si>
    <t>MS US</t>
  </si>
  <si>
    <t>MSADF US Equity</t>
  </si>
  <si>
    <t>MS&amp;AD INSURANCE</t>
  </si>
  <si>
    <t>MSADF US</t>
  </si>
  <si>
    <t>MSADY US Equity</t>
  </si>
  <si>
    <t>MS&amp;AD INSUR-ADR</t>
  </si>
  <si>
    <t>MSADY US</t>
  </si>
  <si>
    <t>MSBHF US Equity</t>
  </si>
  <si>
    <t>MITSUBISHI CORP</t>
  </si>
  <si>
    <t>MSBHF US</t>
  </si>
  <si>
    <t>MSFT US Equity</t>
  </si>
  <si>
    <t>MICROSOFT CORP</t>
  </si>
  <si>
    <t>MSFT US</t>
  </si>
  <si>
    <t>Systems Software</t>
  </si>
  <si>
    <t>MT US Equity</t>
  </si>
  <si>
    <t>ARCELORMITTAL-NY</t>
  </si>
  <si>
    <t>MT US</t>
  </si>
  <si>
    <t>MTB US Equity</t>
  </si>
  <si>
    <t>M&amp;T BANK CORP</t>
  </si>
  <si>
    <t>MTB US</t>
  </si>
  <si>
    <t>MTSFF US Equity</t>
  </si>
  <si>
    <t>MITSUI FUDOSAN</t>
  </si>
  <si>
    <t>MTSFF US</t>
  </si>
  <si>
    <t>MTSFY US Equity</t>
  </si>
  <si>
    <t>MITSUI-UNSP ADR</t>
  </si>
  <si>
    <t>MTSFY US</t>
  </si>
  <si>
    <t>MTSUY US Equity</t>
  </si>
  <si>
    <t>MITSUBISHI -ADR</t>
  </si>
  <si>
    <t>MTSUY US</t>
  </si>
  <si>
    <t>MU US Equity</t>
  </si>
  <si>
    <t>MICRON TECH</t>
  </si>
  <si>
    <t>MU US</t>
  </si>
  <si>
    <t>MUFG US Equity</t>
  </si>
  <si>
    <t>MITSUBISHI U-ADR</t>
  </si>
  <si>
    <t>MUFG US</t>
  </si>
  <si>
    <t>MURGF US Equity</t>
  </si>
  <si>
    <t>MUENCHENER RUE-R</t>
  </si>
  <si>
    <t>MURGF US</t>
  </si>
  <si>
    <t>Reinsurance</t>
  </si>
  <si>
    <t>MURGY US Equity</t>
  </si>
  <si>
    <t>MUENCHENER-ADR</t>
  </si>
  <si>
    <t>MURGY US</t>
  </si>
  <si>
    <t>MZHOF US Equity</t>
  </si>
  <si>
    <t>MIZUHO FINANCIAL</t>
  </si>
  <si>
    <t>MZHOF US</t>
  </si>
  <si>
    <t>NABZY US Equity</t>
  </si>
  <si>
    <t>NATL AUSTR-ADR</t>
  </si>
  <si>
    <t>NABZY US</t>
  </si>
  <si>
    <t>NAUBF US Equity</t>
  </si>
  <si>
    <t>NATL AUST BANK</t>
  </si>
  <si>
    <t>NAUBF US</t>
  </si>
  <si>
    <t>NEE US Equity</t>
  </si>
  <si>
    <t>NEXTERA ENERGY</t>
  </si>
  <si>
    <t>NEE US</t>
  </si>
  <si>
    <t>NEM US Equity</t>
  </si>
  <si>
    <t>NEWMONT CORP</t>
  </si>
  <si>
    <t>NEM US</t>
  </si>
  <si>
    <t>NETTF US Equity</t>
  </si>
  <si>
    <t>NETEASE INC</t>
  </si>
  <si>
    <t>NETTF US</t>
  </si>
  <si>
    <t>Interactive Home Entertainment</t>
  </si>
  <si>
    <t>NFLX US Equity</t>
  </si>
  <si>
    <t>NETFLIX INC</t>
  </si>
  <si>
    <t>NFLX US</t>
  </si>
  <si>
    <t>NGLOY US Equity</t>
  </si>
  <si>
    <t>ANGLO AM-SP ADR</t>
  </si>
  <si>
    <t>NGLOY US</t>
  </si>
  <si>
    <t>NHOLF US Equity</t>
  </si>
  <si>
    <t>SOMPO HOLDINGS I</t>
  </si>
  <si>
    <t>NHOLF US</t>
  </si>
  <si>
    <t>NISTF US Equity</t>
  </si>
  <si>
    <t>NIPPON STEEL COR</t>
  </si>
  <si>
    <t>NISTF US</t>
  </si>
  <si>
    <t>NKE US Equity</t>
  </si>
  <si>
    <t>NIKE INC -CL B</t>
  </si>
  <si>
    <t>NKE US</t>
  </si>
  <si>
    <t>Footwear</t>
  </si>
  <si>
    <t>NMR US Equity</t>
  </si>
  <si>
    <t>NOMURA HLDGS-ADR</t>
  </si>
  <si>
    <t>NMR US</t>
  </si>
  <si>
    <t>NNGPF US Equity</t>
  </si>
  <si>
    <t>NN GROUP</t>
  </si>
  <si>
    <t>NNGPF US</t>
  </si>
  <si>
    <t>NNGRY US Equity</t>
  </si>
  <si>
    <t>NN GROUP-UNS ADR</t>
  </si>
  <si>
    <t>NNGRY US</t>
  </si>
  <si>
    <t>NOC US Equity</t>
  </si>
  <si>
    <t>NORTHROP GRUMMAN</t>
  </si>
  <si>
    <t>NOC US</t>
  </si>
  <si>
    <t>NOK US Equity</t>
  </si>
  <si>
    <t>NOKIA CORP-ADR</t>
  </si>
  <si>
    <t>NOK US</t>
  </si>
  <si>
    <t>NOKBF US Equity</t>
  </si>
  <si>
    <t>NOKIA OYJ</t>
  </si>
  <si>
    <t>NOKBF US</t>
  </si>
  <si>
    <t>NOW US Equity</t>
  </si>
  <si>
    <t>SERVICENOW INC</t>
  </si>
  <si>
    <t>NOW US</t>
  </si>
  <si>
    <t>NPSCY US Equity</t>
  </si>
  <si>
    <t>NIPPON STEE-ADR</t>
  </si>
  <si>
    <t>NPSCY US</t>
  </si>
  <si>
    <t>NRSCF US Equity</t>
  </si>
  <si>
    <t>NOMURA HOLDINGS</t>
  </si>
  <si>
    <t>NRSCF US</t>
  </si>
  <si>
    <t>NSANF US Equity</t>
  </si>
  <si>
    <t>NISSAN MOTOR CO</t>
  </si>
  <si>
    <t>NSANF US</t>
  </si>
  <si>
    <t>NSANY US Equity</t>
  </si>
  <si>
    <t>NISSAN MOTOR-ADR</t>
  </si>
  <si>
    <t>NSANY US</t>
  </si>
  <si>
    <t>NSC US Equity</t>
  </si>
  <si>
    <t>NORFOLK SOUTHERN</t>
  </si>
  <si>
    <t>NSC US</t>
  </si>
  <si>
    <t>NTDOF US Equity</t>
  </si>
  <si>
    <t>NINTENDO CO LTD</t>
  </si>
  <si>
    <t>NTDOF US</t>
  </si>
  <si>
    <t>NTDOY US Equity</t>
  </si>
  <si>
    <t>NINTENDO CO-ADR</t>
  </si>
  <si>
    <t>NTDOY US</t>
  </si>
  <si>
    <t>NTDTY US Equity</t>
  </si>
  <si>
    <t>NTT DATA GRO-ADR</t>
  </si>
  <si>
    <t>NTDTY US</t>
  </si>
  <si>
    <t>NTES US Equity</t>
  </si>
  <si>
    <t>NETEASE INC-ADR</t>
  </si>
  <si>
    <t>NTES US</t>
  </si>
  <si>
    <t>NTIOF US Equity</t>
  </si>
  <si>
    <t>NATL BK CANADA</t>
  </si>
  <si>
    <t>NTIOF US</t>
  </si>
  <si>
    <t>NTR US Equity</t>
  </si>
  <si>
    <t>NUTRIEN LTD</t>
  </si>
  <si>
    <t>NTR US</t>
  </si>
  <si>
    <t>NTRS US Equity</t>
  </si>
  <si>
    <t>NORTHERN TRUST</t>
  </si>
  <si>
    <t>NTRS US</t>
  </si>
  <si>
    <t>NTTDF US Equity</t>
  </si>
  <si>
    <t>NTT DATA GROUP C</t>
  </si>
  <si>
    <t>NTTDF US</t>
  </si>
  <si>
    <t>NUE US Equity</t>
  </si>
  <si>
    <t>NUCOR CORP</t>
  </si>
  <si>
    <t>NUE US</t>
  </si>
  <si>
    <t>NVDA US Equity</t>
  </si>
  <si>
    <t>NVIDIA CORP</t>
  </si>
  <si>
    <t>NVDA US</t>
  </si>
  <si>
    <t>NXPI US Equity</t>
  </si>
  <si>
    <t>NXP SEMICONDUCTO</t>
  </si>
  <si>
    <t>NXPI US</t>
  </si>
  <si>
    <t>OKE US Equity</t>
  </si>
  <si>
    <t>ONEOK INC</t>
  </si>
  <si>
    <t>OKE US</t>
  </si>
  <si>
    <t>ORANY US Equity</t>
  </si>
  <si>
    <t>ORANGE-SPON ADR</t>
  </si>
  <si>
    <t>ORANY US</t>
  </si>
  <si>
    <t>ORCL US Equity</t>
  </si>
  <si>
    <t>ORACLE CORP</t>
  </si>
  <si>
    <t>ORCL US</t>
  </si>
  <si>
    <t>ORLY US Equity</t>
  </si>
  <si>
    <t>O'REILLY AUTOMOT</t>
  </si>
  <si>
    <t>ORLY US</t>
  </si>
  <si>
    <t>ORXCF US Equity</t>
  </si>
  <si>
    <t>ORIX CORP</t>
  </si>
  <si>
    <t>ORXCF US</t>
  </si>
  <si>
    <t>OTPGF US Equity</t>
  </si>
  <si>
    <t>OTP BANK NYR-GDR</t>
  </si>
  <si>
    <t>OTPGF US</t>
  </si>
  <si>
    <t>OXY US Equity</t>
  </si>
  <si>
    <t>OCCIDENTAL PETE</t>
  </si>
  <si>
    <t>OXY US</t>
  </si>
  <si>
    <t>PBR US Equity</t>
  </si>
  <si>
    <t>PETROBRAS SA-ADR</t>
  </si>
  <si>
    <t>PBR US</t>
  </si>
  <si>
    <t>PBR/A US Equity</t>
  </si>
  <si>
    <t>PETROBR-SP P ADR</t>
  </si>
  <si>
    <t>PBR/A US</t>
  </si>
  <si>
    <t>PCAR US Equity</t>
  </si>
  <si>
    <t>PACCAR INC</t>
  </si>
  <si>
    <t>PCAR US</t>
  </si>
  <si>
    <t>PCG US Equity</t>
  </si>
  <si>
    <t>PG&amp;E CORP</t>
  </si>
  <si>
    <t>PCG US</t>
  </si>
  <si>
    <t>PCRFF US Equity</t>
  </si>
  <si>
    <t>PANASONIC HOLDIN</t>
  </si>
  <si>
    <t>PCRFF US</t>
  </si>
  <si>
    <t>PCRFY US Equity</t>
  </si>
  <si>
    <t>PANASONIC-ADR</t>
  </si>
  <si>
    <t>PCRFY US</t>
  </si>
  <si>
    <t>PDD US Equity</t>
  </si>
  <si>
    <t>PDD HOLDINGS INC</t>
  </si>
  <si>
    <t>PDD US</t>
  </si>
  <si>
    <t>PEG US Equity</t>
  </si>
  <si>
    <t>PUB SERV ENTERP</t>
  </si>
  <si>
    <t>PEG US</t>
  </si>
  <si>
    <t>PEP US Equity</t>
  </si>
  <si>
    <t>PEPSICO INC</t>
  </si>
  <si>
    <t>PEP US</t>
  </si>
  <si>
    <t>PETFF US Equity</t>
  </si>
  <si>
    <t>PTT PCL/FOREIGN</t>
  </si>
  <si>
    <t>PETFF US</t>
  </si>
  <si>
    <t>PFE US Equity</t>
  </si>
  <si>
    <t>PFIZER INC</t>
  </si>
  <si>
    <t>PFE US</t>
  </si>
  <si>
    <t>PFG US Equity</t>
  </si>
  <si>
    <t>PRINCIPAL FINL</t>
  </si>
  <si>
    <t>PFG US</t>
  </si>
  <si>
    <t>PG US Equity</t>
  </si>
  <si>
    <t>PROCTER &amp; GAMBLE</t>
  </si>
  <si>
    <t>PG US</t>
  </si>
  <si>
    <t>PGR US Equity</t>
  </si>
  <si>
    <t>PROGRESSIVE CORP</t>
  </si>
  <si>
    <t>PGR US</t>
  </si>
  <si>
    <t>PH US Equity</t>
  </si>
  <si>
    <t>PARKER HANNIFIN</t>
  </si>
  <si>
    <t>PH US</t>
  </si>
  <si>
    <t>PIAIF US Equity</t>
  </si>
  <si>
    <t>PING AN</t>
  </si>
  <si>
    <t>PIAIF US</t>
  </si>
  <si>
    <t>PINXF US Equity</t>
  </si>
  <si>
    <t>PICC GROUP-H</t>
  </si>
  <si>
    <t>PINXF US</t>
  </si>
  <si>
    <t>PINXY US Equity</t>
  </si>
  <si>
    <t>PEOPLE'S INS-ADR</t>
  </si>
  <si>
    <t>PINXY US</t>
  </si>
  <si>
    <t>PKX US Equity</t>
  </si>
  <si>
    <t>POSCO-SPON ADR</t>
  </si>
  <si>
    <t>PKX US</t>
  </si>
  <si>
    <t>PLD US Equity</t>
  </si>
  <si>
    <t>PROLOGIS INC</t>
  </si>
  <si>
    <t>PLD US</t>
  </si>
  <si>
    <t>Industrial REITs</t>
  </si>
  <si>
    <t>PM US Equity</t>
  </si>
  <si>
    <t>PHILIP MORRIS IN</t>
  </si>
  <si>
    <t>PM US</t>
  </si>
  <si>
    <t>PNC US Equity</t>
  </si>
  <si>
    <t>PNC FINANCIAL SE</t>
  </si>
  <si>
    <t>PNC US</t>
  </si>
  <si>
    <t>PNGAY US Equity</t>
  </si>
  <si>
    <t>PING AN INSU-ADR</t>
  </si>
  <si>
    <t>PNGAY US</t>
  </si>
  <si>
    <t>PPCCF US Equity</t>
  </si>
  <si>
    <t>PICC P&amp;C-H</t>
  </si>
  <si>
    <t>PPCCF US</t>
  </si>
  <si>
    <t>PPCCY US Equity</t>
  </si>
  <si>
    <t>PICC-UNSP ADR</t>
  </si>
  <si>
    <t>PPCCY US</t>
  </si>
  <si>
    <t>PPG US Equity</t>
  </si>
  <si>
    <t>PPG INDS INC</t>
  </si>
  <si>
    <t>PPG US</t>
  </si>
  <si>
    <t>PRU US Equity</t>
  </si>
  <si>
    <t>PRUDENTL FINL</t>
  </si>
  <si>
    <t>PRU US</t>
  </si>
  <si>
    <t>PSBKF US Equity</t>
  </si>
  <si>
    <t>POSTAL SAVINGS-H</t>
  </si>
  <si>
    <t>PSBKF US</t>
  </si>
  <si>
    <t>PSTVY US Equity</t>
  </si>
  <si>
    <t>POSTAL SAVIN-ADR</t>
  </si>
  <si>
    <t>PSTVY US</t>
  </si>
  <si>
    <t>PSX US Equity</t>
  </si>
  <si>
    <t>PHILLIPS 66</t>
  </si>
  <si>
    <t>PSX US</t>
  </si>
  <si>
    <t>PSZKF US Equity</t>
  </si>
  <si>
    <t>PKOBP</t>
  </si>
  <si>
    <t>PSZKF US</t>
  </si>
  <si>
    <t>PWCDF US Equity</t>
  </si>
  <si>
    <t>POWER CORP CDA</t>
  </si>
  <si>
    <t>PWCDF US</t>
  </si>
  <si>
    <t>PXD US Equity</t>
  </si>
  <si>
    <t>PIONEER NATURAL</t>
  </si>
  <si>
    <t>PXD US</t>
  </si>
  <si>
    <t>PYPL US Equity</t>
  </si>
  <si>
    <t>PAYPAL HOLDINGS</t>
  </si>
  <si>
    <t>PYPL US</t>
  </si>
  <si>
    <t>QCOM US Equity</t>
  </si>
  <si>
    <t>QUALCOMM INC</t>
  </si>
  <si>
    <t>QCOM US</t>
  </si>
  <si>
    <t>QUCCF US Equity</t>
  </si>
  <si>
    <t>QUANTA COMP-GDR</t>
  </si>
  <si>
    <t>QUCCF US</t>
  </si>
  <si>
    <t>RCI US Equity</t>
  </si>
  <si>
    <t>ROGERS COMMUNI-B</t>
  </si>
  <si>
    <t>RCI US</t>
  </si>
  <si>
    <t>RCIAF US Equity</t>
  </si>
  <si>
    <t>ROGERS COMUNIC-A</t>
  </si>
  <si>
    <t>RCIAF US</t>
  </si>
  <si>
    <t>RCRRF US Equity</t>
  </si>
  <si>
    <t>RECRUIT HOLDINGS</t>
  </si>
  <si>
    <t>RCRRF US</t>
  </si>
  <si>
    <t>RCRUY US Equity</t>
  </si>
  <si>
    <t>RECRUIT HLDG-ADR</t>
  </si>
  <si>
    <t>RCRUY US</t>
  </si>
  <si>
    <t>REGN US Equity</t>
  </si>
  <si>
    <t>REGENERON PHARM</t>
  </si>
  <si>
    <t>REGN US</t>
  </si>
  <si>
    <t>REPYF US Equity</t>
  </si>
  <si>
    <t>REPSOL SA</t>
  </si>
  <si>
    <t>REPYF US</t>
  </si>
  <si>
    <t>REPYY US Equity</t>
  </si>
  <si>
    <t>REPSOL SA-ADR</t>
  </si>
  <si>
    <t>REPYY US</t>
  </si>
  <si>
    <t>RF US Equity</t>
  </si>
  <si>
    <t>REGIONS FINANCIA</t>
  </si>
  <si>
    <t>RF US</t>
  </si>
  <si>
    <t>RJF US Equity</t>
  </si>
  <si>
    <t>RAYMOND JAMES</t>
  </si>
  <si>
    <t>RJF US</t>
  </si>
  <si>
    <t>RKUNF US Equity</t>
  </si>
  <si>
    <t>RAKUTEN GROUP IN</t>
  </si>
  <si>
    <t>RKUNF US</t>
  </si>
  <si>
    <t>RKUNY US Equity</t>
  </si>
  <si>
    <t>RAKUTEN GRP-ADR</t>
  </si>
  <si>
    <t>RKUNY US</t>
  </si>
  <si>
    <t>RLLCF US Equity</t>
  </si>
  <si>
    <t>ROLLS-ROYCE-C</t>
  </si>
  <si>
    <t>RLLCF US</t>
  </si>
  <si>
    <t>RNLSY US Equity</t>
  </si>
  <si>
    <t>RENAULT-UNS ADR</t>
  </si>
  <si>
    <t>RNLSY US</t>
  </si>
  <si>
    <t>RNSDF US Equity</t>
  </si>
  <si>
    <t>RENAULT SA</t>
  </si>
  <si>
    <t>RNSDF US</t>
  </si>
  <si>
    <t>RSG US Equity</t>
  </si>
  <si>
    <t>REPUBLIC SVCS</t>
  </si>
  <si>
    <t>RSG US</t>
  </si>
  <si>
    <t>Commercial Services &amp; Supplies</t>
  </si>
  <si>
    <t>Environmental &amp; Facilities Services</t>
  </si>
  <si>
    <t>RTX US Equity</t>
  </si>
  <si>
    <t>RTX CORP</t>
  </si>
  <si>
    <t>RTX US</t>
  </si>
  <si>
    <t>RWEOY US Equity</t>
  </si>
  <si>
    <t>RWE AG-ADR</t>
  </si>
  <si>
    <t>RWEOY US</t>
  </si>
  <si>
    <t>Independent Power and Renewable Electricity Producers</t>
  </si>
  <si>
    <t>Independent Power Producers &amp; Energy Traders</t>
  </si>
  <si>
    <t>RWNFF US Equity</t>
  </si>
  <si>
    <t>RWE AG</t>
  </si>
  <si>
    <t>RWNFF US</t>
  </si>
  <si>
    <t>RY US Equity</t>
  </si>
  <si>
    <t>ROYAL BANK OF CA</t>
  </si>
  <si>
    <t>RY US</t>
  </si>
  <si>
    <t>RYCEF US Equity</t>
  </si>
  <si>
    <t>ROLLS-ROYCE HOLD</t>
  </si>
  <si>
    <t>RYCEF US</t>
  </si>
  <si>
    <t>RYCEY US Equity</t>
  </si>
  <si>
    <t>ROLLS-ROYCE-ADR</t>
  </si>
  <si>
    <t>RYCEY US</t>
  </si>
  <si>
    <t>SAAYY US Equity</t>
  </si>
  <si>
    <t>SAIPEM SPA-ADR</t>
  </si>
  <si>
    <t>SAAYY US</t>
  </si>
  <si>
    <t>SAN US Equity</t>
  </si>
  <si>
    <t>BANCO SANTAN-ADR</t>
  </si>
  <si>
    <t>SAN US</t>
  </si>
  <si>
    <t>SBGOF US Equity</t>
  </si>
  <si>
    <t>STANDARD BANK GR</t>
  </si>
  <si>
    <t>SBGOF US</t>
  </si>
  <si>
    <t>SBKFF US Equity</t>
  </si>
  <si>
    <t>STATE BK IND-GDR</t>
  </si>
  <si>
    <t>SBKFF US</t>
  </si>
  <si>
    <t>SBKJY US Equity</t>
  </si>
  <si>
    <t>SBKJY US</t>
  </si>
  <si>
    <t>SBUX US Equity</t>
  </si>
  <si>
    <t>STARBUCKS CORP</t>
  </si>
  <si>
    <t>SBUX US</t>
  </si>
  <si>
    <t>SCBFF US Equity</t>
  </si>
  <si>
    <t>STANDARD CHARTER</t>
  </si>
  <si>
    <t>SCBFF US</t>
  </si>
  <si>
    <t>SCBFY US Equity</t>
  </si>
  <si>
    <t>STANDAR-UNSP ADR</t>
  </si>
  <si>
    <t>SCBFY US</t>
  </si>
  <si>
    <t>SCGLF US Equity</t>
  </si>
  <si>
    <t>SOC GENERALE SA</t>
  </si>
  <si>
    <t>SCGLF US</t>
  </si>
  <si>
    <t>SCGLY US Equity</t>
  </si>
  <si>
    <t>SOC GENERALE-ADR</t>
  </si>
  <si>
    <t>SCGLY US</t>
  </si>
  <si>
    <t>SCHW US Equity</t>
  </si>
  <si>
    <t>SCHWAB (CHARLES)</t>
  </si>
  <si>
    <t>SCHW US</t>
  </si>
  <si>
    <t>SFTBF US Equity</t>
  </si>
  <si>
    <t>SOFTBANK GROUP C</t>
  </si>
  <si>
    <t>SFTBF US</t>
  </si>
  <si>
    <t>SFTBY US Equity</t>
  </si>
  <si>
    <t>SOFTBANK-ADR</t>
  </si>
  <si>
    <t>SFTBY US</t>
  </si>
  <si>
    <t>SGBLY US Equity</t>
  </si>
  <si>
    <t>STANDARD-SP ADR</t>
  </si>
  <si>
    <t>SGBLY US</t>
  </si>
  <si>
    <t>SHECF US Equity</t>
  </si>
  <si>
    <t>SHIN-ETSU CHEM</t>
  </si>
  <si>
    <t>SHECF US</t>
  </si>
  <si>
    <t>SHECY US Equity</t>
  </si>
  <si>
    <t>SHIN-ETSU-ADAR</t>
  </si>
  <si>
    <t>SHECY US</t>
  </si>
  <si>
    <t>SHG US Equity</t>
  </si>
  <si>
    <t>SHINHAN FINA-ADR</t>
  </si>
  <si>
    <t>SHG US</t>
  </si>
  <si>
    <t>SHTDF US Equity</t>
  </si>
  <si>
    <t>SINOPHARM-H</t>
  </si>
  <si>
    <t>SHTDF US</t>
  </si>
  <si>
    <t>SHTDY US Equity</t>
  </si>
  <si>
    <t>SINOPHARM GR-ADR</t>
  </si>
  <si>
    <t>SHTDY US</t>
  </si>
  <si>
    <t>SHW US Equity</t>
  </si>
  <si>
    <t>SHERWIN-WILLIAMS</t>
  </si>
  <si>
    <t>SHW US</t>
  </si>
  <si>
    <t>SLB US Equity</t>
  </si>
  <si>
    <t>SCHLUMBERGER LTD</t>
  </si>
  <si>
    <t>SLB US</t>
  </si>
  <si>
    <t>SLF US Equity</t>
  </si>
  <si>
    <t>SUN LIFE FINANCI</t>
  </si>
  <si>
    <t>SLF US</t>
  </si>
  <si>
    <t>SMEGF US Equity</t>
  </si>
  <si>
    <t>SIEMENS ENERGY A</t>
  </si>
  <si>
    <t>SMEGF US</t>
  </si>
  <si>
    <t>SMFG US Equity</t>
  </si>
  <si>
    <t>SUMITOMO MIT-ADR</t>
  </si>
  <si>
    <t>SMFG US</t>
  </si>
  <si>
    <t>SMFNF US Equity</t>
  </si>
  <si>
    <t>SMFG</t>
  </si>
  <si>
    <t>SMFNF US</t>
  </si>
  <si>
    <t>SMNEY US Equity</t>
  </si>
  <si>
    <t>SIEMENS ENER-ADR</t>
  </si>
  <si>
    <t>SMNEY US</t>
  </si>
  <si>
    <t>SMPNY US Equity</t>
  </si>
  <si>
    <t>SOMPO JAP-UN ADR</t>
  </si>
  <si>
    <t>SMPNY US</t>
  </si>
  <si>
    <t>SNEJF US Equity</t>
  </si>
  <si>
    <t>SONY GROUP CORP</t>
  </si>
  <si>
    <t>SNEJF US</t>
  </si>
  <si>
    <t>SO US Equity</t>
  </si>
  <si>
    <t>SOUTHERN CO</t>
  </si>
  <si>
    <t>SO US</t>
  </si>
  <si>
    <t>SONY US Equity</t>
  </si>
  <si>
    <t>SONY GROUP-ADR</t>
  </si>
  <si>
    <t>SONY US</t>
  </si>
  <si>
    <t>SPGI US Equity</t>
  </si>
  <si>
    <t>S&amp;P GLOBAL INC</t>
  </si>
  <si>
    <t>SPGI US</t>
  </si>
  <si>
    <t>SPRV US Equity</t>
  </si>
  <si>
    <t>SUPURVA HEALTHCA</t>
  </si>
  <si>
    <t>SPRV US</t>
  </si>
  <si>
    <t>SRE US Equity</t>
  </si>
  <si>
    <t>SEMPRA</t>
  </si>
  <si>
    <t>SRE US</t>
  </si>
  <si>
    <t>SSREF US Equity</t>
  </si>
  <si>
    <t>SWISS RE AG</t>
  </si>
  <si>
    <t>SSREF US</t>
  </si>
  <si>
    <t>SSREY US Equity</t>
  </si>
  <si>
    <t>SWISS RE LTD-ADR</t>
  </si>
  <si>
    <t>SSREY US</t>
  </si>
  <si>
    <t>SSUMF US Equity</t>
  </si>
  <si>
    <t>SUMITOMO CORP</t>
  </si>
  <si>
    <t>SSUMF US</t>
  </si>
  <si>
    <t>SSUMY US Equity</t>
  </si>
  <si>
    <t>SUMITOMO COR-ADR</t>
  </si>
  <si>
    <t>SSUMY US</t>
  </si>
  <si>
    <t>STM US Equity</t>
  </si>
  <si>
    <t>STMICROELECTR-NY</t>
  </si>
  <si>
    <t>STM US</t>
  </si>
  <si>
    <t>STT US Equity</t>
  </si>
  <si>
    <t>STATE ST CORP</t>
  </si>
  <si>
    <t>STT US</t>
  </si>
  <si>
    <t>STZ US Equity</t>
  </si>
  <si>
    <t>CONSTELLATION-A</t>
  </si>
  <si>
    <t>STZ US</t>
  </si>
  <si>
    <t>Distillers &amp; Vintners</t>
  </si>
  <si>
    <t>SU US Equity</t>
  </si>
  <si>
    <t>SUNCOR ENERGY</t>
  </si>
  <si>
    <t>SU US</t>
  </si>
  <si>
    <t>SUTNY US Equity</t>
  </si>
  <si>
    <t>SUTNY US</t>
  </si>
  <si>
    <t>SVNDF US Equity</t>
  </si>
  <si>
    <t>SEVEN &amp; I HOLDIN</t>
  </si>
  <si>
    <t>SVNDF US</t>
  </si>
  <si>
    <t>SVNDY US Equity</t>
  </si>
  <si>
    <t>SEVEN &amp; I HO-ADR</t>
  </si>
  <si>
    <t>SVNDY US</t>
  </si>
  <si>
    <t>SVNLF US Equity</t>
  </si>
  <si>
    <t>SVENSKA HAN-A</t>
  </si>
  <si>
    <t>SVNLF US</t>
  </si>
  <si>
    <t>SVNLY US Equity</t>
  </si>
  <si>
    <t>SVENSKA HAND-ADR</t>
  </si>
  <si>
    <t>SVNLY US</t>
  </si>
  <si>
    <t>SVXY US Equity</t>
  </si>
  <si>
    <t>PRO SHORT VIX ST</t>
  </si>
  <si>
    <t>SVXY</t>
  </si>
  <si>
    <t>SWDBF US Equity</t>
  </si>
  <si>
    <t>SWEDBANK AB-A</t>
  </si>
  <si>
    <t>SWDBF US</t>
  </si>
  <si>
    <t>SWDBY US Equity</t>
  </si>
  <si>
    <t>SWEDBANK AB-ADR</t>
  </si>
  <si>
    <t>SWDBY US</t>
  </si>
  <si>
    <t>SWSDF US Equity</t>
  </si>
  <si>
    <t>SWISS LIFE H AG</t>
  </si>
  <si>
    <t>SWSDF US</t>
  </si>
  <si>
    <t>SYF US Equity</t>
  </si>
  <si>
    <t>SYNCHRONY FINANC</t>
  </si>
  <si>
    <t>SYF US</t>
  </si>
  <si>
    <t>SYK US Equity</t>
  </si>
  <si>
    <t>STRYKER CORP</t>
  </si>
  <si>
    <t>SYK US</t>
  </si>
  <si>
    <t>SYY US Equity</t>
  </si>
  <si>
    <t>SYSCO CORP</t>
  </si>
  <si>
    <t>SYY US</t>
  </si>
  <si>
    <t>Food Distributors</t>
  </si>
  <si>
    <t>SZKMF US Equity</t>
  </si>
  <si>
    <t>SUZUKI MOTOR</t>
  </si>
  <si>
    <t>SZKMF US</t>
  </si>
  <si>
    <t>SZKMY US Equity</t>
  </si>
  <si>
    <t>SUZUKI MOT-ADR</t>
  </si>
  <si>
    <t>SZKMY US</t>
  </si>
  <si>
    <t>SZLMY US Equity</t>
  </si>
  <si>
    <t>SWISS LIFE-ADR</t>
  </si>
  <si>
    <t>SZLMY US</t>
  </si>
  <si>
    <t>T US Equity</t>
  </si>
  <si>
    <t>AT&amp;T INC</t>
  </si>
  <si>
    <t>T US</t>
  </si>
  <si>
    <t>TAK US Equity</t>
  </si>
  <si>
    <t>TAKEDA PHARM-ADR</t>
  </si>
  <si>
    <t>TAK US</t>
  </si>
  <si>
    <t>TATLY US Equity</t>
  </si>
  <si>
    <t>TATA STEEL-GDR</t>
  </si>
  <si>
    <t>TATLY US</t>
  </si>
  <si>
    <t>TCEHY US Equity</t>
  </si>
  <si>
    <t>TENCENT HOLD-ADR</t>
  </si>
  <si>
    <t>TCEHY US</t>
  </si>
  <si>
    <t>TCTZF US Equity</t>
  </si>
  <si>
    <t>TENCENT</t>
  </si>
  <si>
    <t>TCTZF US</t>
  </si>
  <si>
    <t>TD US Equity</t>
  </si>
  <si>
    <t>TORONTO-DOM BANK</t>
  </si>
  <si>
    <t>TD US</t>
  </si>
  <si>
    <t>TDHOF US Equity</t>
  </si>
  <si>
    <t>T&amp;D HOLDING INC</t>
  </si>
  <si>
    <t>TDHOF US</t>
  </si>
  <si>
    <t>TDHOY US Equity</t>
  </si>
  <si>
    <t>T&amp;D HOLDINGS-ADR</t>
  </si>
  <si>
    <t>TDHOY US</t>
  </si>
  <si>
    <t>TEF US Equity</t>
  </si>
  <si>
    <t>TELEFONICA-ADR</t>
  </si>
  <si>
    <t>TEF US</t>
  </si>
  <si>
    <t>TEFOF US Equity</t>
  </si>
  <si>
    <t>TELEFONICA</t>
  </si>
  <si>
    <t>TEFOF US</t>
  </si>
  <si>
    <t>TFC US Equity</t>
  </si>
  <si>
    <t>TRUIST FINANCIAL</t>
  </si>
  <si>
    <t>TFC US</t>
  </si>
  <si>
    <t>TGT US Equity</t>
  </si>
  <si>
    <t>TARGET CORP</t>
  </si>
  <si>
    <t>TGT US</t>
  </si>
  <si>
    <t>THBIF US Equity</t>
  </si>
  <si>
    <t>HALKBANK</t>
  </si>
  <si>
    <t>THBIF US</t>
  </si>
  <si>
    <t>TJX US Equity</t>
  </si>
  <si>
    <t>TJX COS INC</t>
  </si>
  <si>
    <t>TJX US</t>
  </si>
  <si>
    <t>TKECF US Equity</t>
  </si>
  <si>
    <t>TOKYO ELECTRIC P</t>
  </si>
  <si>
    <t>TKECF US</t>
  </si>
  <si>
    <t>TKECY US Equity</t>
  </si>
  <si>
    <t>TOKYO ELEC P-ADR</t>
  </si>
  <si>
    <t>TKECY US</t>
  </si>
  <si>
    <t>TKOMF US Equity</t>
  </si>
  <si>
    <t>TOKIO MARINE HD</t>
  </si>
  <si>
    <t>TKOMF US</t>
  </si>
  <si>
    <t>TKOMY US Equity</t>
  </si>
  <si>
    <t>TOKIO MARINE-ADR</t>
  </si>
  <si>
    <t>TKOMY US</t>
  </si>
  <si>
    <t>TKPHF US Equity</t>
  </si>
  <si>
    <t>TAKEDA PHARMACEU</t>
  </si>
  <si>
    <t>TKPHF US</t>
  </si>
  <si>
    <t>TLGPY US Equity</t>
  </si>
  <si>
    <t>TELSTRA GROUP LT</t>
  </si>
  <si>
    <t>TLGPY US</t>
  </si>
  <si>
    <t>TMO US Equity</t>
  </si>
  <si>
    <t>THERMO FISHER</t>
  </si>
  <si>
    <t>TMO US</t>
  </si>
  <si>
    <t>TMUS US Equity</t>
  </si>
  <si>
    <t>T-MOBILE US INC</t>
  </si>
  <si>
    <t>TMUS US</t>
  </si>
  <si>
    <t>TOELF US Equity</t>
  </si>
  <si>
    <t>TOKYO ELECTRON</t>
  </si>
  <si>
    <t>TOELF US</t>
  </si>
  <si>
    <t>TOELY US Equity</t>
  </si>
  <si>
    <t>TOKYO ELECTR-ADR</t>
  </si>
  <si>
    <t>TOELY US</t>
  </si>
  <si>
    <t>TRP US Equity</t>
  </si>
  <si>
    <t>TC ENERGY CORP</t>
  </si>
  <si>
    <t>TRP US</t>
  </si>
  <si>
    <t>TRV US Equity</t>
  </si>
  <si>
    <t>TRAVELERS COS IN</t>
  </si>
  <si>
    <t>TRV US</t>
  </si>
  <si>
    <t>TSCDF US Equity</t>
  </si>
  <si>
    <t>TESCO PLC</t>
  </si>
  <si>
    <t>TSCDF US</t>
  </si>
  <si>
    <t>TSCDY US Equity</t>
  </si>
  <si>
    <t>TESCO PLC-ADR</t>
  </si>
  <si>
    <t>TSCDY US</t>
  </si>
  <si>
    <t>TSLA US Equity</t>
  </si>
  <si>
    <t>TESLA INC</t>
  </si>
  <si>
    <t>TSLA US</t>
  </si>
  <si>
    <t>TSN US Equity</t>
  </si>
  <si>
    <t>TYSON FOODS-A</t>
  </si>
  <si>
    <t>TSN US</t>
  </si>
  <si>
    <t>TT US Equity</t>
  </si>
  <si>
    <t>TRANE TECHNOLOGI</t>
  </si>
  <si>
    <t>TT US</t>
  </si>
  <si>
    <t>TTE US Equity</t>
  </si>
  <si>
    <t>TOTALENER-SP ADR</t>
  </si>
  <si>
    <t>TTE US</t>
  </si>
  <si>
    <t>TTFNF US Equity</t>
  </si>
  <si>
    <t>TOTALENERGIES SE</t>
  </si>
  <si>
    <t>TTFNF US</t>
  </si>
  <si>
    <t>TTRAF US Equity</t>
  </si>
  <si>
    <t>TTRAF US</t>
  </si>
  <si>
    <t>TU US Equity</t>
  </si>
  <si>
    <t>TELUS CORP</t>
  </si>
  <si>
    <t>TU US</t>
  </si>
  <si>
    <t>TXN US Equity</t>
  </si>
  <si>
    <t>TEXAS INSTRUMENT</t>
  </si>
  <si>
    <t>TXN US</t>
  </si>
  <si>
    <t>TYABY US Equity</t>
  </si>
  <si>
    <t>ISBANK-GDR 144A</t>
  </si>
  <si>
    <t>TYABY US</t>
  </si>
  <si>
    <t>UAL US Equity</t>
  </si>
  <si>
    <t>UNITED AIRLINES</t>
  </si>
  <si>
    <t>UAL US</t>
  </si>
  <si>
    <t>UBER US Equity</t>
  </si>
  <si>
    <t>UBER TECHNOLOGIE</t>
  </si>
  <si>
    <t>UBER US</t>
  </si>
  <si>
    <t>Passenger Ground Transportation</t>
  </si>
  <si>
    <t>UNCFF US Equity</t>
  </si>
  <si>
    <t>UNICREDIT SPA</t>
  </si>
  <si>
    <t>UNCFF US</t>
  </si>
  <si>
    <t>UNCRY US Equity</t>
  </si>
  <si>
    <t>UNICREDIT SP-ADR</t>
  </si>
  <si>
    <t>UNCRY US</t>
  </si>
  <si>
    <t>UNH US Equity</t>
  </si>
  <si>
    <t>UNITEDHEALTH GRP</t>
  </si>
  <si>
    <t>UNH US</t>
  </si>
  <si>
    <t>UNP US Equity</t>
  </si>
  <si>
    <t>UNION PAC CORP</t>
  </si>
  <si>
    <t>UNP US</t>
  </si>
  <si>
    <t>UPS US Equity</t>
  </si>
  <si>
    <t>UNITED PARCEL-B</t>
  </si>
  <si>
    <t>UPS US</t>
  </si>
  <si>
    <t>USB US Equity</t>
  </si>
  <si>
    <t>US BANCORP</t>
  </si>
  <si>
    <t>USB US</t>
  </si>
  <si>
    <t>UVXY US Equity</t>
  </si>
  <si>
    <t>PRO ULTRA VIX ST</t>
  </si>
  <si>
    <t>UVXY</t>
  </si>
  <si>
    <t>V US Equity</t>
  </si>
  <si>
    <t>VISA INC-CLASS A</t>
  </si>
  <si>
    <t>V US</t>
  </si>
  <si>
    <t>VALE US Equity</t>
  </si>
  <si>
    <t>VALE SA-SP ADR</t>
  </si>
  <si>
    <t>VALE US</t>
  </si>
  <si>
    <t>VEOEF US Equity</t>
  </si>
  <si>
    <t>VEOLIA ENVIRONNE</t>
  </si>
  <si>
    <t>VEOEF US</t>
  </si>
  <si>
    <t>VEOEY US Equity</t>
  </si>
  <si>
    <t>VEOLIA ENVI-ADR</t>
  </si>
  <si>
    <t>VEOEY US</t>
  </si>
  <si>
    <t>VIXM US Equity</t>
  </si>
  <si>
    <t>PRO VIX MT FUT</t>
  </si>
  <si>
    <t>VIXM</t>
  </si>
  <si>
    <t>VIXY US Equity</t>
  </si>
  <si>
    <t>PRO VIX ST FUT</t>
  </si>
  <si>
    <t>VIXY</t>
  </si>
  <si>
    <t>VLO US Equity</t>
  </si>
  <si>
    <t>VALERO ENERGY</t>
  </si>
  <si>
    <t>VLO US</t>
  </si>
  <si>
    <t>VLVLY US Equity</t>
  </si>
  <si>
    <t>VOLVO AB-B-UNS</t>
  </si>
  <si>
    <t>VLVLY US</t>
  </si>
  <si>
    <t>VNNVF US Equity</t>
  </si>
  <si>
    <t>VONOVIA SE</t>
  </si>
  <si>
    <t>VNNVF US</t>
  </si>
  <si>
    <t>Real Estate Operating Companies</t>
  </si>
  <si>
    <t>VOD US Equity</t>
  </si>
  <si>
    <t>VODAFONE GRP-ADR</t>
  </si>
  <si>
    <t>VOD US</t>
  </si>
  <si>
    <t>VODPF US Equity</t>
  </si>
  <si>
    <t>VODAFONE GROUP</t>
  </si>
  <si>
    <t>VODPF US</t>
  </si>
  <si>
    <t>VOLAF US Equity</t>
  </si>
  <si>
    <t>VOLVO AB-A</t>
  </si>
  <si>
    <t>VOLAF US</t>
  </si>
  <si>
    <t>VOLVF US Equity</t>
  </si>
  <si>
    <t>VOLVO AB-B</t>
  </si>
  <si>
    <t>VOLVF US</t>
  </si>
  <si>
    <t>VONOY US Equity</t>
  </si>
  <si>
    <t>VONOVIA SE-ADR</t>
  </si>
  <si>
    <t>VONOY US</t>
  </si>
  <si>
    <t>VRTX US Equity</t>
  </si>
  <si>
    <t>VERTEX PHARM</t>
  </si>
  <si>
    <t>VRTX US</t>
  </si>
  <si>
    <t>VXX US Equity</t>
  </si>
  <si>
    <t>IPATH SERIES B</t>
  </si>
  <si>
    <t>VXX</t>
  </si>
  <si>
    <t>VXZ US Equity</t>
  </si>
  <si>
    <t>IPATH SER B M/T</t>
  </si>
  <si>
    <t>VXZ</t>
  </si>
  <si>
    <t>VZ US Equity</t>
  </si>
  <si>
    <t>VERIZON COMMUNIC</t>
  </si>
  <si>
    <t>VZ US</t>
  </si>
  <si>
    <t>WBA US Equity</t>
  </si>
  <si>
    <t>WALGREENS BOOTS</t>
  </si>
  <si>
    <t>WBA US</t>
  </si>
  <si>
    <t>Drug Retail</t>
  </si>
  <si>
    <t>WBD US Equity</t>
  </si>
  <si>
    <t>WARNER BROS DISC</t>
  </si>
  <si>
    <t>WBD US</t>
  </si>
  <si>
    <t>WDS US Equity</t>
  </si>
  <si>
    <t>WOODSIDE ENE-ADR</t>
  </si>
  <si>
    <t>WDS US</t>
  </si>
  <si>
    <t>WELL US Equity</t>
  </si>
  <si>
    <t>WELLTOWER INC</t>
  </si>
  <si>
    <t>WELL US</t>
  </si>
  <si>
    <t>Health Care REITs</t>
  </si>
  <si>
    <t>WF US Equity</t>
  </si>
  <si>
    <t>WOORI FI-ADR</t>
  </si>
  <si>
    <t>WF US</t>
  </si>
  <si>
    <t>WFC US Equity</t>
  </si>
  <si>
    <t>WELLS FARGO &amp; CO</t>
  </si>
  <si>
    <t>WFC US</t>
  </si>
  <si>
    <t>WM US Equity</t>
  </si>
  <si>
    <t>WASTE MANAGEMENT</t>
  </si>
  <si>
    <t>WM US</t>
  </si>
  <si>
    <t>WMB US Equity</t>
  </si>
  <si>
    <t>WILLIAMS COS INC</t>
  </si>
  <si>
    <t>WMB US</t>
  </si>
  <si>
    <t>WMT US Equity</t>
  </si>
  <si>
    <t>WALMART INC</t>
  </si>
  <si>
    <t>WMT US</t>
  </si>
  <si>
    <t>WOLZY US Equity</t>
  </si>
  <si>
    <t>WOOLWORTHSGR-ADR</t>
  </si>
  <si>
    <t>WOLZY US</t>
  </si>
  <si>
    <t>WOPEF US Equity</t>
  </si>
  <si>
    <t>WOODSIDE ENERGY</t>
  </si>
  <si>
    <t>WOPEF US</t>
  </si>
  <si>
    <t>XEL US Equity</t>
  </si>
  <si>
    <t>XCEL ENERGY INC</t>
  </si>
  <si>
    <t>XEL US</t>
  </si>
  <si>
    <t>XIACF US Equity</t>
  </si>
  <si>
    <t>XIAOMI CORP-W</t>
  </si>
  <si>
    <t>XIACF US</t>
  </si>
  <si>
    <t>XIACY US Equity</t>
  </si>
  <si>
    <t>XIAOMI CORP - UN</t>
  </si>
  <si>
    <t>XIACY US</t>
  </si>
  <si>
    <t>XOM US Equity</t>
  </si>
  <si>
    <t>EXXON MOBIL CORP</t>
  </si>
  <si>
    <t>XOM US</t>
  </si>
  <si>
    <t>XYZ US Equity</t>
  </si>
  <si>
    <t>BLOCK INC</t>
  </si>
  <si>
    <t>XYZ US</t>
  </si>
  <si>
    <t>YAHOF US Equity</t>
  </si>
  <si>
    <t>LY CORP</t>
  </si>
  <si>
    <t>YAHOF US</t>
  </si>
  <si>
    <t>YAHOY US Equity</t>
  </si>
  <si>
    <t>Z HOLDINGS C-ADR</t>
  </si>
  <si>
    <t>YAHOY US</t>
  </si>
  <si>
    <t>YZCAY US Equity</t>
  </si>
  <si>
    <t>YANKUANG ENE-ADR</t>
  </si>
  <si>
    <t>YZCAY US</t>
  </si>
  <si>
    <t>YZCHF US Equity</t>
  </si>
  <si>
    <t>YANKUANG ENRGY-H</t>
  </si>
  <si>
    <t>YZCHF US</t>
  </si>
  <si>
    <t>ZFSVF US Equity</t>
  </si>
  <si>
    <t>ZURICH INSURANCE</t>
  </si>
  <si>
    <t>ZFSVF US</t>
  </si>
  <si>
    <t>ZIJMF US Equity</t>
  </si>
  <si>
    <t>ZIJIN MINING-H</t>
  </si>
  <si>
    <t>ZIJMF US</t>
  </si>
  <si>
    <t>ZIJMY US Equity</t>
  </si>
  <si>
    <t>ZIJIN MINING-ADR</t>
  </si>
  <si>
    <t>ZIJMY US</t>
  </si>
  <si>
    <t>ZTS US Equity</t>
  </si>
  <si>
    <t>ZOETIS INC</t>
  </si>
  <si>
    <t>ZTS US</t>
  </si>
  <si>
    <t>ZURVY US Equity</t>
  </si>
  <si>
    <t>ZURICH INSU-ADR</t>
  </si>
  <si>
    <t>ZURVY US</t>
  </si>
  <si>
    <t>The BLOOMBERG PROFESSIONAL service, BLOOMBERG Data and BLOOMBERG Order Management Systems (the "Services") are owned and distributed locally by Bloomberg Finance L.P. ("BFLP") and its subsidiaries in all jurisdictions other than Argentina, Bermuda, China, India, Japan and Korea (the "BLP Countries"). BFLP is a wholly-owned subsidiary of Bloomberg L.P. ("BLP"). BLP provides BFLP with all global marketing and operational support and service for the Services and distributes the Services either directly or through a non-BFLP subsidiary in the BLP Countries. The Services include electronic trading and order-routing services, which are available only to sophisticated institutional investors and only where necessary legal clearances have been obtained. BFLP, BLP and their affiliates do not provide investment advice or guarantee the accuracy of prices or information in the Services. Nothing on the Services shall constitute an offering of financial instruments by BFLP, BLP or their affiliates. BLOOMBERG, BLOOMBERG PROFESSIONAL, BLOOMBERG MARKET, BLOOMBERG NEWS, BLOOMBERG ANYWHERE, BLOOMBERG TRADEBOOK, BLOOMBERG BONDTRADER, BLOOMBERG TELEVISION, BLOOMBERG RADIO, BLOOMBERG PRESS and BLOOMBERG.COM are trademarks and service marks of BFLP, a Delaware limited partnership, or its subsidiaries.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</si>
</sst>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numFmt numFmtId="165" formatCode="##0"/>
    <numFmt numFmtId="166" formatCode="#,##0.##"/>
    <numFmt numFmtId="167" formatCode="#,##0.###"/>
    <numFmt numFmtId="168" formatCode="mm/dd/yyyy"/>
  </numFmts>
  <fonts count="8" x14ac:knownFonts="1">
    <font>
      <sz val="11"/>
      <name val="Calibri"/>
    </font>
    <font>
      <sz val="18"/>
      <name val="Calibri"/>
    </font>
    <font>
      <b/>
      <sz val="12"/>
      <color rgb="FFFFFFFF"/>
      <name val="Calibri"/>
    </font>
    <font>
      <sz val="9"/>
      <name val="Calibri"/>
    </font>
    <font>
      <b/>
      <sz val="9"/>
      <name val="Calibri"/>
    </font>
    <font>
      <sz val="6"/>
      <name val="Calibri"/>
    </font>
    <font>
      <sz val="10"/>
      <name val="Arial"/>
    </font>
    <font>
      <b/>
      <sz val="10"/>
      <name val="Arial"/>
    </font>
  </fonts>
  <fills count="4">
    <fill>
      <patternFill patternType="none"/>
    </fill>
    <fill>
      <patternFill patternType="gray125"/>
    </fill>
    <fill>
      <patternFill patternType="solid">
        <fgColor rgb="FF93A183"/>
      </patternFill>
    </fill>
    <fill>
      <patternFill patternType="solid">
        <fgColor rgb="FFB8C2AD"/>
      </patternFill>
    </fill>
  </fills>
  <borders count="1">
    <border>
      <left/>
      <right/>
      <top/>
      <bottom/>
      <diagonal/>
    </border>
  </borders>
  <cellStyleXfs count="29">
    <xf numFmtId="0" fontId="0" fillId="0" borderId="0"/>
    <xf numFmtId="0" fontId="1" fillId="0" borderId="0">
      <alignment horizontal="left"/>
    </xf>
    <xf numFmtId="0" fontId="1" fillId="0" borderId="0">
      <alignment horizontal="left"/>
    </xf>
    <xf numFmtId="0" fontId="2" fillId="2" borderId="0">
      <alignment horizontal="left"/>
    </xf>
    <xf numFmtId="0" fontId="4" fillId="3" borderId="0">
      <alignment horizontal="center"/>
    </xf>
    <xf numFmtId="164" fontId="3" fillId="0" borderId="0"/>
    <xf numFmtId="164" fontId="4" fillId="0" borderId="0"/>
    <xf numFmtId="165" fontId="3" fillId="0" borderId="0"/>
    <xf numFmtId="166" fontId="3" fillId="0" borderId="0"/>
    <xf numFmtId="167" fontId="3" fillId="0" borderId="0"/>
    <xf numFmtId="165" fontId="4" fillId="0" borderId="0"/>
    <xf numFmtId="166" fontId="4" fillId="0" borderId="0"/>
    <xf numFmtId="167" fontId="4" fillId="0" borderId="0"/>
    <xf numFmtId="0" fontId="3" fillId="0" borderId="0"/>
    <xf numFmtId="0" fontId="4" fillId="0" borderId="0"/>
    <xf numFmtId="0" fontId="3" fillId="0" borderId="0">
      <alignment horizontal="right"/>
    </xf>
    <xf numFmtId="0" fontId="4" fillId="0" borderId="0">
      <alignment horizontal="right"/>
    </xf>
    <xf numFmtId="0" fontId="3" fillId="0" borderId="0">
      <alignment horizontal="left"/>
    </xf>
    <xf numFmtId="0" fontId="3" fillId="0" borderId="0">
      <alignment horizontal="right"/>
    </xf>
    <xf numFmtId="0" fontId="4" fillId="0" borderId="0">
      <alignment horizontal="left"/>
    </xf>
    <xf numFmtId="0" fontId="4" fillId="0" borderId="0">
      <alignment horizontal="right"/>
    </xf>
    <xf numFmtId="0" fontId="5" fillId="0" borderId="0">
      <alignment vertical="top" wrapText="1"/>
    </xf>
    <xf numFmtId="168" fontId="3" fillId="0" borderId="0">
      <alignment horizontal="left"/>
    </xf>
    <xf numFmtId="168" fontId="3" fillId="0" borderId="0">
      <alignment horizontal="right"/>
    </xf>
    <xf numFmtId="168" fontId="3" fillId="0" borderId="0">
      <alignment horizontal="left"/>
    </xf>
    <xf numFmtId="168" fontId="4" fillId="0" borderId="0">
      <alignment horizontal="left"/>
    </xf>
    <xf numFmtId="168" fontId="4" fillId="0" borderId="0">
      <alignment horizontal="right"/>
    </xf>
    <xf numFmtId="168" fontId="4" fillId="0" borderId="0">
      <alignment horizontal="left"/>
    </xf>
    <xf numFmtId="0" fontId="3" fillId="0" borderId="0"/>
  </cellStyleXfs>
  <cellXfs count="10">
    <xf numFmtId="0" fontId="0" fillId="0" borderId="0" xfId="0"/>
    <xf numFmtId="0" fontId="3" fillId="0" borderId="0" xfId="28"/>
    <xf numFmtId="0" fontId="3" fillId="0" borderId="0" xfId="28" applyAlignment="1">
      <alignment horizontal="left"/>
    </xf>
    <xf numFmtId="2" fontId="3" fillId="0" borderId="0" xfId="28" applyNumberFormat="1" applyAlignment="1">
      <alignment horizontal="right"/>
    </xf>
    <xf numFmtId="0" fontId="6" fillId="0" borderId="0" xfId="28" applyFont="1"/>
    <xf numFmtId="0" fontId="6" fillId="0" borderId="0" xfId="13" applyFont="1" applyAlignment="1">
      <alignment horizontal="left"/>
    </xf>
    <xf numFmtId="2" fontId="6" fillId="0" borderId="0" xfId="28" applyNumberFormat="1" applyFont="1" applyAlignment="1">
      <alignment horizontal="right"/>
    </xf>
    <xf numFmtId="0" fontId="6" fillId="0" borderId="0" xfId="28" applyFont="1" applyAlignment="1">
      <alignment horizontal="left"/>
    </xf>
    <xf numFmtId="0" fontId="7" fillId="3" borderId="0" xfId="4" applyFont="1">
      <alignment horizontal="center"/>
    </xf>
    <xf numFmtId="0" fontId="5" fillId="0" borderId="0" xfId="21">
      <alignment vertical="top" wrapText="1"/>
    </xf>
  </cellXfs>
  <cellStyles count="29">
    <cellStyle name="bolddate" xfId="25" xr:uid="{00000000-0005-0000-0000-000019000000}"/>
    <cellStyle name="boldleftdate" xfId="27" xr:uid="{00000000-0005-0000-0000-00001B000000}"/>
    <cellStyle name="boldnoDecimalDigits" xfId="10" xr:uid="{00000000-0005-0000-0000-00000A000000}"/>
    <cellStyle name="boldpercentage" xfId="6" xr:uid="{00000000-0005-0000-0000-000006000000}"/>
    <cellStyle name="boldrightdate" xfId="26" xr:uid="{00000000-0005-0000-0000-00001A000000}"/>
    <cellStyle name="boldthreeDecimalDigits" xfId="12" xr:uid="{00000000-0005-0000-0000-00000C000000}"/>
    <cellStyle name="boldtwoDecimalDigits" xfId="11" xr:uid="{00000000-0005-0000-0000-00000B000000}"/>
    <cellStyle name="date" xfId="22" xr:uid="{00000000-0005-0000-0000-000016000000}"/>
    <cellStyle name="defaultsheetstyle" xfId="28" xr:uid="{00000000-0005-0000-0000-00001C000000}"/>
    <cellStyle name="disclaimer" xfId="21" xr:uid="{00000000-0005-0000-0000-000015000000}"/>
    <cellStyle name="leftdate" xfId="24" xr:uid="{00000000-0005-0000-0000-000018000000}"/>
    <cellStyle name="leftplainBoldText" xfId="19" xr:uid="{00000000-0005-0000-0000-000013000000}"/>
    <cellStyle name="leftplainText" xfId="17" xr:uid="{00000000-0005-0000-0000-000011000000}"/>
    <cellStyle name="noDecimalDigits" xfId="7" xr:uid="{00000000-0005-0000-0000-000007000000}"/>
    <cellStyle name="Normal" xfId="0" builtinId="0"/>
    <cellStyle name="percentage" xfId="5" xr:uid="{00000000-0005-0000-0000-000005000000}"/>
    <cellStyle name="plainBoldText" xfId="14" xr:uid="{00000000-0005-0000-0000-00000E000000}"/>
    <cellStyle name="plainBoldValues" xfId="16" xr:uid="{00000000-0005-0000-0000-000010000000}"/>
    <cellStyle name="plainText" xfId="13" xr:uid="{00000000-0005-0000-0000-00000D000000}"/>
    <cellStyle name="plainValues" xfId="15" xr:uid="{00000000-0005-0000-0000-00000F000000}"/>
    <cellStyle name="rightdate" xfId="23" xr:uid="{00000000-0005-0000-0000-000017000000}"/>
    <cellStyle name="rightplainBoldText" xfId="20" xr:uid="{00000000-0005-0000-0000-000014000000}"/>
    <cellStyle name="rightplainText" xfId="18" xr:uid="{00000000-0005-0000-0000-000012000000}"/>
    <cellStyle name="sheetReportTitle" xfId="2" xr:uid="{00000000-0005-0000-0000-000002000000}"/>
    <cellStyle name="sheetTitle" xfId="1" xr:uid="{00000000-0005-0000-0000-000001000000}"/>
    <cellStyle name="tableHeader" xfId="3" xr:uid="{00000000-0005-0000-0000-000003000000}"/>
    <cellStyle name="tablesubHeader" xfId="4" xr:uid="{00000000-0005-0000-0000-000004000000}"/>
    <cellStyle name="threeDecimalDigits" xfId="9" xr:uid="{00000000-0005-0000-0000-000009000000}"/>
    <cellStyle name="twoDecimalDigits"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realTimeData">
    <main first="bofaddin.rtdserver">
      <tp t="s">
        <v>#N/A N/A</v>
        <stp/>
        <stp>BDP|13870974007250772069</stp>
        <tr r="U296" s="1"/>
      </tp>
      <tp t="s">
        <v>#N/A N/A</v>
        <stp/>
        <stp>BDP|10784354259065069907</stp>
        <tr r="U650" s="1"/>
      </tp>
      <tp t="s">
        <v>#N/A N/A</v>
        <stp/>
        <stp>BDP|18293271447703996767</stp>
        <tr r="U703" s="1"/>
      </tp>
      <tp t="s">
        <v>#N/A N/A</v>
        <stp/>
        <stp>BDP|17980737941398129658</stp>
        <tr r="U478" s="1"/>
      </tp>
      <tp t="s">
        <v>#N/A N/A</v>
        <stp/>
        <stp>BDP|12207238358519946616</stp>
        <tr r="U142" s="1"/>
      </tp>
      <tp t="s">
        <v>#N/A N/A</v>
        <stp/>
        <stp>BDP|13135604396257519112</stp>
        <tr r="U143" s="1"/>
      </tp>
      <tp t="s">
        <v>#N/A N/A</v>
        <stp/>
        <stp>BDP|10678233240618133464</stp>
        <tr r="U305" s="1"/>
      </tp>
      <tp t="s">
        <v>#N/A N/A</v>
        <stp/>
        <stp>BDP|17308473766389700603</stp>
        <tr r="U538" s="1"/>
      </tp>
      <tp t="s">
        <v>#N/A N/A</v>
        <stp/>
        <stp>BDP|15460952205335055339</stp>
        <tr r="U53" s="1"/>
      </tp>
      <tp t="s">
        <v>#N/A N/A</v>
        <stp/>
        <stp>BDP|15068186117627245951</stp>
        <tr r="U643" s="1"/>
      </tp>
      <tp t="s">
        <v>#N/A N/A</v>
        <stp/>
        <stp>BDP|11174862069796726239</stp>
        <tr r="U176" s="1"/>
      </tp>
      <tp t="s">
        <v>#N/A N/A</v>
        <stp/>
        <stp>BDP|13794564563299963216</stp>
        <tr r="U138" s="1"/>
      </tp>
      <tp t="s">
        <v>#N/A N/A</v>
        <stp/>
        <stp>BDP|13222803536552052189</stp>
        <tr r="U422" s="1"/>
      </tp>
      <tp t="s">
        <v>#N/A N/A</v>
        <stp/>
        <stp>BDP|12718561997716871307</stp>
        <tr r="U237" s="1"/>
      </tp>
      <tp t="s">
        <v>#N/A N/A</v>
        <stp/>
        <stp>BDP|12623435081200073555</stp>
        <tr r="U674" s="1"/>
      </tp>
      <tp t="s">
        <v>#N/A N/A</v>
        <stp/>
        <stp>BDP|11051038103858069215</stp>
        <tr r="U545" s="1"/>
      </tp>
      <tp t="s">
        <v>#N/A N/A</v>
        <stp/>
        <stp>BDP|15170818063344720444</stp>
        <tr r="U289" s="1"/>
      </tp>
      <tp t="s">
        <v>#N/A N/A</v>
        <stp/>
        <stp>BDP|10744079607033052870</stp>
        <tr r="U275" s="1"/>
      </tp>
      <tp t="s">
        <v>#N/A N/A</v>
        <stp/>
        <stp>BDP|17787793310282855863</stp>
        <tr r="U414" s="1"/>
      </tp>
      <tp t="s">
        <v>#N/A N/A</v>
        <stp/>
        <stp>BDP|18191751569772965061</stp>
        <tr r="U614" s="1"/>
      </tp>
      <tp t="s">
        <v>#N/A N/A</v>
        <stp/>
        <stp>BDP|13625430289430919479</stp>
        <tr r="U589" s="1"/>
      </tp>
      <tp t="s">
        <v>#N/A N/A</v>
        <stp/>
        <stp>BDP|11678114275319529539</stp>
        <tr r="U424" s="1"/>
      </tp>
      <tp t="s">
        <v>#N/A N/A</v>
        <stp/>
        <stp>BDP|15298376110768381402</stp>
        <tr r="U348" s="1"/>
      </tp>
      <tp t="s">
        <v>#N/A N/A</v>
        <stp/>
        <stp>BDP|15465984949077003433</stp>
        <tr r="U206" s="1"/>
      </tp>
      <tp t="s">
        <v>#N/A N/A</v>
        <stp/>
        <stp>BDP|10207345742025219903</stp>
        <tr r="U391" s="1"/>
      </tp>
      <tp t="s">
        <v>#N/A N/A</v>
        <stp/>
        <stp>BDP|18395708374403415053</stp>
        <tr r="U115" s="1"/>
      </tp>
      <tp t="s">
        <v>#N/A N/A</v>
        <stp/>
        <stp>BDP|10486926324154966736</stp>
        <tr r="U642" s="1"/>
      </tp>
      <tp t="s">
        <v>#N/A N/A</v>
        <stp/>
        <stp>BDP|11539443618408587449</stp>
        <tr r="U344" s="1"/>
      </tp>
      <tp t="s">
        <v>#N/A N/A</v>
        <stp/>
        <stp>BDP|11438678088422119519</stp>
        <tr r="U486" s="1"/>
      </tp>
      <tp t="s">
        <v>#N/A N/A</v>
        <stp/>
        <stp>BDP|11911009882003524242</stp>
        <tr r="U102" s="1"/>
      </tp>
      <tp t="s">
        <v>#N/A N/A</v>
        <stp/>
        <stp>BDP|14910662559679216696</stp>
        <tr r="U611" s="1"/>
      </tp>
      <tp t="s">
        <v>#N/A N/A</v>
        <stp/>
        <stp>BDP|13240576963110904822</stp>
        <tr r="U456" s="1"/>
      </tp>
      <tp t="s">
        <v>#N/A N/A</v>
        <stp/>
        <stp>BDP|17588668297897080796</stp>
        <tr r="U702" s="1"/>
      </tp>
      <tp t="s">
        <v>#N/A N/A</v>
        <stp/>
        <stp>BDP|17695852619802684408</stp>
        <tr r="U604" s="1"/>
      </tp>
      <tp t="s">
        <v>#N/A N/A</v>
        <stp/>
        <stp>BDP|10135709557929069394</stp>
        <tr r="U681" s="1"/>
      </tp>
      <tp t="s">
        <v>#N/A N/A</v>
        <stp/>
        <stp>BDP|15980071511554052810</stp>
        <tr r="U603" s="1"/>
      </tp>
      <tp t="s">
        <v>#N/A N/A</v>
        <stp/>
        <stp>BDP|15263794522360601812</stp>
        <tr r="U598" s="1"/>
      </tp>
      <tp t="s">
        <v>#N/A N/A</v>
        <stp/>
        <stp>BDP|18280672141533630128</stp>
        <tr r="U69" s="1"/>
      </tp>
      <tp t="s">
        <v>#N/A N/A</v>
        <stp/>
        <stp>BDP|11164439367569139275</stp>
        <tr r="U514" s="1"/>
      </tp>
      <tp t="s">
        <v>#N/A N/A</v>
        <stp/>
        <stp>BDP|17430831904894789368</stp>
        <tr r="U38" s="1"/>
      </tp>
      <tp t="s">
        <v>#N/A N/A</v>
        <stp/>
        <stp>BDP|14536499794962303399</stp>
        <tr r="U654" s="1"/>
      </tp>
      <tp t="s">
        <v>#N/A N/A</v>
        <stp/>
        <stp>BDP|12389314591988742863</stp>
        <tr r="U40" s="1"/>
      </tp>
      <tp t="s">
        <v>#N/A N/A</v>
        <stp/>
        <stp>BDP|18101263726694654403</stp>
        <tr r="U236" s="1"/>
      </tp>
      <tp t="s">
        <v>#N/A N/A</v>
        <stp/>
        <stp>BDP|15323630300632122965</stp>
        <tr r="U134" s="1"/>
      </tp>
      <tp t="s">
        <v>#N/A N/A</v>
        <stp/>
        <stp>BDP|14998764518679962278</stp>
        <tr r="U382" s="1"/>
      </tp>
      <tp t="s">
        <v>#N/A N/A</v>
        <stp/>
        <stp>BDP|14412399188383850569</stp>
        <tr r="U379" s="1"/>
      </tp>
      <tp t="s">
        <v>#N/A N/A</v>
        <stp/>
        <stp>BDP|10204643774131087988</stp>
        <tr r="U651" s="1"/>
      </tp>
      <tp t="s">
        <v>#N/A N/A</v>
        <stp/>
        <stp>BDP|15796423433418921322</stp>
        <tr r="U612" s="1"/>
      </tp>
      <tp t="s">
        <v>#N/A N/A</v>
        <stp/>
        <stp>BDP|17364212103578584486</stp>
        <tr r="U469" s="1"/>
      </tp>
      <tp t="s">
        <v>#N/A N/A</v>
        <stp/>
        <stp>BDP|11519993310145667562</stp>
        <tr r="U243" s="1"/>
      </tp>
      <tp t="s">
        <v>#N/A N/A</v>
        <stp/>
        <stp>BDP|17882588586087932411</stp>
        <tr r="U403" s="1"/>
      </tp>
      <tp t="s">
        <v>#N/A N/A</v>
        <stp/>
        <stp>BDP|12687541584920134667</stp>
        <tr r="U126" s="1"/>
      </tp>
      <tp t="s">
        <v>#N/A N/A</v>
        <stp/>
        <stp>BDP|14242456007469899083</stp>
        <tr r="U436" s="1"/>
      </tp>
      <tp t="s">
        <v>#N/A N/A</v>
        <stp/>
        <stp>BDP|10573746225804311879</stp>
        <tr r="U262" s="1"/>
      </tp>
      <tp t="s">
        <v>#N/A N/A</v>
        <stp/>
        <stp>BDP|16772692848069566434</stp>
        <tr r="U442" s="1"/>
      </tp>
      <tp t="s">
        <v>#N/A N/A</v>
        <stp/>
        <stp>BDP|14378049952241173979</stp>
        <tr r="U217" s="1"/>
      </tp>
      <tp t="s">
        <v>#N/A N/A</v>
        <stp/>
        <stp>BDP|18439367452646639157</stp>
        <tr r="U384" s="1"/>
      </tp>
      <tp t="s">
        <v>#N/A N/A</v>
        <stp/>
        <stp>BDP|17413747229352590999</stp>
        <tr r="U429" s="1"/>
      </tp>
      <tp t="s">
        <v>#N/A N/A</v>
        <stp/>
        <stp>BDP|13600741359709768182</stp>
        <tr r="U164" s="1"/>
      </tp>
      <tp t="s">
        <v>#N/A N/A</v>
        <stp/>
        <stp>BDP|16702584709182120800</stp>
        <tr r="U671" s="1"/>
      </tp>
      <tp t="s">
        <v>#N/A N/A</v>
        <stp/>
        <stp>BDP|17901686343574673823</stp>
        <tr r="U539" s="1"/>
      </tp>
      <tp t="s">
        <v>#N/A N/A</v>
        <stp/>
        <stp>BDP|15088430730184839809</stp>
        <tr r="U188" s="1"/>
      </tp>
      <tp t="s">
        <v>#N/A N/A</v>
        <stp/>
        <stp>BDP|12403910830312985414</stp>
        <tr r="U592" s="1"/>
      </tp>
      <tp t="s">
        <v>#N/A N/A</v>
        <stp/>
        <stp>BDP|16673967299828724036</stp>
        <tr r="U551" s="1"/>
      </tp>
      <tp t="s">
        <v>#N/A N/A</v>
        <stp/>
        <stp>BDP|10719243710898668591</stp>
        <tr r="U677" s="1"/>
      </tp>
      <tp t="s">
        <v>#N/A N/A</v>
        <stp/>
        <stp>BDP|16590577201759919440</stp>
        <tr r="U576" s="1"/>
      </tp>
      <tp t="s">
        <v>#N/A N/A</v>
        <stp/>
        <stp>BDP|11179766846915263935</stp>
        <tr r="U696" s="1"/>
      </tp>
      <tp t="s">
        <v>#N/A N/A</v>
        <stp/>
        <stp>BDP|13043109405405144941</stp>
        <tr r="U306" s="1"/>
      </tp>
      <tp t="s">
        <v>#N/A N/A</v>
        <stp/>
        <stp>BDP|11193429390130430277</stp>
        <tr r="U594" s="1"/>
      </tp>
      <tp t="s">
        <v>#N/A N/A</v>
        <stp/>
        <stp>BDP|15880173724470882833</stp>
        <tr r="U25" s="1"/>
      </tp>
      <tp t="s">
        <v>#N/A N/A</v>
        <stp/>
        <stp>BDP|13781166981593496760</stp>
        <tr r="U595" s="1"/>
      </tp>
      <tp t="s">
        <v>#N/A N/A</v>
        <stp/>
        <stp>BDP|17504590790630936572</stp>
        <tr r="U634" s="1"/>
      </tp>
      <tp t="s">
        <v>#N/A N/A</v>
        <stp/>
        <stp>BDP|11379547227610483804</stp>
        <tr r="U520" s="1"/>
      </tp>
      <tp t="s">
        <v>#N/A N/A</v>
        <stp/>
        <stp>BDP|10207653487844061441</stp>
        <tr r="U554" s="1"/>
      </tp>
      <tp t="s">
        <v>#N/A N/A</v>
        <stp/>
        <stp>BDP|13894029622477542891</stp>
        <tr r="U532" s="1"/>
      </tp>
      <tp t="s">
        <v>#N/A N/A</v>
        <stp/>
        <stp>BDP|10462316701065758842</stp>
        <tr r="U32" s="1"/>
      </tp>
      <tp t="s">
        <v>#N/A N/A</v>
        <stp/>
        <stp>BDP|12872848911616290394</stp>
        <tr r="U493" s="1"/>
      </tp>
      <tp t="s">
        <v>#N/A N/A</v>
        <stp/>
        <stp>BDP|18166038526455413090</stp>
        <tr r="U455" s="1"/>
      </tp>
      <tp t="s">
        <v>#N/A N/A</v>
        <stp/>
        <stp>BDP|16927812917928080862</stp>
        <tr r="U602" s="1"/>
      </tp>
      <tp t="s">
        <v>#N/A N/A</v>
        <stp/>
        <stp>BDP|14366377300200504887</stp>
        <tr r="U646" s="1"/>
      </tp>
      <tp t="s">
        <v>#N/A N/A</v>
        <stp/>
        <stp>BDP|10181688725028007376</stp>
        <tr r="U394" s="1"/>
      </tp>
      <tp t="s">
        <v>#N/A N/A</v>
        <stp/>
        <stp>BDP|16029723558503698864</stp>
        <tr r="U304" s="1"/>
      </tp>
      <tp t="s">
        <v>#N/A N/A</v>
        <stp/>
        <stp>BDP|16736691386955235271</stp>
        <tr r="U515" s="1"/>
      </tp>
      <tp t="s">
        <v>#N/A N/A</v>
        <stp/>
        <stp>BDP|15370258412069114097</stp>
        <tr r="U299" s="1"/>
      </tp>
      <tp t="s">
        <v>#N/A N/A</v>
        <stp/>
        <stp>BDP|10139735810280645988</stp>
        <tr r="U560" s="1"/>
      </tp>
      <tp t="s">
        <v>#N/A N/A</v>
        <stp/>
        <stp>BDP|12824881740048909955</stp>
        <tr r="U413" s="1"/>
      </tp>
      <tp t="s">
        <v>#N/A N/A</v>
        <stp/>
        <stp>BDP|17598194852938166434</stp>
        <tr r="U626" s="1"/>
      </tp>
      <tp t="s">
        <v>#N/A N/A</v>
        <stp/>
        <stp>BDP|15182853357475934256</stp>
        <tr r="U92" s="1"/>
      </tp>
      <tp t="s">
        <v>#N/A N/A</v>
        <stp/>
        <stp>BDP|16352769286876049039</stp>
        <tr r="U75" s="1"/>
      </tp>
      <tp t="s">
        <v>#N/A N/A</v>
        <stp/>
        <stp>BDP|11997817588476777874</stp>
        <tr r="U240" s="1"/>
      </tp>
      <tp t="s">
        <v>#N/A N/A</v>
        <stp/>
        <stp>BDP|14666730806999024530</stp>
        <tr r="U184" s="1"/>
      </tp>
      <tp t="s">
        <v>#N/A N/A</v>
        <stp/>
        <stp>BDP|14465411190662554432</stp>
        <tr r="U425" s="1"/>
      </tp>
      <tp t="s">
        <v>#N/A N/A</v>
        <stp/>
        <stp>BDP|12387091617579873575</stp>
        <tr r="U29" s="1"/>
      </tp>
      <tp t="s">
        <v>#N/A N/A</v>
        <stp/>
        <stp>BDP|17729191462736929907</stp>
        <tr r="U120" s="1"/>
      </tp>
      <tp t="s">
        <v>#N/A N/A</v>
        <stp/>
        <stp>BDP|12381464602719797061</stp>
        <tr r="U213" s="1"/>
      </tp>
      <tp t="s">
        <v>#N/A N/A</v>
        <stp/>
        <stp>BDP|12024861758377323441</stp>
        <tr r="U660" s="1"/>
      </tp>
      <tp t="s">
        <v>#N/A N/A</v>
        <stp/>
        <stp>BDP|12081743130139929356</stp>
        <tr r="U310" s="1"/>
      </tp>
      <tp t="s">
        <v>#N/A N/A</v>
        <stp/>
        <stp>BDP|10142939759998916899</stp>
        <tr r="U485" s="1"/>
      </tp>
      <tp t="s">
        <v>#N/A N/A</v>
        <stp/>
        <stp>BDP|16700095472555084874</stp>
        <tr r="U670" s="1"/>
      </tp>
      <tp t="s">
        <v>#N/A N/A</v>
        <stp/>
        <stp>BDP|13601359977529681288</stp>
        <tr r="U483" s="1"/>
      </tp>
      <tp t="s">
        <v>#N/A N/A</v>
        <stp/>
        <stp>BDP|15390892166946784160</stp>
        <tr r="U73" s="1"/>
      </tp>
      <tp t="s">
        <v>#N/A N/A</v>
        <stp/>
        <stp>BDP|14368848773606919104</stp>
        <tr r="U200" s="1"/>
      </tp>
      <tp t="s">
        <v>#N/A N/A</v>
        <stp/>
        <stp>BDP|15379157044768705494</stp>
        <tr r="U687" s="1"/>
      </tp>
      <tp t="s">
        <v>#N/A N/A</v>
        <stp/>
        <stp>BDP|14926732677508869097</stp>
        <tr r="U479" s="1"/>
      </tp>
      <tp t="s">
        <v>#N/A N/A</v>
        <stp/>
        <stp>BDP|17717880756390394640</stp>
        <tr r="U233" s="1"/>
      </tp>
      <tp t="s">
        <v>#N/A N/A</v>
        <stp/>
        <stp>BDP|11899215651619120374</stp>
        <tr r="U226" s="1"/>
      </tp>
      <tp t="s">
        <v>#N/A N/A</v>
        <stp/>
        <stp>BDP|12704901827826179319</stp>
        <tr r="U280" s="1"/>
      </tp>
      <tp t="s">
        <v>#N/A N/A</v>
        <stp/>
        <stp>BDP|10459344094021175752</stp>
        <tr r="U238" s="1"/>
      </tp>
      <tp t="s">
        <v>#N/A N/A</v>
        <stp/>
        <stp>BDP|14765831396369387028</stp>
        <tr r="U201" s="1"/>
      </tp>
      <tp t="s">
        <v>#N/A N/A</v>
        <stp/>
        <stp>BDP|13582927508244827236</stp>
        <tr r="U378" s="1"/>
      </tp>
      <tp t="s">
        <v>#N/A N/A</v>
        <stp/>
        <stp>BDP|13294904708811531793</stp>
        <tr r="U99" s="1"/>
      </tp>
      <tp t="s">
        <v>#N/A N/A</v>
        <stp/>
        <stp>BDP|11162976328437598032</stp>
        <tr r="U375" s="1"/>
      </tp>
      <tp t="s">
        <v>#N/A N/A</v>
        <stp/>
        <stp>BDP|17064692850518458173</stp>
        <tr r="U171" s="1"/>
      </tp>
      <tp t="s">
        <v>#N/A N/A</v>
        <stp/>
        <stp>BDP|16764889366927755247</stp>
        <tr r="U162" s="1"/>
      </tp>
      <tp t="s">
        <v>#N/A N/A</v>
        <stp/>
        <stp>BDP|14132319393245669690</stp>
        <tr r="U255" s="1"/>
      </tp>
      <tp t="s">
        <v>#N/A N/A</v>
        <stp/>
        <stp>BDP|17082197375129656566</stp>
        <tr r="U570" s="1"/>
      </tp>
      <tp t="s">
        <v>#N/A N/A</v>
        <stp/>
        <stp>BDP|12642754999143790227</stp>
        <tr r="U153" s="1"/>
      </tp>
      <tp t="s">
        <v>#N/A N/A</v>
        <stp/>
        <stp>BDP|12959969260361417157</stp>
        <tr r="U503" s="1"/>
      </tp>
      <tp t="s">
        <v>#N/A N/A</v>
        <stp/>
        <stp>BDP|16161927745984105265</stp>
        <tr r="U328" s="1"/>
      </tp>
      <tp t="s">
        <v>#N/A N/A</v>
        <stp/>
        <stp>BDP|12235920741022227020</stp>
        <tr r="U197" s="1"/>
      </tp>
      <tp t="s">
        <v>#N/A N/A</v>
        <stp/>
        <stp>BDP|16691814180572340945</stp>
        <tr r="U31" s="1"/>
      </tp>
      <tp t="s">
        <v>#N/A N/A</v>
        <stp/>
        <stp>BDP|16339797626386444883</stp>
        <tr r="U450" s="1"/>
      </tp>
      <tp t="s">
        <v>#N/A N/A</v>
        <stp/>
        <stp>BDP|12362350715265923886</stp>
        <tr r="U56" s="1"/>
      </tp>
      <tp t="s">
        <v>#N/A N/A</v>
        <stp/>
        <stp>BDP|18138850570752058818</stp>
        <tr r="U87" s="1"/>
      </tp>
      <tp t="s">
        <v>#N/A N/A</v>
        <stp/>
        <stp>BDP|13119624829172933863</stp>
        <tr r="U645" s="1"/>
      </tp>
      <tp t="s">
        <v>#N/A N/A</v>
        <stp/>
        <stp>BDP|15046964986580449939</stp>
        <tr r="U610" s="1"/>
      </tp>
      <tp t="s">
        <v>#N/A N/A</v>
        <stp/>
        <stp>BDP|14309060961229622980</stp>
        <tr r="U6" s="1"/>
      </tp>
      <tp t="s">
        <v>#N/A N/A</v>
        <stp/>
        <stp>BDP|18166775344529127094</stp>
        <tr r="U42" s="1"/>
      </tp>
      <tp t="s">
        <v>#N/A N/A</v>
        <stp/>
        <stp>BDP|15546689421140757372</stp>
        <tr r="U463" s="1"/>
      </tp>
      <tp t="s">
        <v>#N/A N/A</v>
        <stp/>
        <stp>BDP|13247239551410566695</stp>
        <tr r="U190" s="1"/>
      </tp>
      <tp t="s">
        <v>#N/A N/A</v>
        <stp/>
        <stp>BDP|15858302319424939173</stp>
        <tr r="U137" s="1"/>
      </tp>
      <tp t="s">
        <v>#N/A N/A</v>
        <stp/>
        <stp>BDP|13772520828920379618</stp>
        <tr r="U346" s="1"/>
      </tp>
      <tp t="s">
        <v>#N/A N/A</v>
        <stp/>
        <stp>BDP|11105001959434483221</stp>
        <tr r="U285" s="1"/>
      </tp>
      <tp t="s">
        <v>#N/A N/A</v>
        <stp/>
        <stp>BDP|16784438322991740303</stp>
        <tr r="U338" s="1"/>
      </tp>
      <tp t="s">
        <v>#N/A N/A</v>
        <stp/>
        <stp>BDP|11571439943005735627</stp>
        <tr r="U573" s="1"/>
      </tp>
      <tp t="s">
        <v>#N/A N/A</v>
        <stp/>
        <stp>BDP|17149759511590518331</stp>
        <tr r="U312" s="1"/>
      </tp>
      <tp t="s">
        <v>#N/A N/A</v>
        <stp/>
        <stp>BDP|18112592591194221280</stp>
        <tr r="U528" s="1"/>
      </tp>
      <tp t="s">
        <v>#N/A N/A</v>
        <stp/>
        <stp>BDP|17372573627097005514</stp>
        <tr r="U350" s="1"/>
      </tp>
      <tp t="s">
        <v>#N/A N/A</v>
        <stp/>
        <stp>BDP|15001389155735034484</stp>
        <tr r="U229" s="1"/>
      </tp>
      <tp t="s">
        <v>#N/A N/A</v>
        <stp/>
        <stp>BDP|11992397537143273001</stp>
        <tr r="U658" s="1"/>
      </tp>
      <tp t="s">
        <v>#N/A N/A</v>
        <stp/>
        <stp>BDP|10680564111697107158</stp>
        <tr r="U682" s="1"/>
      </tp>
      <tp t="s">
        <v>#N/A N/A</v>
        <stp/>
        <stp>BDP|12876272339366196733</stp>
        <tr r="U530" s="1"/>
      </tp>
      <tp t="s">
        <v>#N/A N/A</v>
        <stp/>
        <stp>BDP|14826023719883712439</stp>
        <tr r="U273" s="1"/>
      </tp>
      <tp t="s">
        <v>#N/A N/A</v>
        <stp/>
        <stp>BDP|10001600349324990590</stp>
        <tr r="U287" s="1"/>
      </tp>
      <tp t="s">
        <v>#N/A N/A</v>
        <stp/>
        <stp>BDP|11142160159405555330</stp>
        <tr r="U272" s="1"/>
      </tp>
      <tp t="s">
        <v>#N/A N/A</v>
        <stp/>
        <stp>BDP|11406158048533980481</stp>
        <tr r="U543" s="1"/>
      </tp>
      <tp t="s">
        <v>#N/A N/A</v>
        <stp/>
        <stp>BDP|11627568685786642987</stp>
        <tr r="U35" s="1"/>
      </tp>
      <tp t="s">
        <v>#N/A N/A</v>
        <stp/>
        <stp>BDP|18401757428439189728</stp>
        <tr r="U308" s="1"/>
      </tp>
      <tp t="s">
        <v>#N/A N/A</v>
        <stp/>
        <stp>BDP|15979975352609033311</stp>
        <tr r="U10" s="1"/>
      </tp>
      <tp t="s">
        <v>#N/A N/A</v>
        <stp/>
        <stp>BDP|10909681944623899208</stp>
        <tr r="U216" s="1"/>
      </tp>
      <tp t="s">
        <v>#N/A N/A</v>
        <stp/>
        <stp>BDP|15373488294208104322</stp>
        <tr r="U371" s="1"/>
      </tp>
      <tp t="s">
        <v>#N/A N/A</v>
        <stp/>
        <stp>BDP|13415161908763035260</stp>
        <tr r="U88" s="1"/>
      </tp>
      <tp t="s">
        <v>#N/A N/A</v>
        <stp/>
        <stp>BDP|10838912136401313800</stp>
        <tr r="U359" s="1"/>
      </tp>
      <tp t="s">
        <v>#N/A N/A</v>
        <stp/>
        <stp>BDP|12093572822927876129</stp>
        <tr r="U523" s="1"/>
      </tp>
      <tp t="s">
        <v>#N/A N/A</v>
        <stp/>
        <stp>BDP|10810822420171072853</stp>
        <tr r="U155" s="1"/>
      </tp>
      <tp t="s">
        <v>#N/A N/A</v>
        <stp/>
        <stp>BDP|18145536084071188761</stp>
        <tr r="U388" s="1"/>
      </tp>
      <tp t="s">
        <v>#N/A N/A</v>
        <stp/>
        <stp>BDP|10243595356900444383</stp>
        <tr r="U562" s="1"/>
      </tp>
      <tp t="s">
        <v>#N/A N/A</v>
        <stp/>
        <stp>BDP|14072056302344765314</stp>
        <tr r="U644" s="1"/>
      </tp>
      <tp t="s">
        <v>#N/A N/A</v>
        <stp/>
        <stp>BDP|13333942237758882298</stp>
        <tr r="U277" s="1"/>
      </tp>
      <tp t="s">
        <v>#N/A N/A</v>
        <stp/>
        <stp>BDP|17187834512709557457</stp>
        <tr r="U635" s="1"/>
      </tp>
      <tp t="s">
        <v>#N/A N/A</v>
        <stp/>
        <stp>BDP|15393212845102222250</stp>
        <tr r="U669" s="1"/>
      </tp>
      <tp t="s">
        <v>#N/A N/A</v>
        <stp/>
        <stp>BDP|14428371589375219985</stp>
        <tr r="U156" s="1"/>
      </tp>
      <tp t="s">
        <v>#N/A N/A</v>
        <stp/>
        <stp>BDP|12247666462416080755</stp>
        <tr r="U347" s="1"/>
      </tp>
      <tp t="s">
        <v>#N/A N/A</v>
        <stp/>
        <stp>BDP|12395940025512119802</stp>
        <tr r="U608" s="1"/>
      </tp>
      <tp t="s">
        <v>#N/A N/A</v>
        <stp/>
        <stp>BDP|11109277443321193517</stp>
        <tr r="U467" s="1"/>
      </tp>
      <tp t="s">
        <v>#N/A N/A</v>
        <stp/>
        <stp>BDP|17086765034450323049</stp>
        <tr r="U668" s="1"/>
      </tp>
      <tp t="s">
        <v>#N/A N/A</v>
        <stp/>
        <stp>BDP|10781413221056251313</stp>
        <tr r="U362" s="1"/>
      </tp>
      <tp t="s">
        <v>#N/A N/A</v>
        <stp/>
        <stp>BDP|14582276607581706451</stp>
        <tr r="U254" s="1"/>
      </tp>
      <tp t="s">
        <v>#N/A N/A</v>
        <stp/>
        <stp>BDP|11469484859441685247</stp>
        <tr r="U98" s="1"/>
      </tp>
      <tp t="s">
        <v>#N/A N/A</v>
        <stp/>
        <stp>BDP|10917553548655219718</stp>
        <tr r="U61" s="1"/>
      </tp>
      <tp t="s">
        <v>#N/A N/A</v>
        <stp/>
        <stp>BDP|15019368665973024040</stp>
        <tr r="U150" s="1"/>
      </tp>
      <tp t="s">
        <v>#N/A N/A</v>
        <stp/>
        <stp>BDP|17109420962653324556</stp>
        <tr r="U432" s="1"/>
      </tp>
      <tp t="s">
        <v>#N/A N/A</v>
        <stp/>
        <stp>BDP|16413173276621162234</stp>
        <tr r="U179" s="1"/>
      </tp>
      <tp t="s">
        <v>#N/A N/A</v>
        <stp/>
        <stp>BDP|15732033834562002490</stp>
        <tr r="U524" s="1"/>
      </tp>
      <tp t="s">
        <v>#N/A N/A</v>
        <stp/>
        <stp>BDP|18198104175498663693</stp>
        <tr r="U57" s="1"/>
      </tp>
      <tp t="s">
        <v>#N/A N/A</v>
        <stp/>
        <stp>BDP|11915304879337279292</stp>
        <tr r="U83" s="1"/>
      </tp>
      <tp t="s">
        <v>#N/A N/A</v>
        <stp/>
        <stp>BDP|17053293023200703708</stp>
        <tr r="U297" s="1"/>
      </tp>
      <tp t="s">
        <v>#N/A N/A</v>
        <stp/>
        <stp>BDP|11118953281525069580</stp>
        <tr r="U326" s="1"/>
      </tp>
      <tp t="s">
        <v>#N/A N/A</v>
        <stp/>
        <stp>BDP|15281692821479271843</stp>
        <tr r="U349" s="1"/>
      </tp>
      <tp t="s">
        <v>#N/A N/A</v>
        <stp/>
        <stp>BDP|15721732616215512689</stp>
        <tr r="U251" s="1"/>
      </tp>
      <tp t="s">
        <v>#N/A N/A</v>
        <stp/>
        <stp>BDP|12577560501486532186</stp>
        <tr r="U214" s="1"/>
      </tp>
      <tp t="s">
        <v>#N/A N/A</v>
        <stp/>
        <stp>BDP|12213604249865764529</stp>
        <tr r="U535" s="1"/>
      </tp>
      <tp t="s">
        <v>#N/A N/A</v>
        <stp/>
        <stp>BDP|16493208456462760352</stp>
        <tr r="U431" s="1"/>
      </tp>
      <tp t="s">
        <v>#N/A N/A</v>
        <stp/>
        <stp>BDP|17560659146465616033</stp>
        <tr r="U76" s="1"/>
      </tp>
      <tp t="s">
        <v>#N/A N/A</v>
        <stp/>
        <stp>BDP|14393056410510113548</stp>
        <tr r="U596" s="1"/>
      </tp>
      <tp t="s">
        <v>#N/A N/A</v>
        <stp/>
        <stp>BDP|10848396784753527858</stp>
        <tr r="U461" s="1"/>
      </tp>
      <tp t="s">
        <v>#N/A N/A</v>
        <stp/>
        <stp>BDP|11884634368481602015</stp>
        <tr r="U609" s="1"/>
      </tp>
      <tp t="s">
        <v>#N/A N/A</v>
        <stp/>
        <stp>BDP|14873141268945077608</stp>
        <tr r="U627" s="1"/>
      </tp>
      <tp t="s">
        <v>#N/A N/A</v>
        <stp/>
        <stp>BDP|15006226830972233670</stp>
        <tr r="U203" s="1"/>
      </tp>
      <tp t="s">
        <v>#N/A N/A</v>
        <stp/>
        <stp>BDP|12927837540567913959</stp>
        <tr r="U667" s="1"/>
      </tp>
      <tp t="s">
        <v>#N/A N/A</v>
        <stp/>
        <stp>BDP|12657318822704403775</stp>
        <tr r="U70" s="1"/>
      </tp>
      <tp t="s">
        <v>#N/A N/A</v>
        <stp/>
        <stp>BDP|16470136052481018336</stp>
        <tr r="U529" s="1"/>
      </tp>
      <tp t="s">
        <v>#N/A N/A</v>
        <stp/>
        <stp>BDP|13146733228953489581</stp>
        <tr r="U15" s="1"/>
      </tp>
      <tp t="s">
        <v>#N/A N/A</v>
        <stp/>
        <stp>BDP|14181602335171192034</stp>
        <tr r="U192" s="1"/>
      </tp>
      <tp t="s">
        <v>#N/A N/A</v>
        <stp/>
        <stp>BDP|12936135904480539207</stp>
        <tr r="U173" s="1"/>
      </tp>
      <tp t="s">
        <v>#N/A N/A</v>
        <stp/>
        <stp>BDP|17112995143708569346</stp>
        <tr r="U464" s="1"/>
      </tp>
      <tp t="s">
        <v>#N/A N/A</v>
        <stp/>
        <stp>BDP|13980933922808665135</stp>
        <tr r="U323" s="1"/>
      </tp>
      <tp t="s">
        <v>#N/A N/A</v>
        <stp/>
        <stp>BDP|15327510700495742485</stp>
        <tr r="U187" s="1"/>
      </tp>
      <tp t="s">
        <v>#N/A N/A</v>
        <stp/>
        <stp>BDP|13800852680903072115</stp>
        <tr r="U230" s="1"/>
      </tp>
      <tp t="s">
        <v>#N/A N/A</v>
        <stp/>
        <stp>BDP|13942040972602664759</stp>
        <tr r="U202" s="1"/>
      </tp>
      <tp t="s">
        <v>#N/A N/A</v>
        <stp/>
        <stp>BDP|12454405567756878770</stp>
        <tr r="U37" s="1"/>
      </tp>
      <tp t="s">
        <v>#N/A N/A</v>
        <stp/>
        <stp>BDP|17476569423336840775</stp>
        <tr r="U510" s="1"/>
      </tp>
      <tp t="s">
        <v>#N/A N/A</v>
        <stp/>
        <stp>BDP|17543834897843081406</stp>
        <tr r="U497" s="1"/>
      </tp>
      <tp t="s">
        <v>#N/A N/A</v>
        <stp/>
        <stp>BDP|10788565840158442853</stp>
        <tr r="U20" s="1"/>
      </tp>
      <tp t="s">
        <v>#N/A N/A</v>
        <stp/>
        <stp>BDP|14606920394841359434</stp>
        <tr r="U700" s="1"/>
      </tp>
      <tp t="s">
        <v>#N/A N/A</v>
        <stp/>
        <stp>BDP|15862284516512760519</stp>
        <tr r="U632" s="1"/>
      </tp>
      <tp t="s">
        <v>#N/A N/A</v>
        <stp/>
        <stp>BDP|17516626109912600281</stp>
        <tr r="U475" s="1"/>
      </tp>
      <tp t="s">
        <v>#N/A N/A</v>
        <stp/>
        <stp>BDP|16454775789350860826</stp>
        <tr r="U507" s="1"/>
      </tp>
      <tp t="s">
        <v>#N/A N/A</v>
        <stp/>
        <stp>BDP|16475589705843978106</stp>
        <tr r="U104" s="1"/>
      </tp>
      <tp t="s">
        <v>#N/A N/A</v>
        <stp/>
        <stp>BDP|14540819098835721188</stp>
        <tr r="U392" s="1"/>
      </tp>
      <tp t="s">
        <v>#N/A N/A</v>
        <stp/>
        <stp>BDP|13392559574378588847</stp>
        <tr r="U544" s="1"/>
      </tp>
      <tp t="s">
        <v>#N/A N/A</v>
        <stp/>
        <stp>BDP|14236223170327673752</stp>
        <tr r="U281" s="1"/>
      </tp>
      <tp t="s">
        <v>#N/A N/A</v>
        <stp/>
        <stp>BDP|12457046389979879235</stp>
        <tr r="U559" s="1"/>
      </tp>
      <tp t="s">
        <v>#N/A N/A</v>
        <stp/>
        <stp>BDP|17219159286819429676</stp>
        <tr r="U579" s="1"/>
      </tp>
      <tp t="s">
        <v>#N/A N/A</v>
        <stp/>
        <stp>BDP|17237145408652939528</stp>
        <tr r="U274" s="1"/>
      </tp>
      <tp t="s">
        <v>#N/A N/A</v>
        <stp/>
        <stp>BDP|12663798197679963448</stp>
        <tr r="U28" s="1"/>
      </tp>
      <tp t="s">
        <v>#N/A N/A</v>
        <stp/>
        <stp>BDP|13823315949252785735</stp>
        <tr r="U123" s="1"/>
      </tp>
      <tp t="s">
        <v>#N/A N/A</v>
        <stp/>
        <stp>BDP|10965205428196100747</stp>
        <tr r="U8" s="1"/>
      </tp>
      <tp t="s">
        <v>#N/A N/A</v>
        <stp/>
        <stp>BDP|17706779913741758129</stp>
        <tr r="U492" s="1"/>
      </tp>
      <tp t="s">
        <v>#N/A N/A</v>
        <stp/>
        <stp>BDP|13576416860604511381</stp>
        <tr r="U54" s="1"/>
      </tp>
      <tp t="s">
        <v>#N/A N/A</v>
        <stp/>
        <stp>BDP|11786675328674352732</stp>
        <tr r="U680" s="1"/>
      </tp>
      <tp t="s">
        <v>#N/A N/A</v>
        <stp/>
        <stp>BDP|16322830770037831806</stp>
        <tr r="U322" s="1"/>
      </tp>
      <tp t="s">
        <v>#N/A N/A</v>
        <stp/>
        <stp>BDP|10787081135720216536</stp>
        <tr r="U89" s="1"/>
      </tp>
      <tp t="s">
        <v>#N/A N/A</v>
        <stp/>
        <stp>BDP|17445109143004991058</stp>
        <tr r="U74" s="1"/>
      </tp>
      <tp t="s">
        <v>#N/A N/A</v>
        <stp/>
        <stp>BDP|10717094053013396059</stp>
        <tr r="U93" s="1"/>
      </tp>
      <tp t="s">
        <v>#N/A N/A</v>
        <stp/>
        <stp>BDP|17873093474776671096</stp>
        <tr r="U406" s="1"/>
      </tp>
      <tp t="s">
        <v>#N/A N/A</v>
        <stp/>
        <stp>BDP|13045157937270009785</stp>
        <tr r="U81" s="1"/>
      </tp>
      <tp t="s">
        <v>#N/A N/A</v>
        <stp/>
        <stp>BDP|17577938089185358516</stp>
        <tr r="U259" s="1"/>
      </tp>
      <tp t="s">
        <v>#N/A N/A</v>
        <stp/>
        <stp>BDP|13703278839790797437</stp>
        <tr r="U182" s="1"/>
      </tp>
      <tp t="s">
        <v>#N/A N/A</v>
        <stp/>
        <stp>BDP|13970620475264351000</stp>
        <tr r="U600" s="1"/>
      </tp>
      <tp t="s">
        <v>#N/A N/A</v>
        <stp/>
        <stp>BDP|13281741126628511888</stp>
        <tr r="U584" s="1"/>
      </tp>
      <tp t="s">
        <v>#N/A N/A</v>
        <stp/>
        <stp>BDP|10404155145016102597</stp>
        <tr r="U470" s="1"/>
      </tp>
      <tp t="s">
        <v>#N/A N/A</v>
        <stp/>
        <stp>BDP|17534837678436324828</stp>
        <tr r="U587" s="1"/>
      </tp>
      <tp t="s">
        <v>#N/A N/A</v>
        <stp/>
        <stp>BDP|17696750214095832207</stp>
        <tr r="U630" s="1"/>
      </tp>
      <tp t="s">
        <v>#N/A N/A</v>
        <stp/>
        <stp>BDP|16601705162308176949</stp>
        <tr r="U521" s="1"/>
      </tp>
      <tp t="s">
        <v>#N/A N/A</v>
        <stp/>
        <stp>BDP|10898549450871429794</stp>
        <tr r="U511" s="1"/>
      </tp>
      <tp t="s">
        <v>#N/A N/A</v>
        <stp/>
        <stp>BDP|15127503152437019428</stp>
        <tr r="U655" s="1"/>
      </tp>
      <tp t="s">
        <v>#N/A N/A</v>
        <stp/>
        <stp>BDP|18171721696451408105</stp>
        <tr r="U172" s="1"/>
      </tp>
      <tp t="s">
        <v>#N/A N/A</v>
        <stp/>
        <stp>BDP|11229580559721687649</stp>
        <tr r="U106" s="1"/>
      </tp>
      <tp t="s">
        <v>#N/A N/A</v>
        <stp/>
        <stp>BDP|15613455963573304206</stp>
        <tr r="U357" s="1"/>
      </tp>
      <tp t="s">
        <v>#N/A N/A</v>
        <stp/>
        <stp>BDP|17537573473473399009</stp>
        <tr r="U101" s="1"/>
      </tp>
      <tp t="s">
        <v>#N/A N/A</v>
        <stp/>
        <stp>BDP|10752594518324515617</stp>
        <tr r="U97" s="1"/>
      </tp>
      <tp t="s">
        <v>#N/A N/A</v>
        <stp/>
        <stp>BDP|13198217878326211688</stp>
        <tr r="U360" s="1"/>
      </tp>
      <tp t="s">
        <v>#N/A N/A</v>
        <stp/>
        <stp>BDP|13030376157816777509</stp>
        <tr r="U160" s="1"/>
      </tp>
      <tp t="s">
        <v>#N/A N/A</v>
        <stp/>
        <stp>BDP|14625274047535948060</stp>
        <tr r="U531" s="1"/>
      </tp>
      <tp t="s">
        <v>#N/A N/A</v>
        <stp/>
        <stp>BDP|14516084587793483868</stp>
        <tr r="U111" s="1"/>
      </tp>
      <tp t="s">
        <v>#N/A N/A</v>
        <stp/>
        <stp>BDP|16204238145332899545</stp>
        <tr r="U112" s="1"/>
      </tp>
      <tp t="s">
        <v>#N/A N/A</v>
        <stp/>
        <stp>BDP|15844654753676275777</stp>
        <tr r="U248" s="1"/>
      </tp>
      <tp t="s">
        <v>#N/A N/A</v>
        <stp/>
        <stp>BDP|18047165488047721138</stp>
        <tr r="U582" s="1"/>
      </tp>
      <tp t="s">
        <v>#N/A N/A</v>
        <stp/>
        <stp>BDP|13348852624678887609</stp>
        <tr r="U265" s="1"/>
      </tp>
      <tp t="s">
        <v>#N/A N/A</v>
        <stp/>
        <stp>BDP|16319832808938455168</stp>
        <tr r="U211" s="1"/>
      </tp>
      <tp t="s">
        <v>#N/A N/A</v>
        <stp/>
        <stp>BDP|13126229367226004690</stp>
        <tr r="U380" s="1"/>
      </tp>
      <tp t="s">
        <v>#N/A N/A</v>
        <stp/>
        <stp>BDP|10406536731050351199</stp>
        <tr r="U145" s="1"/>
      </tp>
      <tp t="s">
        <v>#N/A N/A</v>
        <stp/>
        <stp>BDP|12984624254886738046</stp>
        <tr r="U84" s="1"/>
      </tp>
      <tp t="s">
        <v>#N/A N/A</v>
        <stp/>
        <stp>BDP|13390215414412294584</stp>
        <tr r="U513" s="1"/>
      </tp>
      <tp t="s">
        <v>#N/A N/A</v>
        <stp/>
        <stp>BDP|14203025615084396699</stp>
        <tr r="U264" s="1"/>
      </tp>
      <tp t="s">
        <v>#N/A N/A</v>
        <stp/>
        <stp>BDP|14892007601013606012</stp>
        <tr r="U472" s="1"/>
      </tp>
      <tp t="s">
        <v>#N/A N/A</v>
        <stp/>
        <stp>BDP|14379637738196072093</stp>
        <tr r="U370" s="1"/>
      </tp>
      <tp t="s">
        <v>#N/A N/A</v>
        <stp/>
        <stp>BDP|14589601924713119407</stp>
        <tr r="U690" s="1"/>
      </tp>
      <tp t="s">
        <v>#N/A N/A</v>
        <stp/>
        <stp>BDP|12066772877143546651</stp>
        <tr r="U140" s="1"/>
      </tp>
      <tp t="s">
        <v>#N/A N/A</v>
        <stp/>
        <stp>BDP|10231539320426167608</stp>
        <tr r="U637" s="1"/>
      </tp>
      <tp t="s">
        <v>#N/A N/A</v>
        <stp/>
        <stp>BDP|17735347700280056309</stp>
        <tr r="U198" s="1"/>
      </tp>
      <tp t="s">
        <v>#N/A N/A</v>
        <stp/>
        <stp>BDP|11119001712067263029</stp>
        <tr r="U189" s="1"/>
      </tp>
      <tp t="s">
        <v>#N/A N/A</v>
        <stp/>
        <stp>BDP|11561726077486561064</stp>
        <tr r="U465" s="1"/>
      </tp>
      <tp t="s">
        <v>#N/A N/A</v>
        <stp/>
        <stp>BDP|15976578446960342384</stp>
        <tr r="U407" s="1"/>
      </tp>
      <tp t="s">
        <v>#N/A N/A</v>
        <stp/>
        <stp>BDP|15594203305751492168</stp>
        <tr r="U458" s="1"/>
      </tp>
      <tp t="s">
        <v>#N/A N/A</v>
        <stp/>
        <stp>BDP|17538026365413414533</stp>
        <tr r="U580" s="1"/>
      </tp>
      <tp t="s">
        <v>#N/A N/A</v>
        <stp/>
        <stp>BDP|11845552275602504696</stp>
        <tr r="U252" s="1"/>
      </tp>
      <tp t="s">
        <v>#N/A N/A</v>
        <stp/>
        <stp>BDP|17011066971465175216</stp>
        <tr r="U415" s="1"/>
      </tp>
      <tp t="s">
        <v>#N/A N/A</v>
        <stp/>
        <stp>BDP|13690415673860204709</stp>
        <tr r="U699" s="1"/>
      </tp>
      <tp t="s">
        <v>#N/A N/A</v>
        <stp/>
        <stp>BDP|12167976889536101287</stp>
        <tr r="U697" s="1"/>
      </tp>
      <tp t="s">
        <v>#N/A N/A</v>
        <stp/>
        <stp>BDP|18222375072433129806</stp>
        <tr r="U114" s="1"/>
      </tp>
      <tp t="s">
        <v>#N/A N/A</v>
        <stp/>
        <stp>BDP|11332548509038447831</stp>
        <tr r="U293" s="1"/>
      </tp>
      <tp t="s">
        <v>#N/A N/A</v>
        <stp/>
        <stp>BDP|10432680064650907489</stp>
        <tr r="U50" s="1"/>
      </tp>
      <tp t="s">
        <v>#N/A N/A</v>
        <stp/>
        <stp>BDP|11528379573590958130</stp>
        <tr r="U597" s="1"/>
      </tp>
      <tp t="s">
        <v>#N/A N/A</v>
        <stp/>
        <stp>BDP|11166022858909468940</stp>
        <tr r="U219" s="1"/>
      </tp>
      <tp t="s">
        <v>#N/A N/A</v>
        <stp/>
        <stp>BDP|15047110020552276088</stp>
        <tr r="U318" s="1"/>
      </tp>
      <tp t="s">
        <v>#N/A N/A</v>
        <stp/>
        <stp>BDP|10173118227901941651</stp>
        <tr r="U128" s="1"/>
      </tp>
      <tp t="s">
        <v>#N/A N/A</v>
        <stp/>
        <stp>BDP|14293595350482631270</stp>
        <tr r="U9" s="1"/>
      </tp>
      <tp t="s">
        <v>#N/A N/A</v>
        <stp/>
        <stp>BDP|11407997655058589176</stp>
        <tr r="U341" s="1"/>
      </tp>
      <tp t="s">
        <v>#N/A N/A</v>
        <stp/>
        <stp>BDP|15813466270470113233</stp>
        <tr r="U324" s="1"/>
      </tp>
      <tp t="s">
        <v>#N/A N/A</v>
        <stp/>
        <stp>BDP|11475021572542806006</stp>
        <tr r="U72" s="1"/>
      </tp>
      <tp t="s">
        <v>#N/A N/A</v>
        <stp/>
        <stp>BDP|17526123200724074688</stp>
        <tr r="U438" s="1"/>
      </tp>
      <tp t="s">
        <v>#N/A N/A</v>
        <stp/>
        <stp>BDP|11592910024468702666</stp>
        <tr r="U124" s="1"/>
      </tp>
      <tp t="s">
        <v>#N/A N/A</v>
        <stp/>
        <stp>BDP|17691321209798457898</stp>
        <tr r="U260" s="1"/>
      </tp>
      <tp t="s">
        <v>#N/A N/A</v>
        <stp/>
        <stp>BDP|16243264432021350253</stp>
        <tr r="U127" s="1"/>
      </tp>
      <tp t="s">
        <v>#N/A N/A</v>
        <stp/>
        <stp>BDP|14536636616405970290</stp>
        <tr r="U36" s="1"/>
      </tp>
      <tp t="s">
        <v>#N/A N/A</v>
        <stp/>
        <stp>BDP|14330121671942191448</stp>
        <tr r="U12" s="1"/>
      </tp>
      <tp t="s">
        <v>#N/A N/A</v>
        <stp/>
        <stp>BDP|15856789520817255379</stp>
        <tr r="U220" s="1"/>
      </tp>
      <tp t="s">
        <v>#N/A N/A</v>
        <stp/>
        <stp>BDP|18020845226037786115</stp>
        <tr r="U330" s="1"/>
      </tp>
      <tp t="s">
        <v>#N/A N/A</v>
        <stp/>
        <stp>BDP|13549072261749770802</stp>
        <tr r="U498" s="1"/>
      </tp>
      <tp t="s">
        <v>#N/A N/A</v>
        <stp/>
        <stp>BDP|13598612442034329128</stp>
        <tr r="U398" s="1"/>
      </tp>
      <tp t="s">
        <v>#N/A N/A</v>
        <stp/>
        <stp>BDP|18320942019337977319</stp>
        <tr r="U445" s="1"/>
      </tp>
      <tp t="s">
        <v>#N/A N/A</v>
        <stp/>
        <stp>BDP|12157361306633154783</stp>
        <tr r="U683" s="1"/>
      </tp>
      <tp t="s">
        <v>#N/A N/A</v>
        <stp/>
        <stp>BDP|17405452047764522680</stp>
        <tr r="U548" s="1"/>
      </tp>
      <tp t="s">
        <v>#N/A N/A</v>
        <stp/>
        <stp>BDP|13398009666077140796</stp>
        <tr r="U427" s="1"/>
      </tp>
      <tp t="s">
        <v>#N/A N/A</v>
        <stp/>
        <stp>BDP|17384397261173568420</stp>
        <tr r="U522" s="1"/>
      </tp>
      <tp t="s">
        <v>#N/A N/A</v>
        <stp/>
        <stp>BDP|17931529103292787532</stp>
        <tr r="U618" s="1"/>
      </tp>
      <tp t="s">
        <v>#N/A N/A</v>
        <stp/>
        <stp>BDP|13462664648442647607</stp>
        <tr r="U495" s="1"/>
      </tp>
      <tp t="s">
        <v>#N/A N/A</v>
        <stp/>
        <stp>BDP|13900792653854872049</stp>
        <tr r="U284" s="1"/>
      </tp>
      <tp t="s">
        <v>#N/A N/A</v>
        <stp/>
        <stp>BDP|11428528831021386359</stp>
        <tr r="U132" s="1"/>
      </tp>
      <tp t="s">
        <v>#N/A N/A</v>
        <stp/>
        <stp>BDP|17556508475960496056</stp>
        <tr r="U512" s="1"/>
      </tp>
      <tp t="s">
        <v>#N/A N/A</v>
        <stp/>
        <stp>BDP|16948841743578817772</stp>
        <tr r="U504" s="1"/>
      </tp>
      <tp t="s">
        <v>#N/A N/A</v>
        <stp/>
        <stp>BDP|11746369361533104208</stp>
        <tr r="U569" s="1"/>
      </tp>
      <tp t="s">
        <v>#N/A N/A</v>
        <stp/>
        <stp>BDP|10605548457110275574</stp>
        <tr r="U561" s="1"/>
      </tp>
      <tp t="s">
        <v>#N/A N/A</v>
        <stp/>
        <stp>BDP|17257368299169437196</stp>
        <tr r="U294" s="1"/>
      </tp>
      <tp t="s">
        <v>#N/A N/A</v>
        <stp/>
        <stp>BDP|16032416463286786750</stp>
        <tr r="U363" s="1"/>
      </tp>
      <tp t="s">
        <v>#N/A N/A</v>
        <stp/>
        <stp>BDP|11154469024956435472</stp>
        <tr r="U327" s="1"/>
      </tp>
      <tp t="s">
        <v>#N/A N/A</v>
        <stp/>
        <stp>BDP|11805857682475499182</stp>
        <tr r="U320" s="1"/>
      </tp>
      <tp t="s">
        <v>#N/A N/A</v>
        <stp/>
        <stp>BDP|15284845007921289910</stp>
        <tr r="U209" s="1"/>
      </tp>
      <tp t="s">
        <v>#N/A N/A</v>
        <stp/>
        <stp>BDP|18125087854110696899</stp>
        <tr r="U121" s="1"/>
      </tp>
      <tp t="s">
        <v>#N/A N/A</v>
        <stp/>
        <stp>BDP|15981786244341336234</stp>
        <tr r="U58" s="1"/>
      </tp>
      <tp t="s">
        <v>#N/A N/A</v>
        <stp/>
        <stp>BDP|12432206663677297422</stp>
        <tr r="U547" s="1"/>
      </tp>
      <tp t="s">
        <v>#N/A N/A</v>
        <stp/>
        <stp>BDP|10310556666707036163</stp>
        <tr r="U399" s="1"/>
      </tp>
    </main>
    <main first="bofaddin.rtdserver">
      <tp t="s">
        <v>#N/A N/A</v>
        <stp/>
        <stp>BDP|4879218961258319418</stp>
        <tr r="U397" s="1"/>
      </tp>
      <tp t="s">
        <v>#N/A N/A</v>
        <stp/>
        <stp>BDP|5419583952218691135</stp>
        <tr r="U638" s="1"/>
      </tp>
      <tp t="s">
        <v>#N/A N/A</v>
        <stp/>
        <stp>BDP|4475891460266525033</stp>
        <tr r="U149" s="1"/>
      </tp>
      <tp t="s">
        <v>#N/A N/A</v>
        <stp/>
        <stp>BDP|8795076428514433248</stp>
        <tr r="U525" s="1"/>
      </tp>
      <tp t="s">
        <v>#N/A N/A</v>
        <stp/>
        <stp>BDP|2449263905998955469</stp>
        <tr r="U78" s="1"/>
      </tp>
      <tp t="s">
        <v>#N/A N/A</v>
        <stp/>
        <stp>BDP|5125971219167749600</stp>
        <tr r="U340" s="1"/>
      </tp>
      <tp t="s">
        <v>#N/A N/A</v>
        <stp/>
        <stp>BDP|1239139999103766610</stp>
        <tr r="U195" s="1"/>
      </tp>
      <tp t="s">
        <v>#N/A N/A</v>
        <stp/>
        <stp>BDP|7441190441509430766</stp>
        <tr r="U502" s="1"/>
      </tp>
      <tp t="s">
        <v>#N/A N/A</v>
        <stp/>
        <stp>BDP|5569159657144833903</stp>
        <tr r="U704" s="1"/>
      </tp>
      <tp t="s">
        <v>#N/A N/A</v>
        <stp/>
        <stp>BDP|1958801929177941062</stp>
        <tr r="U196" s="1"/>
      </tp>
      <tp t="s">
        <v>#N/A N/A</v>
        <stp/>
        <stp>BDP|2859271861522493863</stp>
        <tr r="U180" s="1"/>
      </tp>
      <tp t="s">
        <v>#N/A N/A</v>
        <stp/>
        <stp>BDP|6888935530224248451</stp>
        <tr r="U567" s="1"/>
      </tp>
      <tp t="s">
        <v>#N/A N/A</v>
        <stp/>
        <stp>BDP|3015127848179181375</stp>
        <tr r="U558" s="1"/>
      </tp>
      <tp t="s">
        <v>#N/A N/A</v>
        <stp/>
        <stp>BDP|4149898917748084922</stp>
        <tr r="U48" s="1"/>
      </tp>
      <tp t="s">
        <v>#N/A N/A</v>
        <stp/>
        <stp>BDP|3556676633002818841</stp>
        <tr r="U649" s="1"/>
      </tp>
      <tp t="s">
        <v>#N/A N/A</v>
        <stp/>
        <stp>BDP|1635125218235515841</stp>
        <tr r="U500" s="1"/>
      </tp>
      <tp t="s">
        <v>#N/A N/A</v>
        <stp/>
        <stp>BDP|2866906518901319704</stp>
        <tr r="U386" s="1"/>
      </tp>
      <tp t="s">
        <v>#N/A N/A</v>
        <stp/>
        <stp>BDP|9418857190457627314</stp>
        <tr r="U364" s="1"/>
      </tp>
      <tp t="s">
        <v>#N/A N/A</v>
        <stp/>
        <stp>BDP|2136976004785443219</stp>
        <tr r="U571" s="1"/>
      </tp>
      <tp t="s">
        <v>#N/A N/A</v>
        <stp/>
        <stp>BDP|9463495045084707184</stp>
        <tr r="U640" s="1"/>
      </tp>
      <tp t="s">
        <v>#N/A N/A</v>
        <stp/>
        <stp>BDP|8556956495843466748</stp>
        <tr r="U494" s="1"/>
      </tp>
      <tp t="s">
        <v>#N/A N/A</v>
        <stp/>
        <stp>BDP|3409293934248456775</stp>
        <tr r="U60" s="1"/>
      </tp>
      <tp t="s">
        <v>#N/A N/A</v>
        <stp/>
        <stp>BDP|6449012380144891765</stp>
        <tr r="U11" s="1"/>
      </tp>
      <tp t="s">
        <v>#N/A N/A</v>
        <stp/>
        <stp>BDP|3283280934686427919</stp>
        <tr r="U68" s="1"/>
      </tp>
      <tp t="s">
        <v>#N/A N/A</v>
        <stp/>
        <stp>BDP|2200799177657131859</stp>
        <tr r="U166" s="1"/>
      </tp>
      <tp t="s">
        <v>#N/A N/A</v>
        <stp/>
        <stp>BDP|9029365384648823724</stp>
        <tr r="U339" s="1"/>
      </tp>
      <tp t="s">
        <v>#N/A N/A</v>
        <stp/>
        <stp>BDP|5614461679812134915</stp>
        <tr r="U572" s="1"/>
      </tp>
      <tp t="s">
        <v>#N/A N/A</v>
        <stp/>
        <stp>BDP|2536853876994917410</stp>
        <tr r="U356" s="1"/>
      </tp>
      <tp t="s">
        <v>#N/A N/A</v>
        <stp/>
        <stp>BDP|4827311616559952289</stp>
        <tr r="U307" s="1"/>
      </tp>
      <tp t="s">
        <v>#N/A N/A</v>
        <stp/>
        <stp>BDP|4398157516040781991</stp>
        <tr r="U44" s="1"/>
      </tp>
      <tp t="s">
        <v>#N/A N/A</v>
        <stp/>
        <stp>BDP|3967250196711599434</stp>
        <tr r="U232" s="1"/>
      </tp>
      <tp t="s">
        <v>#N/A N/A</v>
        <stp/>
        <stp>BDP|7754764665999099295</stp>
        <tr r="U499" s="1"/>
      </tp>
      <tp t="s">
        <v>#N/A N/A</v>
        <stp/>
        <stp>BDP|5329997950091201553</stp>
        <tr r="U261" s="1"/>
      </tp>
      <tp t="s">
        <v>#N/A N/A</v>
        <stp/>
        <stp>BDP|3841658809099068146</stp>
        <tr r="U672" s="1"/>
      </tp>
      <tp t="s">
        <v>#N/A N/A</v>
        <stp/>
        <stp>BDP|9893625260802857637</stp>
        <tr r="U546" s="1"/>
      </tp>
      <tp t="s">
        <v>#N/A N/A</v>
        <stp/>
        <stp>BDP|5667020591013790239</stp>
        <tr r="U409" s="1"/>
      </tp>
      <tp t="s">
        <v>#N/A N/A</v>
        <stp/>
        <stp>BDP|2972033850208935255</stp>
        <tr r="U624" s="1"/>
      </tp>
      <tp t="s">
        <v>#N/A N/A</v>
        <stp/>
        <stp>BDP|8847395001416240046</stp>
        <tr r="U372" s="1"/>
      </tp>
      <tp t="s">
        <v>#N/A N/A</v>
        <stp/>
        <stp>BDP|7169384094917927708</stp>
        <tr r="U212" s="1"/>
      </tp>
      <tp t="s">
        <v>#N/A N/A</v>
        <stp/>
        <stp>BDP|1456481669438004615</stp>
        <tr r="U416" s="1"/>
      </tp>
      <tp t="s">
        <v>#N/A N/A</v>
        <stp/>
        <stp>BDP|8894509364093859500</stp>
        <tr r="U374" s="1"/>
      </tp>
      <tp t="s">
        <v>#N/A N/A</v>
        <stp/>
        <stp>BDP|9200828534476542947</stp>
        <tr r="U453" s="1"/>
      </tp>
      <tp t="s">
        <v>#N/A N/A</v>
        <stp/>
        <stp>BDP|5129763774078996303</stp>
        <tr r="U417" s="1"/>
      </tp>
      <tp t="s">
        <v>#N/A N/A</v>
        <stp/>
        <stp>BDP|4464188938008663082</stp>
        <tr r="U225" s="1"/>
      </tp>
      <tp t="s">
        <v>#N/A N/A</v>
        <stp/>
        <stp>BDP|6720354555346903845</stp>
        <tr r="U489" s="1"/>
      </tp>
      <tp t="s">
        <v>#N/A N/A</v>
        <stp/>
        <stp>BDP|6262461919519526439</stp>
        <tr r="U337" s="1"/>
      </tp>
      <tp t="s">
        <v>#N/A N/A</v>
        <stp/>
        <stp>BDP|2018304700139341683</stp>
        <tr r="U331" s="1"/>
      </tp>
      <tp t="s">
        <v>#N/A N/A</v>
        <stp/>
        <stp>BDP|3807924030820067727</stp>
        <tr r="U473" s="1"/>
      </tp>
      <tp t="s">
        <v>#N/A N/A</v>
        <stp/>
        <stp>BDP|4421756229428370736</stp>
        <tr r="U449" s="1"/>
      </tp>
      <tp t="s">
        <v>#N/A N/A</v>
        <stp/>
        <stp>BDP|1618196697787963096</stp>
        <tr r="U170" s="1"/>
      </tp>
      <tp t="s">
        <v>#N/A N/A</v>
        <stp/>
        <stp>BDP|9721465118804432644</stp>
        <tr r="U63" s="1"/>
      </tp>
      <tp t="s">
        <v>#N/A N/A</v>
        <stp/>
        <stp>BDP|6410742588985578236</stp>
        <tr r="U490" s="1"/>
      </tp>
      <tp t="s">
        <v>#N/A N/A</v>
        <stp/>
        <stp>BDP|2415793425680444933</stp>
        <tr r="U222" s="1"/>
      </tp>
      <tp t="s">
        <v>#N/A N/A</v>
        <stp/>
        <stp>BDP|5311031983557510496</stp>
        <tr r="U45" s="1"/>
      </tp>
      <tp t="s">
        <v>#N/A N/A</v>
        <stp/>
        <stp>BDP|6669024909821888989</stp>
        <tr r="U625" s="1"/>
      </tp>
      <tp t="s">
        <v>#N/A N/A</v>
        <stp/>
        <stp>BDP|4542463338864297949</stp>
        <tr r="U80" s="1"/>
      </tp>
      <tp t="s">
        <v>#N/A N/A</v>
        <stp/>
        <stp>BDP|1334868216165279336</stp>
        <tr r="U553" s="1"/>
      </tp>
      <tp t="s">
        <v>#N/A N/A</v>
        <stp/>
        <stp>BDP|4074429997587327068</stp>
        <tr r="U332" s="1"/>
      </tp>
      <tp t="s">
        <v>#N/A N/A</v>
        <stp/>
        <stp>BDP|3395039923287629853</stp>
        <tr r="U130" s="1"/>
      </tp>
      <tp t="s">
        <v>#N/A N/A</v>
        <stp/>
        <stp>BDP|3809595170489214621</stp>
        <tr r="U163" s="1"/>
      </tp>
      <tp t="s">
        <v>#N/A N/A</v>
        <stp/>
        <stp>BDP|7241664140488446317</stp>
        <tr r="U13" s="1"/>
      </tp>
      <tp t="s">
        <v>#N/A N/A</v>
        <stp/>
        <stp>BDP|8502208462681759360</stp>
        <tr r="U67" s="1"/>
      </tp>
      <tp t="s">
        <v>#N/A N/A</v>
        <stp/>
        <stp>BDP|5424507417847318868</stp>
        <tr r="U665" s="1"/>
      </tp>
      <tp t="s">
        <v>#N/A N/A</v>
        <stp/>
        <stp>BDP|7522725312136445975</stp>
        <tr r="U471" s="1"/>
      </tp>
      <tp t="s">
        <v>#N/A N/A</v>
        <stp/>
        <stp>BDP|8280117002233531432</stp>
        <tr r="U462" s="1"/>
      </tp>
      <tp t="s">
        <v>#N/A N/A</v>
        <stp/>
        <stp>BDP|3038573862689081710</stp>
        <tr r="U517" s="1"/>
      </tp>
      <tp t="s">
        <v>#N/A N/A</v>
        <stp/>
        <stp>BDP|6353078765839483718</stp>
        <tr r="U693" s="1"/>
      </tp>
      <tp t="s">
        <v>#N/A N/A</v>
        <stp/>
        <stp>BDP|6029443017444469924</stp>
        <tr r="U426" s="1"/>
      </tp>
      <tp t="s">
        <v>#N/A N/A</v>
        <stp/>
        <stp>BDP|2011836384978810555</stp>
        <tr r="U244" s="1"/>
      </tp>
      <tp t="s">
        <v>#N/A N/A</v>
        <stp/>
        <stp>BDP|7012149382659649881</stp>
        <tr r="U481" s="1"/>
      </tp>
      <tp t="s">
        <v>#N/A N/A</v>
        <stp/>
        <stp>BDP|6418875660740953748</stp>
        <tr r="U122" s="1"/>
      </tp>
      <tp t="s">
        <v>#N/A N/A</v>
        <stp/>
        <stp>BDP|2051395194262052528</stp>
        <tr r="U66" s="1"/>
      </tp>
      <tp t="s">
        <v>#N/A N/A</v>
        <stp/>
        <stp>BDP|1358733951999995579</stp>
        <tr r="U605" s="1"/>
      </tp>
      <tp t="s">
        <v>#N/A N/A</v>
        <stp/>
        <stp>BDP|8972112117697111034</stp>
        <tr r="U564" s="1"/>
      </tp>
      <tp t="s">
        <v>#N/A N/A</v>
        <stp/>
        <stp>BDP|1244873476591937089</stp>
        <tr r="U575" s="1"/>
      </tp>
      <tp t="s">
        <v>#N/A N/A</v>
        <stp/>
        <stp>BDP|6519978227426683400</stp>
        <tr r="U468" s="1"/>
      </tp>
      <tp t="s">
        <v>#N/A N/A</v>
        <stp/>
        <stp>BDP|6406100287404011401</stp>
        <tr r="U629" s="1"/>
      </tp>
      <tp t="s">
        <v>#N/A N/A</v>
        <stp/>
        <stp>BDP|4113455465968171104</stp>
        <tr r="U477" s="1"/>
      </tp>
      <tp t="s">
        <v>#N/A N/A</v>
        <stp/>
        <stp>BDP|9131562131369207946</stp>
        <tr r="U267" s="1"/>
      </tp>
      <tp t="s">
        <v>#N/A N/A</v>
        <stp/>
        <stp>BDP|3091249903427335943</stp>
        <tr r="U423" s="1"/>
      </tp>
      <tp t="s">
        <v>#N/A N/A</v>
        <stp/>
        <stp>BDP|6189314880995774711</stp>
        <tr r="U354" s="1"/>
      </tp>
      <tp t="s">
        <v>#N/A N/A</v>
        <stp/>
        <stp>BDP|6146802726703325027</stp>
        <tr r="U451" s="1"/>
      </tp>
      <tp t="s">
        <v>#N/A N/A</v>
        <stp/>
        <stp>BDP|1821524995593851110</stp>
        <tr r="U117" s="1"/>
      </tp>
      <tp t="s">
        <v>#N/A N/A</v>
        <stp/>
        <stp>BDP|7677639796757326046</stp>
        <tr r="U136" s="1"/>
      </tp>
      <tp t="s">
        <v>#N/A N/A</v>
        <stp/>
        <stp>BDP|6099839460132778504</stp>
        <tr r="U556" s="1"/>
      </tp>
      <tp t="s">
        <v>#N/A N/A</v>
        <stp/>
        <stp>BDP|5046808424486785668</stp>
        <tr r="U412" s="1"/>
      </tp>
      <tp t="s">
        <v>#N/A N/A</v>
        <stp/>
        <stp>BDP|5999716588185942735</stp>
        <tr r="U157" s="1"/>
      </tp>
      <tp t="s">
        <v>#N/A N/A</v>
        <stp/>
        <stp>BDP|2559210526529954316</stp>
        <tr r="U16" s="1"/>
      </tp>
      <tp t="s">
        <v>#N/A N/A</v>
        <stp/>
        <stp>BDP|2936565794891977791</stp>
        <tr r="U633" s="1"/>
      </tp>
      <tp t="s">
        <v>#N/A N/A</v>
        <stp/>
        <stp>BDP|2111663928339196757</stp>
        <tr r="U376" s="1"/>
      </tp>
      <tp t="s">
        <v>#N/A N/A</v>
        <stp/>
        <stp>BDP|4882655188703803159</stp>
        <tr r="U607" s="1"/>
      </tp>
      <tp t="s">
        <v>#N/A N/A</v>
        <stp/>
        <stp>BDP|2323791740120061926</stp>
        <tr r="U440" s="1"/>
      </tp>
      <tp t="s">
        <v>#N/A N/A</v>
        <stp/>
        <stp>BDP|6325918760209826852</stp>
        <tr r="U300" s="1"/>
      </tp>
      <tp t="s">
        <v>#N/A N/A</v>
        <stp/>
        <stp>BDP|1603148819778384174</stp>
        <tr r="U141" s="1"/>
      </tp>
      <tp t="s">
        <v>#N/A N/A</v>
        <stp/>
        <stp>BDP|4020869316767842299</stp>
        <tr r="U148" s="1"/>
      </tp>
      <tp t="s">
        <v>#N/A N/A</v>
        <stp/>
        <stp>BDP|1139038827339148259</stp>
        <tr r="U249" s="1"/>
      </tp>
      <tp t="s">
        <v>#N/A N/A</v>
        <stp/>
        <stp>BDP|9752079909956619799</stp>
        <tr r="U313" s="1"/>
      </tp>
      <tp t="s">
        <v>#N/A N/A</v>
        <stp/>
        <stp>BDP|5797614573429151529</stp>
        <tr r="U133" s="1"/>
      </tp>
      <tp t="s">
        <v>#N/A N/A</v>
        <stp/>
        <stp>BDP|4550412991115531461</stp>
        <tr r="U250" s="1"/>
      </tp>
      <tp t="s">
        <v>#N/A N/A</v>
        <stp/>
        <stp>BDP|8484438100486265234</stp>
        <tr r="U22" s="1"/>
      </tp>
      <tp t="s">
        <v>#N/A N/A</v>
        <stp/>
        <stp>BDP|1001977811323587244</stp>
        <tr r="U534" s="1"/>
      </tp>
      <tp t="s">
        <v>#N/A N/A</v>
        <stp/>
        <stp>BDP|2406594386957408081</stp>
        <tr r="U191" s="1"/>
      </tp>
      <tp t="s">
        <v>#N/A N/A</v>
        <stp/>
        <stp>BDP|5527374855409954296</stp>
        <tr r="U460" s="1"/>
      </tp>
      <tp t="s">
        <v>#N/A N/A</v>
        <stp/>
        <stp>BDP|1552652366760714964</stp>
        <tr r="U107" s="1"/>
      </tp>
      <tp t="s">
        <v>#N/A N/A</v>
        <stp/>
        <stp>BDP|2513670425966991895</stp>
        <tr r="U103" s="1"/>
      </tp>
      <tp t="s">
        <v>#N/A N/A</v>
        <stp/>
        <stp>BDP|3802028058566131998</stp>
        <tr r="U333" s="1"/>
      </tp>
      <tp t="s">
        <v>#N/A N/A</v>
        <stp/>
        <stp>BDP|8925347361564585022</stp>
        <tr r="U118" s="1"/>
      </tp>
      <tp t="s">
        <v>#N/A N/A</v>
        <stp/>
        <stp>BDP|4940155147278774079</stp>
        <tr r="U185" s="1"/>
      </tp>
      <tp t="s">
        <v>#N/A N/A</v>
        <stp/>
        <stp>BDP|8587121630247954451</stp>
        <tr r="U352" s="1"/>
      </tp>
      <tp t="s">
        <v>#N/A N/A</v>
        <stp/>
        <stp>BDP|7682599891040198248</stp>
        <tr r="U86" s="1"/>
      </tp>
      <tp t="s">
        <v>#N/A N/A</v>
        <stp/>
        <stp>BDP|2188623111648260487</stp>
        <tr r="U694" s="1"/>
      </tp>
      <tp t="s">
        <v>#N/A N/A</v>
        <stp/>
        <stp>BDP|9408152807590896169</stp>
        <tr r="U387" s="1"/>
      </tp>
      <tp t="s">
        <v>#N/A N/A</v>
        <stp/>
        <stp>BDP|8842347298539966244</stp>
        <tr r="U420" s="1"/>
      </tp>
      <tp t="s">
        <v>#N/A N/A</v>
        <stp/>
        <stp>BDP|3428324198416439635</stp>
        <tr r="U686" s="1"/>
      </tp>
      <tp t="s">
        <v>#N/A N/A</v>
        <stp/>
        <stp>BDP|4909967026814239245</stp>
        <tr r="U482" s="1"/>
      </tp>
      <tp t="s">
        <v>#N/A N/A</v>
        <stp/>
        <stp>BDP|3747673250950936965</stp>
        <tr r="U578" s="1"/>
      </tp>
      <tp t="s">
        <v>#N/A N/A</v>
        <stp/>
        <stp>BDP|7727984496666971826</stp>
        <tr r="U373" s="1"/>
      </tp>
      <tp t="s">
        <v>#N/A N/A</v>
        <stp/>
        <stp>BDP|3306140694770125218</stp>
        <tr r="U263" s="1"/>
      </tp>
      <tp t="s">
        <v>#N/A N/A</v>
        <stp/>
        <stp>BDP|2206982132396950728</stp>
        <tr r="U18" s="1"/>
      </tp>
      <tp t="s">
        <v>#N/A N/A</v>
        <stp/>
        <stp>BDP|9752708450425287763</stp>
        <tr r="U343" s="1"/>
      </tp>
      <tp t="s">
        <v>#N/A N/A</v>
        <stp/>
        <stp>BDP|2325149291004388752</stp>
        <tr r="U484" s="1"/>
      </tp>
      <tp t="s">
        <v>#N/A N/A</v>
        <stp/>
        <stp>BDP|2207814807604270766</stp>
        <tr r="U247" s="1"/>
      </tp>
      <tp t="s">
        <v>#N/A N/A</v>
        <stp/>
        <stp>BDP|7295947004405069235</stp>
        <tr r="U283" s="1"/>
      </tp>
      <tp t="s">
        <v>#N/A N/A</v>
        <stp/>
        <stp>BDP|7858417795840476399</stp>
        <tr r="U418" s="1"/>
      </tp>
      <tp t="s">
        <v>#N/A N/A</v>
        <stp/>
        <stp>BDP|6137139173088161118</stp>
        <tr r="U159" s="1"/>
      </tp>
      <tp t="s">
        <v>#N/A N/A</v>
        <stp/>
        <stp>BDP|1067369710709777372</stp>
        <tr r="U147" s="1"/>
      </tp>
      <tp t="s">
        <v>#N/A N/A</v>
        <stp/>
        <stp>BDP|1942535399836475219</stp>
        <tr r="U616" s="1"/>
      </tp>
      <tp t="s">
        <v>#N/A N/A</v>
        <stp/>
        <stp>BDP|3470632036689133678</stp>
        <tr r="U673" s="1"/>
      </tp>
      <tp t="s">
        <v>#N/A N/A</v>
        <stp/>
        <stp>BDP|7238438927858434057</stp>
        <tr r="U64" s="1"/>
      </tp>
      <tp t="s">
        <v>#N/A N/A</v>
        <stp/>
        <stp>BDP|3041242980272835289</stp>
        <tr r="U109" s="1"/>
      </tp>
      <tp t="s">
        <v>#N/A N/A</v>
        <stp/>
        <stp>BDP|9565345796948218205</stp>
        <tr r="U55" s="1"/>
      </tp>
      <tp t="s">
        <v>#N/A N/A</v>
        <stp/>
        <stp>BDP|6066085428226220882</stp>
        <tr r="U435" s="1"/>
      </tp>
      <tp t="s">
        <v>#N/A N/A</v>
        <stp/>
        <stp>BDP|6626081469808922253</stp>
        <tr r="U95" s="1"/>
      </tp>
      <tp t="s">
        <v>#N/A N/A</v>
        <stp/>
        <stp>BDP|6934305894847437128</stp>
        <tr r="U622" s="1"/>
      </tp>
      <tp t="s">
        <v>#N/A N/A</v>
        <stp/>
        <stp>BDP|8198319624441857243</stp>
        <tr r="U207" s="1"/>
      </tp>
      <tp t="s">
        <v>#N/A N/A</v>
        <stp/>
        <stp>BDP|5152318770449067295</stp>
        <tr r="U271" s="1"/>
      </tp>
      <tp t="s">
        <v>#N/A N/A</v>
        <stp/>
        <stp>BDP|9660475366291746095</stp>
        <tr r="U336" s="1"/>
      </tp>
      <tp t="s">
        <v>#N/A N/A</v>
        <stp/>
        <stp>BDP|5968603177929772773</stp>
        <tr r="U662" s="1"/>
      </tp>
      <tp t="s">
        <v>#N/A N/A</v>
        <stp/>
        <stp>BDP|2742747219308361666</stp>
        <tr r="U215" s="1"/>
      </tp>
      <tp t="s">
        <v>#N/A N/A</v>
        <stp/>
        <stp>BDP|1562280232389040302</stp>
        <tr r="U257" s="1"/>
      </tp>
      <tp t="s">
        <v>#N/A N/A</v>
        <stp/>
        <stp>BDP|1950379455788100566</stp>
        <tr r="U656" s="1"/>
      </tp>
      <tp t="s">
        <v>#N/A N/A</v>
        <stp/>
        <stp>BDP|7561555451088849547</stp>
        <tr r="U688" s="1"/>
      </tp>
      <tp t="s">
        <v>#N/A N/A</v>
        <stp/>
        <stp>BDP|9682115906133589164</stp>
        <tr r="U377" s="1"/>
      </tp>
      <tp t="s">
        <v>#N/A N/A</v>
        <stp/>
        <stp>BDP|9690704385884139803</stp>
        <tr r="U329" s="1"/>
      </tp>
      <tp t="s">
        <v>#N/A N/A</v>
        <stp/>
        <stp>BDP|3914156256558954513</stp>
        <tr r="U434" s="1"/>
      </tp>
      <tp t="s">
        <v>#N/A N/A</v>
        <stp/>
        <stp>BDP|6726791145329270697</stp>
        <tr r="U664" s="1"/>
      </tp>
      <tp t="s">
        <v>#N/A N/A</v>
        <stp/>
        <stp>BDP|7488879644492248349</stp>
        <tr r="U208" s="1"/>
      </tp>
      <tp t="s">
        <v>#N/A N/A</v>
        <stp/>
        <stp>BDP|8998804988073202122</stp>
        <tr r="U110" s="1"/>
      </tp>
      <tp t="s">
        <v>#N/A N/A</v>
        <stp/>
        <stp>BDP|9774665618993719786</stp>
        <tr r="U125" s="1"/>
      </tp>
      <tp t="s">
        <v>#N/A N/A</v>
        <stp/>
        <stp>BDP|5369797384783081397</stp>
        <tr r="U291" s="1"/>
      </tp>
      <tp t="s">
        <v>#N/A N/A</v>
        <stp/>
        <stp>BDP|5809340681092240680</stp>
        <tr r="U555" s="1"/>
      </tp>
      <tp t="s">
        <v>#N/A N/A</v>
        <stp/>
        <stp>BDP|8946329101076974773</stp>
        <tr r="U358" s="1"/>
      </tp>
      <tp t="s">
        <v>#N/A N/A</v>
        <stp/>
        <stp>BDP|2089675320768707449</stp>
        <tr r="U167" s="1"/>
      </tp>
      <tp t="s">
        <v>#N/A N/A</v>
        <stp/>
        <stp>BDP|4918065690211921623</stp>
        <tr r="U566" s="1"/>
      </tp>
      <tp t="s">
        <v>#N/A N/A</v>
        <stp/>
        <stp>BDP|1092884615356059577</stp>
        <tr r="U315" s="1"/>
      </tp>
      <tp t="s">
        <v>#N/A N/A</v>
        <stp/>
        <stp>BDP|7014872362765727783</stp>
        <tr r="U334" s="1"/>
      </tp>
      <tp t="s">
        <v>#N/A N/A</v>
        <stp/>
        <stp>BDP|3414866707319652995</stp>
        <tr r="U301" s="1"/>
      </tp>
      <tp t="s">
        <v>#N/A N/A</v>
        <stp/>
        <stp>BDP|8370583501557734169</stp>
        <tr r="U441" s="1"/>
      </tp>
      <tp t="s">
        <v>#N/A N/A</v>
        <stp/>
        <stp>BDP|7413018758359716019</stp>
        <tr r="U175" s="1"/>
      </tp>
      <tp t="s">
        <v>#N/A N/A</v>
        <stp/>
        <stp>BDP|8578774785679993572</stp>
        <tr r="U439" s="1"/>
      </tp>
      <tp t="s">
        <v>#N/A N/A</v>
        <stp/>
        <stp>BDP|4144380386127453326</stp>
        <tr r="U34" s="1"/>
      </tp>
      <tp t="s">
        <v>#N/A N/A</v>
        <stp/>
        <stp>BDP|6124980324941217701</stp>
        <tr r="U165" s="1"/>
      </tp>
      <tp t="s">
        <v>#N/A N/A</v>
        <stp/>
        <stp>BDP|4468949516575310290</stp>
        <tr r="U652" s="1"/>
      </tp>
      <tp t="s">
        <v>#N/A N/A</v>
        <stp/>
        <stp>BDP|5148887042293369141</stp>
        <tr r="U210" s="1"/>
      </tp>
      <tp t="s">
        <v>#N/A N/A</v>
        <stp/>
        <stp>BDP|7516463685786574608</stp>
        <tr r="U447" s="1"/>
      </tp>
      <tp t="s">
        <v>#N/A N/A</v>
        <stp/>
        <stp>BDP|6990781084311561332</stp>
        <tr r="U276" s="1"/>
      </tp>
      <tp t="s">
        <v>#N/A N/A</v>
        <stp/>
        <stp>BDP|9632487414614952304</stp>
        <tr r="U568" s="1"/>
      </tp>
      <tp t="s">
        <v>#N/A N/A</v>
        <stp/>
        <stp>BDP|3821821497361601886</stp>
        <tr r="U621" s="1"/>
      </tp>
      <tp t="s">
        <v>#N/A N/A</v>
        <stp/>
        <stp>BDP|9566246033922113123</stp>
        <tr r="U588" s="1"/>
      </tp>
      <tp t="s">
        <v>#N/A N/A</v>
        <stp/>
        <stp>BDP|1570576756722595800</stp>
        <tr r="U574" s="1"/>
      </tp>
      <tp t="s">
        <v>#N/A N/A</v>
        <stp/>
        <stp>BDP|6737123089461814556</stp>
        <tr r="U628" s="1"/>
      </tp>
      <tp t="s">
        <v>#N/A N/A</v>
        <stp/>
        <stp>BDP|7462840793789353446</stp>
        <tr r="U270" s="1"/>
      </tp>
      <tp t="s">
        <v>#N/A N/A</v>
        <stp/>
        <stp>BDP|4514555792027265452</stp>
        <tr r="U383" s="1"/>
      </tp>
      <tp t="s">
        <v>#N/A N/A</v>
        <stp/>
        <stp>BDP|3141466590260639540</stp>
        <tr r="U168" s="1"/>
      </tp>
      <tp t="s">
        <v>#N/A N/A</v>
        <stp/>
        <stp>BDP|8839556255229779558</stp>
        <tr r="U286" s="1"/>
      </tp>
      <tp t="s">
        <v>#N/A N/A</v>
        <stp/>
        <stp>BDP|9093874018343677735</stp>
        <tr r="U590" s="1"/>
      </tp>
      <tp t="s">
        <v>#N/A N/A</v>
        <stp/>
        <stp>BDP|5536364906594975661</stp>
        <tr r="U577" s="1"/>
      </tp>
      <tp t="s">
        <v>#N/A N/A</v>
        <stp/>
        <stp>BDP|3570682903261072059</stp>
        <tr r="U636" s="1"/>
      </tp>
      <tp t="s">
        <v>#N/A N/A</v>
        <stp/>
        <stp>BDP|3761394457537331619</stp>
        <tr r="U661" s="1"/>
      </tp>
      <tp t="s">
        <v>#N/A N/A</v>
        <stp/>
        <stp>BDP|3474112709607394173</stp>
        <tr r="U623" s="1"/>
      </tp>
      <tp t="s">
        <v>#N/A N/A</v>
        <stp/>
        <stp>BDP|6088864261925842976</stp>
        <tr r="U552" s="1"/>
      </tp>
      <tp t="s">
        <v>#N/A N/A</v>
        <stp/>
        <stp>BDP|3470781516446378778</stp>
        <tr r="U601" s="1"/>
      </tp>
      <tp t="s">
        <v>#N/A N/A</v>
        <stp/>
        <stp>BDP|6352874047498560698</stp>
        <tr r="U279" s="1"/>
      </tp>
      <tp t="s">
        <v>#N/A N/A</v>
        <stp/>
        <stp>BDP|7057209766781926604</stp>
        <tr r="U242" s="1"/>
      </tp>
      <tp t="s">
        <v>#N/A N/A</v>
        <stp/>
        <stp>BDP|5805978241095231902</stp>
        <tr r="U43" s="1"/>
      </tp>
      <tp t="s">
        <v>#N/A N/A</v>
        <stp/>
        <stp>BDP|8869933950806149664</stp>
        <tr r="U152" s="1"/>
      </tp>
      <tp t="s">
        <v>#N/A N/A</v>
        <stp/>
        <stp>BDP|2516173038905820105</stp>
        <tr r="U411" s="1"/>
      </tp>
      <tp t="s">
        <v>#N/A N/A</v>
        <stp/>
        <stp>BDP|3526337655326244729</stp>
        <tr r="U653" s="1"/>
      </tp>
      <tp t="s">
        <v>#N/A N/A</v>
        <stp/>
        <stp>BDP|3194440440392398552</stp>
        <tr r="U113" s="1"/>
      </tp>
      <tp t="s">
        <v>#N/A N/A</v>
        <stp/>
        <stp>BDP|8418215742983377940</stp>
        <tr r="U282" s="1"/>
      </tp>
      <tp t="s">
        <v>#N/A N/A</v>
        <stp/>
        <stp>BDP|3447063916405018343</stp>
        <tr r="U663" s="1"/>
      </tp>
      <tp t="s">
        <v>#N/A N/A</v>
        <stp/>
        <stp>BDP|1278282369843582273</stp>
        <tr r="U509" s="1"/>
      </tp>
      <tp t="s">
        <v>#N/A N/A</v>
        <stp/>
        <stp>BDP|2160007646796758468</stp>
        <tr r="U309" s="1"/>
      </tp>
      <tp t="s">
        <v>#N/A N/A</v>
        <stp/>
        <stp>BDP|2405216147085027547</stp>
        <tr r="U619" s="1"/>
      </tp>
      <tp t="s">
        <v>#N/A N/A</v>
        <stp/>
        <stp>BDP|2130892738288761538</stp>
        <tr r="U533" s="1"/>
      </tp>
      <tp t="s">
        <v>#N/A N/A</v>
        <stp/>
        <stp>BDP|3976406334706025697</stp>
        <tr r="U396" s="1"/>
      </tp>
      <tp t="s">
        <v>#N/A N/A</v>
        <stp/>
        <stp>BDP|2389931510689245770</stp>
        <tr r="U367" s="1"/>
      </tp>
      <tp t="s">
        <v>#N/A N/A</v>
        <stp/>
        <stp>BDP|5123588394318738407</stp>
        <tr r="U158" s="1"/>
      </tp>
      <tp t="s">
        <v>#N/A N/A</v>
        <stp/>
        <stp>BDP|4981433638966847004</stp>
        <tr r="U557" s="1"/>
      </tp>
      <tp t="s">
        <v>#N/A N/A</v>
        <stp/>
        <stp>BDP|5348303452281202786</stp>
        <tr r="U675" s="1"/>
      </tp>
      <tp t="s">
        <v>#N/A N/A</v>
        <stp/>
        <stp>BDP|6141725338477091009</stp>
        <tr r="U231" s="1"/>
      </tp>
      <tp t="s">
        <v>#N/A N/A</v>
        <stp/>
        <stp>BDP|6238102223269011985</stp>
        <tr r="U526" s="1"/>
      </tp>
      <tp t="s">
        <v>#N/A N/A</v>
        <stp/>
        <stp>BDP|2857209494115121920</stp>
        <tr r="U685" s="1"/>
      </tp>
      <tp t="s">
        <v>#N/A N/A</v>
        <stp/>
        <stp>BDP|5661570642614852543</stp>
        <tr r="U691" s="1"/>
      </tp>
      <tp t="s">
        <v>#N/A N/A</v>
        <stp/>
        <stp>BDP|2681292653716450656</stp>
        <tr r="U135" s="1"/>
      </tp>
      <tp t="s">
        <v>#N/A N/A</v>
        <stp/>
        <stp>BDP|8893813110973425705</stp>
        <tr r="U389" s="1"/>
      </tp>
      <tp t="s">
        <v>#N/A N/A</v>
        <stp/>
        <stp>BDP|4861396540035457370</stp>
        <tr r="U342" s="1"/>
      </tp>
      <tp t="s">
        <v>#N/A N/A</v>
        <stp/>
        <stp>BDP|7147561571039254970</stp>
        <tr r="U228" s="1"/>
      </tp>
      <tp t="s">
        <v>#N/A N/A</v>
        <stp/>
        <stp>BDP|4583573572487469453</stp>
        <tr r="U491" s="1"/>
      </tp>
      <tp t="s">
        <v>#N/A N/A</v>
        <stp/>
        <stp>BDP|6144905680423899180</stp>
        <tr r="U474" s="1"/>
      </tp>
      <tp t="s">
        <v>#N/A N/A</v>
        <stp/>
        <stp>BDP|1760555639314351694</stp>
        <tr r="U541" s="1"/>
      </tp>
      <tp t="s">
        <v>#N/A N/A</v>
        <stp/>
        <stp>BDP|3395684567480272685</stp>
        <tr r="U235" s="1"/>
      </tp>
      <tp t="s">
        <v>#N/A N/A</v>
        <stp/>
        <stp>BDP|6650150915830206320</stp>
        <tr r="U41" s="1"/>
      </tp>
      <tp t="s">
        <v>#N/A N/A</v>
        <stp/>
        <stp>BDP|6785661615492124632</stp>
        <tr r="U527" s="1"/>
      </tp>
      <tp t="s">
        <v>#N/A N/A</v>
        <stp/>
        <stp>BDP|4123814292380434001</stp>
        <tr r="U116" s="1"/>
      </tp>
      <tp t="s">
        <v>#N/A N/A</v>
        <stp/>
        <stp>BDP|5314137121160093378</stp>
        <tr r="U96" s="1"/>
      </tp>
      <tp t="s">
        <v>#N/A N/A</v>
        <stp/>
        <stp>BDP|5221731401376480139</stp>
        <tr r="U47" s="1"/>
      </tp>
      <tp t="s">
        <v>#N/A N/A</v>
        <stp/>
        <stp>BDP|6370819015139422349</stp>
        <tr r="U639" s="1"/>
      </tp>
      <tp t="s">
        <v>#N/A N/A</v>
        <stp/>
        <stp>BDP|5783313550801827797</stp>
        <tr r="U405" s="1"/>
      </tp>
      <tp t="s">
        <v>#N/A N/A</v>
        <stp/>
        <stp>BDP|8782574255339710458</stp>
        <tr r="U657" s="1"/>
      </tp>
      <tp t="s">
        <v>#N/A N/A</v>
        <stp/>
        <stp>BDP|3963094433537056260</stp>
        <tr r="U496" s="1"/>
      </tp>
      <tp t="s">
        <v>#N/A N/A</v>
        <stp/>
        <stp>BDP|6953311443616843262</stp>
        <tr r="U303" s="1"/>
      </tp>
      <tp t="s">
        <v>#N/A N/A</v>
        <stp/>
        <stp>BDP|8177199594267747115</stp>
        <tr r="U174" s="1"/>
      </tp>
      <tp t="s">
        <v>#N/A N/A</v>
        <stp/>
        <stp>BDP|5168395463282923480</stp>
        <tr r="U139" s="1"/>
      </tp>
      <tp t="s">
        <v>#N/A N/A</v>
        <stp/>
        <stp>BDP|6199169961872497595</stp>
        <tr r="U21" s="1"/>
      </tp>
      <tp t="s">
        <v>#N/A N/A</v>
        <stp/>
        <stp>BDP|7186133125247834573</stp>
        <tr r="U613" s="1"/>
      </tp>
      <tp t="s">
        <v>#N/A N/A</v>
        <stp/>
        <stp>BDP|8927216747709302142</stp>
        <tr r="U506" s="1"/>
      </tp>
      <tp t="s">
        <v>#N/A N/A</v>
        <stp/>
        <stp>BDP|5199778766641951316</stp>
        <tr r="U183" s="1"/>
      </tp>
      <tp t="s">
        <v>#N/A N/A</v>
        <stp/>
        <stp>BDP|4284061649152855498</stp>
        <tr r="U536" s="1"/>
      </tp>
      <tp t="s">
        <v>#N/A N/A</v>
        <stp/>
        <stp>BDP|9082963457422545192</stp>
        <tr r="U390" s="1"/>
      </tp>
      <tp t="s">
        <v>#N/A N/A</v>
        <stp/>
        <stp>BDP|7352691857634542653</stp>
        <tr r="U108" s="1"/>
      </tp>
      <tp t="s">
        <v>#N/A N/A</v>
        <stp/>
        <stp>BDP|5771283592161452944</stp>
        <tr r="U79" s="1"/>
      </tp>
      <tp t="s">
        <v>#N/A N/A</v>
        <stp/>
        <stp>BDP|7247157405451659176</stp>
        <tr r="U448" s="1"/>
      </tp>
      <tp t="s">
        <v>#N/A N/A</v>
        <stp/>
        <stp>BDP|7675656215336764012</stp>
        <tr r="U701" s="1"/>
      </tp>
      <tp t="s">
        <v>#N/A N/A</v>
        <stp/>
        <stp>BDP|7514267722255517438</stp>
        <tr r="U593" s="1"/>
      </tp>
      <tp t="s">
        <v>#N/A N/A</v>
        <stp/>
        <stp>BDP|2861792676766247220</stp>
        <tr r="U256" s="1"/>
      </tp>
      <tp t="s">
        <v>#N/A N/A</v>
        <stp/>
        <stp>BDP|7660905303438601067</stp>
        <tr r="U319" s="1"/>
      </tp>
      <tp t="s">
        <v>#N/A N/A</v>
        <stp/>
        <stp>BDP|3556840576533419961</stp>
        <tr r="U591" s="1"/>
      </tp>
      <tp t="s">
        <v>#N/A N/A</v>
        <stp/>
        <stp>BDP|9510492671498833402</stp>
        <tr r="U23" s="1"/>
      </tp>
      <tp t="s">
        <v>#N/A N/A</v>
        <stp/>
        <stp>BDP|4924218160060423763</stp>
        <tr r="U457" s="1"/>
      </tp>
      <tp t="s">
        <v>#N/A N/A</v>
        <stp/>
        <stp>BDP|4514151230346231780</stp>
        <tr r="U302" s="1"/>
      </tp>
      <tp t="s">
        <v>#N/A N/A</v>
        <stp/>
        <stp>BDP|4812749498548754580</stp>
        <tr r="U345" s="1"/>
      </tp>
      <tp t="s">
        <v>#N/A N/A</v>
        <stp/>
        <stp>BDP|5918388119467235711</stp>
        <tr r="U77" s="1"/>
      </tp>
      <tp t="s">
        <v>#N/A N/A</v>
        <stp/>
        <stp>BDP|5034218049937982394</stp>
        <tr r="U351" s="1"/>
      </tp>
      <tp t="s">
        <v>#N/A N/A</v>
        <stp/>
        <stp>BDP|2790327219925491212</stp>
        <tr r="U227" s="1"/>
      </tp>
      <tp t="s">
        <v>#N/A N/A</v>
        <stp/>
        <stp>BDP|6164681837161860599</stp>
        <tr r="U519" s="1"/>
      </tp>
      <tp t="s">
        <v>#N/A N/A</v>
        <stp/>
        <stp>BDP|6565582042312581255</stp>
        <tr r="U91" s="1"/>
      </tp>
      <tp t="s">
        <v>#N/A N/A</v>
        <stp/>
        <stp>BDP|4975040579337117390</stp>
        <tr r="U400" s="1"/>
      </tp>
      <tp t="s">
        <v>#N/A N/A</v>
        <stp/>
        <stp>BDP|1088438220520932061</stp>
        <tr r="U599" s="1"/>
      </tp>
      <tp t="s">
        <v>#N/A N/A</v>
        <stp/>
        <stp>BDP|4645668087025391879</stp>
        <tr r="U5" s="1"/>
      </tp>
      <tp t="s">
        <v>#N/A N/A</v>
        <stp/>
        <stp>BDP|1504163285868052750</stp>
        <tr r="U46" s="1"/>
      </tp>
      <tp t="s">
        <v>#N/A N/A</v>
        <stp/>
        <stp>BDP|3011931340948016135</stp>
        <tr r="U695" s="1"/>
      </tp>
      <tp t="s">
        <v>#N/A N/A</v>
        <stp/>
        <stp>BDP|1720921017456470879</stp>
        <tr r="U488" s="1"/>
      </tp>
      <tp t="s">
        <v>#N/A N/A</v>
        <stp/>
        <stp>BDP|6563813720029273272</stp>
        <tr r="U542" s="1"/>
      </tp>
      <tp t="s">
        <v>#N/A N/A</v>
        <stp/>
        <stp>BDP|2801147499139361475</stp>
        <tr r="U368" s="1"/>
      </tp>
      <tp t="s">
        <v>#N/A N/A</v>
        <stp/>
        <stp>BDP|4587156617730450355</stp>
        <tr r="U205" s="1"/>
      </tp>
      <tp t="s">
        <v>#N/A N/A</v>
        <stp/>
        <stp>BDP|5727710690539860584</stp>
        <tr r="U7" s="1"/>
      </tp>
      <tp t="s">
        <v>#N/A N/A</v>
        <stp/>
        <stp>BDP|4335577281989862798</stp>
        <tr r="U459" s="1"/>
      </tp>
      <tp t="s">
        <v>#N/A N/A</v>
        <stp/>
        <stp>BDP|2687490145136973367</stp>
        <tr r="U290" s="1"/>
      </tp>
      <tp t="s">
        <v>#N/A N/A</v>
        <stp/>
        <stp>BDP|5451958288347524495</stp>
        <tr r="U234" s="1"/>
      </tp>
      <tp t="s">
        <v>#N/A N/A</v>
        <stp/>
        <stp>BDP|6072353945194787226</stp>
        <tr r="U186" s="1"/>
      </tp>
      <tp t="s">
        <v>#N/A N/A</v>
        <stp/>
        <stp>BDP|7704185142671843404</stp>
        <tr r="U401" s="1"/>
      </tp>
      <tp t="s">
        <v>#N/A N/A</v>
        <stp/>
        <stp>BDP|2217558097918211175</stp>
        <tr r="U295" s="1"/>
      </tp>
      <tp t="s">
        <v>#N/A N/A</v>
        <stp/>
        <stp>BDP|3805572735922027705</stp>
        <tr r="U59" s="1"/>
      </tp>
      <tp t="s">
        <v>#N/A N/A</v>
        <stp/>
        <stp>BDP|1902895279398505665</stp>
        <tr r="U586" s="1"/>
      </tp>
      <tp t="s">
        <v>#N/A N/A</v>
        <stp/>
        <stp>BDP|3440939639830615939</stp>
        <tr r="U676" s="1"/>
      </tp>
      <tp t="s">
        <v>#N/A N/A</v>
        <stp/>
        <stp>BDP|3650226026395993607</stp>
        <tr r="U177" s="1"/>
      </tp>
      <tp t="s">
        <v>#N/A N/A</v>
        <stp/>
        <stp>BDP|4401729969743190661</stp>
        <tr r="U550" s="1"/>
      </tp>
      <tp t="s">
        <v>#N/A N/A</v>
        <stp/>
        <stp>BDP|3587234139235725717</stp>
        <tr r="U49" s="1"/>
      </tp>
      <tp t="s">
        <v>#N/A N/A</v>
        <stp/>
        <stp>BDP|3562482861505412460</stp>
        <tr r="U443" s="1"/>
      </tp>
      <tp t="s">
        <v>#N/A N/A</v>
        <stp/>
        <stp>BDP|4038066884588853459</stp>
        <tr r="U454" s="1"/>
      </tp>
      <tp t="s">
        <v>#N/A N/A</v>
        <stp/>
        <stp>BDP|9043196634808855381</stp>
        <tr r="U246" s="1"/>
      </tp>
      <tp t="s">
        <v>#N/A N/A</v>
        <stp/>
        <stp>BDP|9327794847388101216</stp>
        <tr r="U585" s="1"/>
      </tp>
      <tp t="s">
        <v>#N/A N/A</v>
        <stp/>
        <stp>BDP|1034645636036773273</stp>
        <tr r="U146" s="1"/>
      </tp>
      <tp t="s">
        <v>#N/A N/A</v>
        <stp/>
        <stp>BDP|6494265490694988981</stp>
        <tr r="U421" s="1"/>
      </tp>
      <tp t="s">
        <v>#N/A N/A</v>
        <stp/>
        <stp>BDP|1723579755151131040</stp>
        <tr r="U433" s="1"/>
      </tp>
      <tp t="s">
        <v>#N/A N/A</v>
        <stp/>
        <stp>BDP|4173399039076145207</stp>
        <tr r="U268" s="1"/>
      </tp>
      <tp t="s">
        <v>#N/A N/A</v>
        <stp/>
        <stp>BDP|4888280741226058400</stp>
        <tr r="U316" s="1"/>
      </tp>
      <tp t="s">
        <v>#N/A N/A</v>
        <stp/>
        <stp>BDP|3292238293850467801</stp>
        <tr r="U27" s="1"/>
      </tp>
      <tp t="s">
        <v>#N/A N/A</v>
        <stp/>
        <stp>BDP|2138446000805932275</stp>
        <tr r="U62" s="1"/>
      </tp>
      <tp t="s">
        <v>#N/A N/A</v>
        <stp/>
        <stp>BDP|7632799346826599375</stp>
        <tr r="U385" s="1"/>
      </tp>
      <tp t="s">
        <v>#N/A N/A</v>
        <stp/>
        <stp>BDP|4078775939824066562</stp>
        <tr r="U292" s="1"/>
      </tp>
      <tp t="s">
        <v>#N/A N/A</v>
        <stp/>
        <stp>BDP|3498783093748669419</stp>
        <tr r="U241" s="1"/>
      </tp>
      <tp t="s">
        <v>#N/A N/A</v>
        <stp/>
        <stp>BDP|7929320757876333661</stp>
        <tr r="U317" s="1"/>
      </tp>
      <tp t="s">
        <v>#N/A N/A</v>
        <stp/>
        <stp>BDP|4262177648519126953</stp>
        <tr r="U540" s="1"/>
      </tp>
      <tp t="s">
        <v>#N/A N/A</v>
        <stp/>
        <stp>BDP|5589034388008863487</stp>
        <tr r="U298" s="1"/>
      </tp>
      <tp t="s">
        <v>#N/A N/A</v>
        <stp/>
        <stp>BDP|7494192049916377594</stp>
        <tr r="U30" s="1"/>
      </tp>
      <tp t="s">
        <v>#N/A N/A</v>
        <stp/>
        <stp>BDP|6152694430077530528</stp>
        <tr r="U508" s="1"/>
      </tp>
      <tp t="s">
        <v>#N/A N/A</v>
        <stp/>
        <stp>BDP|8421206575515758994</stp>
        <tr r="U518" s="1"/>
      </tp>
      <tp t="s">
        <v>#N/A N/A</v>
        <stp/>
        <stp>BDP|8702587881200579447</stp>
        <tr r="U355" s="1"/>
      </tp>
      <tp t="s">
        <v>#N/A N/A</v>
        <stp/>
        <stp>BDP|1809448604825251151</stp>
        <tr r="U648" s="1"/>
      </tp>
      <tp t="s">
        <v>#N/A N/A</v>
        <stp/>
        <stp>BDP|2059612171274585696</stp>
        <tr r="U204" s="1"/>
      </tp>
      <tp t="s">
        <v>#N/A N/A</v>
        <stp/>
        <stp>BDP|2995386285480987816</stp>
        <tr r="U444" s="1"/>
      </tp>
      <tp t="s">
        <v>#N/A N/A</v>
        <stp/>
        <stp>BDP|1812420740353399344</stp>
        <tr r="U24" s="1"/>
      </tp>
      <tp t="s">
        <v>#N/A N/A</v>
        <stp/>
        <stp>BDP|7389500375214279098</stp>
        <tr r="U269" s="1"/>
      </tp>
      <tp t="s">
        <v>#N/A N/A</v>
        <stp/>
        <stp>BDP|9741008181671394159</stp>
        <tr r="U537" s="1"/>
      </tp>
      <tp t="s">
        <v>#N/A N/A</v>
        <stp/>
        <stp>BDP|3100405310324147364</stp>
        <tr r="U446" s="1"/>
      </tp>
      <tp t="s">
        <v>#N/A N/A</v>
        <stp/>
        <stp>BDP|8804128490060482198</stp>
        <tr r="U119" s="1"/>
      </tp>
      <tp t="s">
        <v>#N/A N/A</v>
        <stp/>
        <stp>BDP|1560920095949170945</stp>
        <tr r="U408" s="1"/>
      </tp>
      <tp t="s">
        <v>#N/A N/A</v>
        <stp/>
        <stp>BDP|8299153448219166599</stp>
        <tr r="U311" s="1"/>
      </tp>
      <tp t="s">
        <v>#N/A N/A</v>
        <stp/>
        <stp>BDP|6403084377824935474</stp>
        <tr r="U583" s="1"/>
      </tp>
      <tp t="s">
        <v>#N/A N/A</v>
        <stp/>
        <stp>BDP|5593577993302346986</stp>
        <tr r="U428" s="1"/>
      </tp>
      <tp t="s">
        <v>#N/A N/A</v>
        <stp/>
        <stp>BDP|5494129508747063166</stp>
        <tr r="U278" s="1"/>
      </tp>
      <tp t="s">
        <v>#N/A N/A</v>
        <stp/>
        <stp>BDP|5558958099485196214</stp>
        <tr r="U266" s="1"/>
      </tp>
      <tp t="s">
        <v>#N/A N/A</v>
        <stp/>
        <stp>BDP|3969274502164710724</stp>
        <tr r="U169" s="1"/>
      </tp>
      <tp t="s">
        <v>#N/A N/A</v>
        <stp/>
        <stp>BDP|4150027466531863138</stp>
        <tr r="U381" s="1"/>
      </tp>
      <tp t="s">
        <v>#N/A N/A</v>
        <stp/>
        <stp>BDP|6103839812805963876</stp>
        <tr r="U659" s="1"/>
      </tp>
      <tp t="s">
        <v>#N/A N/A</v>
        <stp/>
        <stp>BDP|4913536930507309764</stp>
        <tr r="U71" s="1"/>
      </tp>
      <tp t="s">
        <v>#N/A N/A</v>
        <stp/>
        <stp>BDP|5926436122698128953</stp>
        <tr r="U419" s="1"/>
      </tp>
      <tp t="s">
        <v>#N/A N/A</v>
        <stp/>
        <stp>BDP|5507290525983204469</stp>
        <tr r="U505" s="1"/>
      </tp>
      <tp t="s">
        <v>#N/A N/A</v>
        <stp/>
        <stp>BDP|2169923102261249818</stp>
        <tr r="U480" s="1"/>
      </tp>
      <tp t="s">
        <v>#N/A N/A</v>
        <stp/>
        <stp>BDP|2375562603293242662</stp>
        <tr r="U26" s="1"/>
      </tp>
      <tp t="s">
        <v>#N/A N/A</v>
        <stp/>
        <stp>BDP|1544178253193506474</stp>
        <tr r="U404" s="1"/>
      </tp>
      <tp t="s">
        <v>#N/A N/A</v>
        <stp/>
        <stp>BDP|3037176915507608678</stp>
        <tr r="U325" s="1"/>
      </tp>
      <tp t="s">
        <v>#N/A N/A</v>
        <stp/>
        <stp>BDP|1108482073654074492</stp>
        <tr r="U253" s="1"/>
      </tp>
      <tp t="s">
        <v>#N/A N/A</v>
        <stp/>
        <stp>BDP|5894092506904665320</stp>
        <tr r="U100" s="1"/>
      </tp>
      <tp t="s">
        <v>#N/A N/A</v>
        <stp/>
        <stp>BDP|3293664356446465475</stp>
        <tr r="U17" s="1"/>
      </tp>
      <tp t="s">
        <v>#N/A N/A</v>
        <stp/>
        <stp>BDP|6112433163812387441</stp>
        <tr r="U565" s="1"/>
      </tp>
      <tp t="s">
        <v>#N/A N/A</v>
        <stp/>
        <stp>BDP|6715685682808840224</stp>
        <tr r="U647" s="1"/>
      </tp>
      <tp t="s">
        <v>#N/A N/A</v>
        <stp/>
        <stp>BDP|5887026868144744513</stp>
        <tr r="U154" s="1"/>
      </tp>
      <tp t="s">
        <v>#N/A N/A</v>
        <stp/>
        <stp>BDP|3136235792889657325</stp>
        <tr r="U393" s="1"/>
      </tp>
      <tp t="s">
        <v>#N/A N/A</v>
        <stp/>
        <stp>BDP|4336325227411210602</stp>
        <tr r="U501" s="1"/>
      </tp>
      <tp t="s">
        <v>#N/A N/A</v>
        <stp/>
        <stp>BDP|2093806866747010928</stp>
        <tr r="U606" s="1"/>
      </tp>
      <tp t="s">
        <v>#N/A N/A</v>
        <stp/>
        <stp>BDP|6616465903918775808</stp>
        <tr r="U678" s="1"/>
      </tp>
      <tp t="s">
        <v>#N/A N/A</v>
        <stp/>
        <stp>BDP|8685999673443129663</stp>
        <tr r="U620" s="1"/>
      </tp>
      <tp t="s">
        <v>#N/A N/A</v>
        <stp/>
        <stp>BDP|5483828999946033177</stp>
        <tr r="U615" s="1"/>
      </tp>
      <tp t="s">
        <v>#N/A N/A</v>
        <stp/>
        <stp>BDP|1279080272577122205</stp>
        <tr r="U487" s="1"/>
      </tp>
      <tp t="s">
        <v>#N/A N/A</v>
        <stp/>
        <stp>BDP|1967284440292857601</stp>
        <tr r="U181" s="1"/>
      </tp>
      <tp t="s">
        <v>#N/A N/A</v>
        <stp/>
        <stp>BDP|7819812438017150890</stp>
        <tr r="U239" s="1"/>
      </tp>
      <tp t="s">
        <v>#N/A N/A</v>
        <stp/>
        <stp>BDP|3421473045317137793</stp>
        <tr r="U321" s="1"/>
      </tp>
      <tp t="s">
        <v>#N/A N/A</v>
        <stp/>
        <stp>BDP|1806975426230163971</stp>
        <tr r="U549" s="1"/>
      </tp>
      <tp t="s">
        <v>#N/A N/A</v>
        <stp/>
        <stp>BDP|2993307074116349321</stp>
        <tr r="U151" s="1"/>
      </tp>
      <tp t="s">
        <v>#N/A N/A</v>
        <stp/>
        <stp>BDP|8138394246595754954</stp>
        <tr r="U366" s="1"/>
      </tp>
      <tp t="s">
        <v>#N/A N/A</v>
        <stp/>
        <stp>BDP|3166999292359045970</stp>
        <tr r="U581" s="1"/>
      </tp>
      <tp t="s">
        <v>#N/A N/A</v>
        <stp/>
        <stp>BDP|5589277769363345152</stp>
        <tr r="U402" s="1"/>
      </tp>
      <tp t="s">
        <v>#N/A N/A</v>
        <stp/>
        <stp>BDP|2379170348757265337</stp>
        <tr r="U679" s="1"/>
      </tp>
      <tp t="s">
        <v>#N/A N/A</v>
        <stp/>
        <stp>BDP|9310870056446852177</stp>
        <tr r="U466" s="1"/>
      </tp>
      <tp t="s">
        <v>#N/A N/A</v>
        <stp/>
        <stp>BDP|4395457976643587760</stp>
        <tr r="U563" s="1"/>
      </tp>
      <tp t="s">
        <v>#N/A N/A</v>
        <stp/>
        <stp>BDP|5316411933419575871</stp>
        <tr r="U288" s="1"/>
      </tp>
      <tp t="s">
        <v>#N/A N/A</v>
        <stp/>
        <stp>BDP|5490304205251237433</stp>
        <tr r="U314" s="1"/>
      </tp>
      <tp t="s">
        <v>#N/A N/A</v>
        <stp/>
        <stp>BDP|5907486881308755273</stp>
        <tr r="U131" s="1"/>
      </tp>
      <tp t="s">
        <v>#N/A N/A</v>
        <stp/>
        <stp>BDP|4409209976326056435</stp>
        <tr r="U199" s="1"/>
      </tp>
      <tp t="s">
        <v>#N/A N/A</v>
        <stp/>
        <stp>BDP|8385842932134717439</stp>
        <tr r="U641" s="1"/>
      </tp>
      <tp t="s">
        <v>#N/A N/A</v>
        <stp/>
        <stp>BDP|2420217634355615518</stp>
        <tr r="U692" s="1"/>
      </tp>
      <tp t="s">
        <v>#N/A N/A</v>
        <stp/>
        <stp>BDP|4521161059247462493</stp>
        <tr r="U161" s="1"/>
      </tp>
      <tp t="s">
        <v>#N/A N/A</v>
        <stp/>
        <stp>BDP|7595444906995193527</stp>
        <tr r="U94" s="1"/>
      </tp>
      <tp t="s">
        <v>#N/A N/A</v>
        <stp/>
        <stp>BDP|7071774679483858723</stp>
        <tr r="U430" s="1"/>
      </tp>
      <tp t="s">
        <v>#N/A N/A</v>
        <stp/>
        <stp>BDP|8093879834244117464</stp>
        <tr r="U437" s="1"/>
      </tp>
      <tp t="s">
        <v>#N/A N/A</v>
        <stp/>
        <stp>BDP|1037636724961024727</stp>
        <tr r="U689" s="1"/>
      </tp>
      <tp t="s">
        <v>#N/A N/A</v>
        <stp/>
        <stp>BDP|7028266994296786903</stp>
        <tr r="U218" s="1"/>
      </tp>
      <tp t="s">
        <v>#N/A N/A</v>
        <stp/>
        <stp>BDP|1617321473181261709</stp>
        <tr r="U14" s="1"/>
      </tp>
      <tp t="s">
        <v>#N/A N/A</v>
        <stp/>
        <stp>BDP|997893732846141856</stp>
        <tr r="U516" s="1"/>
      </tp>
      <tp t="s">
        <v>#N/A N/A</v>
        <stp/>
        <stp>BDP|216582111158378867</stp>
        <tr r="U245" s="1"/>
      </tp>
      <tp t="s">
        <v>#N/A N/A</v>
        <stp/>
        <stp>BDP|164218476630602162</stp>
        <tr r="U178" s="1"/>
      </tp>
      <tp t="s">
        <v>#N/A N/A</v>
        <stp/>
        <stp>BDP|727870440603804858</stp>
        <tr r="U193" s="1"/>
      </tp>
      <tp t="s">
        <v>#N/A N/A</v>
        <stp/>
        <stp>BDP|699175940910950254</stp>
        <tr r="U335" s="1"/>
      </tp>
      <tp t="s">
        <v>#N/A N/A</v>
        <stp/>
        <stp>BDP|441190527476378206</stp>
        <tr r="U65" s="1"/>
      </tp>
      <tp t="s">
        <v>#N/A N/A</v>
        <stp/>
        <stp>BDP|921742175447385086</stp>
        <tr r="U684" s="1"/>
      </tp>
      <tp t="s">
        <v>#N/A N/A</v>
        <stp/>
        <stp>BDP|485957219587716928</stp>
        <tr r="U90" s="1"/>
      </tp>
      <tp t="s">
        <v>#N/A N/A</v>
        <stp/>
        <stp>BDP|904989743723788882</stp>
        <tr r="U144" s="1"/>
      </tp>
      <tp t="s">
        <v>#N/A N/A</v>
        <stp/>
        <stp>BDP|462389980582803891</stp>
        <tr r="U666" s="1"/>
      </tp>
      <tp t="s">
        <v>#N/A N/A</v>
        <stp/>
        <stp>BDP|572917390549959845</stp>
        <tr r="U82" s="1"/>
      </tp>
      <tp t="s">
        <v>#N/A N/A</v>
        <stp/>
        <stp>BDP|734305433461547195</stp>
        <tr r="U395" s="1"/>
      </tp>
      <tp t="s">
        <v>#N/A N/A</v>
        <stp/>
        <stp>BDP|338218563920745428</stp>
        <tr r="U52" s="1"/>
      </tp>
      <tp t="s">
        <v>#N/A N/A</v>
        <stp/>
        <stp>BDP|900020945126483176</stp>
        <tr r="U452" s="1"/>
      </tp>
      <tp t="s">
        <v>#N/A N/A</v>
        <stp/>
        <stp>BDP|188810367154898955</stp>
        <tr r="U698" s="1"/>
      </tp>
      <tp t="s">
        <v>#N/A N/A</v>
        <stp/>
        <stp>BDP|135282486920439871</stp>
        <tr r="U221" s="1"/>
      </tp>
      <tp t="s">
        <v>#N/A N/A</v>
        <stp/>
        <stp>BDP|423893892373254038</stp>
        <tr r="U353" s="1"/>
      </tp>
      <tp t="s">
        <v>#N/A N/A</v>
        <stp/>
        <stp>BDP|870996539179271150</stp>
        <tr r="U361" s="1"/>
      </tp>
      <tp t="s">
        <v>#N/A N/A</v>
        <stp/>
        <stp>BDP|451424964676733619</stp>
        <tr r="U617" s="1"/>
      </tp>
      <tp t="s">
        <v>#N/A N/A</v>
        <stp/>
        <stp>BDP|800306036829184403</stp>
        <tr r="U51" s="1"/>
      </tp>
      <tp t="s">
        <v>#N/A N/A</v>
        <stp/>
        <stp>BDP|326232820579144599</stp>
        <tr r="U85" s="1"/>
      </tp>
      <tp t="s">
        <v>#N/A N/A</v>
        <stp/>
        <stp>BDP|210758993205757731</stp>
        <tr r="U476" s="1"/>
      </tp>
      <tp t="s">
        <v>#N/A N/A</v>
        <stp/>
        <stp>BDP|570011065579253057</stp>
        <tr r="U194" s="1"/>
      </tp>
      <tp t="s">
        <v>#N/A N/A</v>
        <stp/>
        <stp>BDP|310956754774175601</stp>
        <tr r="U223" s="1"/>
      </tp>
      <tp t="s">
        <v>#N/A N/A</v>
        <stp/>
        <stp>BDP|477148462769073795</stp>
        <tr r="U129" s="1"/>
      </tp>
      <tp t="s">
        <v>#N/A N/A</v>
        <stp/>
        <stp>BDP|369443831787753946</stp>
        <tr r="U410" s="1"/>
      </tp>
      <tp t="s">
        <v>#N/A N/A</v>
        <stp/>
        <stp>BDP|620444165123800893</stp>
        <tr r="U224" s="1"/>
      </tp>
      <tp t="s">
        <v>#N/A N/A</v>
        <stp/>
        <stp>BDP|942718460140972835</stp>
        <tr r="U105" s="1"/>
      </tp>
      <tp t="s">
        <v>#N/A N/A</v>
        <stp/>
        <stp>BDP|406944621607339503</stp>
        <tr r="U365" s="1"/>
      </tp>
      <tp t="s">
        <v>#N/A N/A</v>
        <stp/>
        <stp>BDP|511987464917591085</stp>
        <tr r="U631" s="1"/>
      </tp>
      <tp t="s">
        <v>#N/A N/A</v>
        <stp/>
        <stp>BDP|390142797098751819</stp>
        <tr r="U39" s="1"/>
      </tp>
      <tp t="s">
        <v>#N/A N/A</v>
        <stp/>
        <stp>BDP|186544293834760067</stp>
        <tr r="U19" s="1"/>
      </tp>
      <tp t="s">
        <v>#N/A N/A</v>
        <stp/>
        <stp>BDP|569839225966314783</stp>
        <tr r="U258" s="1"/>
      </tp>
      <tp t="s">
        <v>#N/A N/A</v>
        <stp/>
        <stp>BDP|471651985050958546</stp>
        <tr r="U369" s="1"/>
      </tp>
      <tp t="s">
        <v>#N/A N/A</v>
        <stp/>
        <stp>BDP|686727098692966655</stp>
        <tr r="U33" s="1"/>
      </tp>
    </main>
  </volType>
</volTypes>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volatileDependencies" Target="volatileDependencies.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F706"/>
  <sheetViews>
    <sheetView tabSelected="1" workbookViewId="0"/>
  </sheetViews>
  <sheetFormatPr defaultRowHeight="12" x14ac:dyDescent="0.2"/>
  <cols>
    <col min="1" max="1" width="20.140625" style="2" customWidth="1"/>
    <col min="2" max="2" width="23.85546875" style="2" customWidth="1"/>
    <col min="3" max="3" width="15.28515625" style="2" customWidth="1"/>
    <col min="4" max="4" width="25.42578125" style="3" customWidth="1"/>
    <col min="5" max="5" width="27" style="3" customWidth="1"/>
    <col min="6" max="6" width="26.140625" style="3" customWidth="1"/>
    <col min="7" max="7" width="30" style="3" customWidth="1"/>
    <col min="8" max="8" width="26.5703125" style="3" customWidth="1"/>
    <col min="9" max="9" width="27.7109375" style="3" customWidth="1"/>
    <col min="10" max="10" width="26.140625" style="3" customWidth="1"/>
    <col min="11" max="11" width="25.42578125" style="3" customWidth="1"/>
    <col min="12" max="12" width="30.42578125" style="3" customWidth="1"/>
    <col min="13" max="13" width="31.28515625" style="3" customWidth="1"/>
    <col min="14" max="14" width="9.140625" style="3" customWidth="1"/>
    <col min="15" max="15" width="16.42578125" style="3" customWidth="1"/>
    <col min="16" max="16" width="9.140625" style="3" customWidth="1"/>
    <col min="17" max="17" width="16.5703125" style="3" customWidth="1"/>
    <col min="18" max="18" width="9.140625" style="3" customWidth="1"/>
    <col min="19" max="19" width="16.42578125" style="3" customWidth="1"/>
    <col min="20" max="20" width="9.140625" style="3" customWidth="1"/>
    <col min="21" max="21" width="14.7109375" style="3" customWidth="1"/>
    <col min="22" max="22" width="12.85546875" style="3" customWidth="1"/>
    <col min="23" max="23" width="10.5703125" style="3" customWidth="1"/>
    <col min="24" max="24" width="13.28515625" style="3" customWidth="1"/>
    <col min="25" max="25" width="23" style="2" customWidth="1"/>
    <col min="26" max="26" width="51" style="2" customWidth="1"/>
    <col min="27" max="27" width="53" style="2" customWidth="1"/>
    <col min="28" max="28" width="57.85546875" style="3" customWidth="1"/>
    <col min="29" max="29" width="9.28515625" style="3" customWidth="1"/>
    <col min="30" max="30" width="16.5703125" style="3" customWidth="1"/>
    <col min="31" max="31" width="24" style="3" customWidth="1"/>
    <col min="32" max="32" width="25.7109375" style="3" customWidth="1"/>
    <col min="33" max="33" width="9.140625" style="1" customWidth="1"/>
    <col min="34" max="16384" width="9.140625" style="1"/>
  </cols>
  <sheetData>
    <row r="1" spans="1:32" s="4" customFormat="1" ht="12.75" x14ac:dyDescent="0.2">
      <c r="A1" s="5" t="s">
        <v>0</v>
      </c>
      <c r="B1" s="5" t="s">
        <v>1</v>
      </c>
      <c r="C1" s="5" t="s">
        <v>2</v>
      </c>
      <c r="D1" s="6"/>
      <c r="E1" s="6"/>
      <c r="F1" s="6"/>
      <c r="G1" s="6"/>
      <c r="H1" s="6"/>
      <c r="I1" s="6"/>
      <c r="J1" s="6"/>
      <c r="K1" s="6"/>
      <c r="L1" s="6"/>
      <c r="M1" s="6"/>
      <c r="N1" s="6"/>
      <c r="O1" s="6"/>
      <c r="P1" s="6"/>
      <c r="Q1" s="6"/>
      <c r="R1" s="6"/>
      <c r="S1" s="6"/>
      <c r="T1" s="6"/>
      <c r="U1" s="6"/>
      <c r="V1" s="6"/>
      <c r="W1" s="6"/>
      <c r="X1" s="6"/>
      <c r="Y1" s="7"/>
      <c r="Z1" s="7"/>
      <c r="AA1" s="7"/>
      <c r="AB1" s="6"/>
      <c r="AC1" s="6"/>
      <c r="AD1" s="6"/>
      <c r="AE1" s="6"/>
      <c r="AF1" s="6"/>
    </row>
    <row r="2" spans="1:32" s="4" customFormat="1" ht="12.75" x14ac:dyDescent="0.2">
      <c r="A2" s="5" t="s">
        <v>3</v>
      </c>
      <c r="B2" s="7"/>
      <c r="C2" s="7"/>
      <c r="D2" s="6"/>
      <c r="E2" s="6"/>
      <c r="F2" s="6"/>
      <c r="G2" s="6"/>
      <c r="H2" s="6"/>
      <c r="I2" s="6"/>
      <c r="J2" s="6"/>
      <c r="K2" s="6"/>
      <c r="L2" s="6"/>
      <c r="M2" s="6"/>
      <c r="N2" s="6"/>
      <c r="O2" s="6"/>
      <c r="P2" s="6"/>
      <c r="Q2" s="6"/>
      <c r="R2" s="6"/>
      <c r="S2" s="6"/>
      <c r="T2" s="6"/>
      <c r="U2" s="6"/>
      <c r="V2" s="6"/>
      <c r="W2" s="6"/>
      <c r="X2" s="6"/>
      <c r="Y2" s="7"/>
      <c r="Z2" s="7"/>
      <c r="AA2" s="7"/>
      <c r="AB2" s="6"/>
      <c r="AC2" s="6"/>
      <c r="AD2" s="6"/>
      <c r="AE2" s="6"/>
      <c r="AF2" s="6"/>
    </row>
    <row r="3" spans="1:32" ht="12.75" x14ac:dyDescent="0.2">
      <c r="A3" s="8" t="s">
        <v>4</v>
      </c>
      <c r="B3" s="8" t="s">
        <v>5</v>
      </c>
      <c r="C3" s="8" t="s">
        <v>4</v>
      </c>
      <c r="D3" s="8" t="s">
        <v>6</v>
      </c>
      <c r="E3" s="8" t="s">
        <v>7</v>
      </c>
      <c r="F3" s="8" t="s">
        <v>8</v>
      </c>
      <c r="G3" s="8" t="s">
        <v>9</v>
      </c>
      <c r="H3" s="8" t="s">
        <v>10</v>
      </c>
      <c r="I3" s="8" t="s">
        <v>11</v>
      </c>
      <c r="J3" s="8" t="s">
        <v>12</v>
      </c>
      <c r="K3" s="8" t="s">
        <v>13</v>
      </c>
      <c r="L3" s="8" t="s">
        <v>14</v>
      </c>
      <c r="M3" s="8" t="s">
        <v>15</v>
      </c>
      <c r="N3" s="8" t="s">
        <v>16</v>
      </c>
      <c r="O3" s="8" t="s">
        <v>17</v>
      </c>
      <c r="P3" s="8" t="s">
        <v>18</v>
      </c>
      <c r="Q3" s="8" t="s">
        <v>19</v>
      </c>
      <c r="R3" s="8" t="s">
        <v>20</v>
      </c>
      <c r="S3" s="8" t="s">
        <v>21</v>
      </c>
      <c r="T3" s="8" t="s">
        <v>22</v>
      </c>
      <c r="U3" s="8" t="s">
        <v>23</v>
      </c>
      <c r="V3" s="8" t="s">
        <v>24</v>
      </c>
      <c r="W3" s="8" t="s">
        <v>25</v>
      </c>
      <c r="X3" s="8" t="s">
        <v>26</v>
      </c>
      <c r="Y3" s="8" t="s">
        <v>24</v>
      </c>
      <c r="Z3" s="8" t="s">
        <v>27</v>
      </c>
      <c r="AA3" s="8" t="s">
        <v>28</v>
      </c>
      <c r="AB3" s="8" t="s">
        <v>29</v>
      </c>
      <c r="AC3" s="8" t="s">
        <v>30</v>
      </c>
      <c r="AD3" s="8" t="s">
        <v>31</v>
      </c>
      <c r="AE3" s="8" t="s">
        <v>32</v>
      </c>
      <c r="AF3" s="8" t="s">
        <v>33</v>
      </c>
    </row>
    <row r="4" spans="1:32" s="4" customFormat="1" ht="12.75" x14ac:dyDescent="0.2">
      <c r="A4" s="7" t="s">
        <v>34</v>
      </c>
      <c r="B4" s="7"/>
      <c r="C4" s="7"/>
      <c r="D4" s="6"/>
      <c r="E4" s="6"/>
      <c r="F4" s="6"/>
      <c r="G4" s="6"/>
      <c r="H4" s="6"/>
      <c r="I4" s="6"/>
      <c r="J4" s="6"/>
      <c r="K4" s="6"/>
      <c r="L4" s="6"/>
      <c r="M4" s="6"/>
      <c r="N4" s="6"/>
      <c r="O4" s="6"/>
      <c r="P4" s="6"/>
      <c r="Q4" s="6"/>
      <c r="R4" s="6"/>
      <c r="S4" s="6"/>
      <c r="T4" s="6"/>
      <c r="U4" s="6"/>
      <c r="V4" s="6"/>
      <c r="W4" s="6"/>
      <c r="X4" s="6"/>
      <c r="Y4" s="7"/>
      <c r="Z4" s="7"/>
      <c r="AA4" s="7"/>
      <c r="AB4" s="6"/>
      <c r="AC4" s="6"/>
      <c r="AD4" s="6"/>
      <c r="AE4" s="6"/>
      <c r="AF4" s="6"/>
    </row>
    <row r="5" spans="1:32" s="4" customFormat="1" ht="12.75" x14ac:dyDescent="0.2">
      <c r="A5" s="7" t="s">
        <v>35</v>
      </c>
      <c r="B5" s="7" t="s">
        <v>36</v>
      </c>
      <c r="C5" s="7" t="s">
        <v>37</v>
      </c>
      <c r="D5" s="6">
        <v>-0.94036573171615612</v>
      </c>
      <c r="E5" s="6">
        <v>-0.10742028802633301</v>
      </c>
      <c r="F5" s="6">
        <v>0.20956008136272403</v>
      </c>
      <c r="G5" s="6">
        <v>-0.43727594614028903</v>
      </c>
      <c r="H5" s="6">
        <v>9.2204086482525011E-2</v>
      </c>
      <c r="I5" s="6">
        <v>0.43813174962997403</v>
      </c>
      <c r="J5" s="6">
        <v>0.13757559657096902</v>
      </c>
      <c r="K5" s="6">
        <v>0.30672764778137201</v>
      </c>
      <c r="L5" s="6">
        <v>0.12141346931457501</v>
      </c>
      <c r="M5" s="6">
        <v>0.42344143986702004</v>
      </c>
      <c r="N5" s="6"/>
      <c r="O5" s="6"/>
      <c r="P5" s="6"/>
      <c r="Q5" s="6">
        <v>6.2553760219569314</v>
      </c>
      <c r="R5" s="6"/>
      <c r="S5" s="6"/>
      <c r="T5" s="6"/>
      <c r="U5" s="6" t="str">
        <f>_xll.BDP($A5,"TRAILING_12M_R&amp;D_%_SALES",$A$1,$A$2)</f>
        <v>#N/A N/A</v>
      </c>
      <c r="V5" s="6">
        <v>20</v>
      </c>
      <c r="W5" s="6">
        <v>201070</v>
      </c>
      <c r="X5" s="6">
        <v>20107010</v>
      </c>
      <c r="Y5" s="7" t="s">
        <v>38</v>
      </c>
      <c r="Z5" s="7" t="s">
        <v>39</v>
      </c>
      <c r="AA5" s="7" t="s">
        <v>39</v>
      </c>
      <c r="AB5" s="6"/>
      <c r="AC5" s="6">
        <v>1.0197628670163481</v>
      </c>
      <c r="AD5" s="6">
        <v>54.400244979886111</v>
      </c>
      <c r="AE5" s="6"/>
      <c r="AF5" s="6"/>
    </row>
    <row r="6" spans="1:32" s="4" customFormat="1" ht="12.75" x14ac:dyDescent="0.2">
      <c r="A6" s="7" t="s">
        <v>40</v>
      </c>
      <c r="B6" s="7" t="s">
        <v>41</v>
      </c>
      <c r="C6" s="7" t="s">
        <v>42</v>
      </c>
      <c r="D6" s="6">
        <v>0.145074367523193</v>
      </c>
      <c r="E6" s="6">
        <v>-1.284443259239197</v>
      </c>
      <c r="F6" s="6">
        <v>-6.0814011842012003E-2</v>
      </c>
      <c r="G6" s="6">
        <v>-0.95015513896942105</v>
      </c>
      <c r="H6" s="6">
        <v>-0.79326158761978105</v>
      </c>
      <c r="I6" s="6">
        <v>-0.70895904302597001</v>
      </c>
      <c r="J6" s="6">
        <v>8.6207158863544006E-2</v>
      </c>
      <c r="K6" s="6">
        <v>-0.81828677654266402</v>
      </c>
      <c r="L6" s="6">
        <v>0.35655653476715105</v>
      </c>
      <c r="M6" s="6">
        <v>-0.8682420849800111</v>
      </c>
      <c r="N6" s="6">
        <v>3.155299362441911</v>
      </c>
      <c r="O6" s="6"/>
      <c r="P6" s="6">
        <v>2.408133799166948</v>
      </c>
      <c r="Q6" s="6"/>
      <c r="R6" s="6">
        <v>32.742016174190638</v>
      </c>
      <c r="S6" s="6"/>
      <c r="T6" s="6">
        <v>9.7546825408935547</v>
      </c>
      <c r="U6" s="6" t="str">
        <f>_xll.BDP($A6,"TRAILING_12M_R&amp;D_%_SALES",$A$1,$A$2)</f>
        <v>#N/A N/A</v>
      </c>
      <c r="V6" s="6">
        <v>40</v>
      </c>
      <c r="W6" s="6">
        <v>403010</v>
      </c>
      <c r="X6" s="6">
        <v>40301020</v>
      </c>
      <c r="Y6" s="7" t="s">
        <v>43</v>
      </c>
      <c r="Z6" s="7" t="s">
        <v>44</v>
      </c>
      <c r="AA6" s="7" t="s">
        <v>45</v>
      </c>
      <c r="AB6" s="6">
        <v>53.706871032714844</v>
      </c>
      <c r="AC6" s="6">
        <v>0.73115618222438905</v>
      </c>
      <c r="AD6" s="6">
        <v>-20.246323345197116</v>
      </c>
      <c r="AE6" s="6">
        <v>25405</v>
      </c>
      <c r="AF6" s="6"/>
    </row>
    <row r="7" spans="1:32" s="4" customFormat="1" ht="12.75" x14ac:dyDescent="0.2">
      <c r="A7" s="7" t="s">
        <v>46</v>
      </c>
      <c r="B7" s="7" t="s">
        <v>47</v>
      </c>
      <c r="C7" s="7" t="s">
        <v>48</v>
      </c>
      <c r="D7" s="6">
        <v>0.145074367523193</v>
      </c>
      <c r="E7" s="6">
        <v>-1.284443259239197</v>
      </c>
      <c r="F7" s="6">
        <v>-6.0814011842012003E-2</v>
      </c>
      <c r="G7" s="6">
        <v>-0.95015513896942105</v>
      </c>
      <c r="H7" s="6">
        <v>-0.79326158761978105</v>
      </c>
      <c r="I7" s="6">
        <v>-0.70895904302597001</v>
      </c>
      <c r="J7" s="6">
        <v>8.6207158863544006E-2</v>
      </c>
      <c r="K7" s="6">
        <v>-0.81828677654266402</v>
      </c>
      <c r="L7" s="6">
        <v>0.35655653476715105</v>
      </c>
      <c r="M7" s="6">
        <v>-0.8682420849800111</v>
      </c>
      <c r="N7" s="6">
        <v>3.155299362441911</v>
      </c>
      <c r="O7" s="6">
        <v>2.1166026836644942</v>
      </c>
      <c r="P7" s="6">
        <v>2.408133799166948</v>
      </c>
      <c r="Q7" s="6">
        <v>2.119865366416509</v>
      </c>
      <c r="R7" s="6">
        <v>32.742016174190638</v>
      </c>
      <c r="S7" s="6">
        <v>14.074612848959594</v>
      </c>
      <c r="T7" s="6">
        <v>9.7546825408935547</v>
      </c>
      <c r="U7" s="6" t="str">
        <f>_xll.BDP($A7,"TRAILING_12M_R&amp;D_%_SALES",$A$1,$A$2)</f>
        <v>#N/A N/A</v>
      </c>
      <c r="V7" s="6">
        <v>40</v>
      </c>
      <c r="W7" s="6">
        <v>403010</v>
      </c>
      <c r="X7" s="6">
        <v>40301020</v>
      </c>
      <c r="Y7" s="7" t="s">
        <v>43</v>
      </c>
      <c r="Z7" s="7" t="s">
        <v>44</v>
      </c>
      <c r="AA7" s="7" t="s">
        <v>45</v>
      </c>
      <c r="AB7" s="6">
        <v>53.706871032714844</v>
      </c>
      <c r="AC7" s="6">
        <v>0.40763658536069103</v>
      </c>
      <c r="AD7" s="6">
        <v>-17.454514052986127</v>
      </c>
      <c r="AE7" s="6">
        <v>25405</v>
      </c>
      <c r="AF7" s="6"/>
    </row>
    <row r="8" spans="1:32" s="4" customFormat="1" ht="12.75" x14ac:dyDescent="0.2">
      <c r="A8" s="7" t="s">
        <v>49</v>
      </c>
      <c r="B8" s="7" t="s">
        <v>50</v>
      </c>
      <c r="C8" s="7" t="s">
        <v>51</v>
      </c>
      <c r="D8" s="6">
        <v>-0.87278884649276711</v>
      </c>
      <c r="E8" s="6">
        <v>-0.88467562198638905</v>
      </c>
      <c r="F8" s="6">
        <v>-0.96199578046798706</v>
      </c>
      <c r="G8" s="6">
        <v>3.0002281665802002</v>
      </c>
      <c r="H8" s="6">
        <v>2.427836418151855</v>
      </c>
      <c r="I8" s="6">
        <v>-0.61063528060913108</v>
      </c>
      <c r="J8" s="6">
        <v>2.050937414169312</v>
      </c>
      <c r="K8" s="6">
        <v>-0.81296241283416704</v>
      </c>
      <c r="L8" s="6">
        <v>-0.72281217575073209</v>
      </c>
      <c r="M8" s="6">
        <v>0.138501897454262</v>
      </c>
      <c r="N8" s="6">
        <v>0.16948113092021203</v>
      </c>
      <c r="O8" s="6">
        <v>0.16358545937041002</v>
      </c>
      <c r="P8" s="6"/>
      <c r="Q8" s="6"/>
      <c r="R8" s="6">
        <v>4.0437882241986314</v>
      </c>
      <c r="S8" s="6">
        <v>6.7732443048601514</v>
      </c>
      <c r="T8" s="6"/>
      <c r="U8" s="6" t="str">
        <f>_xll.BDP($A8,"TRAILING_12M_R&amp;D_%_SALES",$A$1,$A$2)</f>
        <v>#N/A N/A</v>
      </c>
      <c r="V8" s="6">
        <v>20</v>
      </c>
      <c r="W8" s="6">
        <v>203020</v>
      </c>
      <c r="X8" s="6">
        <v>20302010</v>
      </c>
      <c r="Y8" s="7" t="s">
        <v>38</v>
      </c>
      <c r="Z8" s="7" t="s">
        <v>52</v>
      </c>
      <c r="AA8" s="7" t="s">
        <v>52</v>
      </c>
      <c r="AB8" s="6">
        <v>65.878684997558594</v>
      </c>
      <c r="AC8" s="6">
        <v>1.227147477479104</v>
      </c>
      <c r="AD8" s="6">
        <v>8.1889762005689768</v>
      </c>
      <c r="AE8" s="6">
        <v>129700</v>
      </c>
      <c r="AF8" s="6">
        <v>126600</v>
      </c>
    </row>
    <row r="9" spans="1:32" s="4" customFormat="1" ht="12.75" x14ac:dyDescent="0.2">
      <c r="A9" s="7" t="s">
        <v>53</v>
      </c>
      <c r="B9" s="7" t="s">
        <v>54</v>
      </c>
      <c r="C9" s="7" t="s">
        <v>55</v>
      </c>
      <c r="D9" s="6">
        <v>1.973204493522644</v>
      </c>
      <c r="E9" s="6">
        <v>2.7387597560882568</v>
      </c>
      <c r="F9" s="6">
        <v>0.49558293819427501</v>
      </c>
      <c r="G9" s="6">
        <v>-0.47814890742301902</v>
      </c>
      <c r="H9" s="6">
        <v>8.5497677326202004E-2</v>
      </c>
      <c r="I9" s="6">
        <v>-0.13011200726032301</v>
      </c>
      <c r="J9" s="6">
        <v>-0.37222012877464306</v>
      </c>
      <c r="K9" s="6">
        <v>3.1299702823162003E-2</v>
      </c>
      <c r="L9" s="6">
        <v>-0.47216758131980902</v>
      </c>
      <c r="M9" s="6">
        <v>0.46096253395080605</v>
      </c>
      <c r="N9" s="6">
        <v>7.9143283477588096</v>
      </c>
      <c r="O9" s="6">
        <v>7.4665276450896716</v>
      </c>
      <c r="P9" s="6">
        <v>48.174508634884859</v>
      </c>
      <c r="Q9" s="6">
        <v>40.067431884015654</v>
      </c>
      <c r="R9" s="6">
        <v>31.459150102824829</v>
      </c>
      <c r="S9" s="6">
        <v>28.716614558806949</v>
      </c>
      <c r="T9" s="6">
        <v>171.94950866699219</v>
      </c>
      <c r="U9" s="6">
        <f>_xll.BDP($A9,"TRAILING_12M_R&amp;D_%_SALES",$A$1,$A$2)</f>
        <v>8.0710531635334544</v>
      </c>
      <c r="V9" s="6">
        <v>45</v>
      </c>
      <c r="W9" s="6">
        <v>452020</v>
      </c>
      <c r="X9" s="6">
        <v>45202030</v>
      </c>
      <c r="Y9" s="7" t="s">
        <v>56</v>
      </c>
      <c r="Z9" s="7" t="s">
        <v>57</v>
      </c>
      <c r="AA9" s="7" t="s">
        <v>57</v>
      </c>
      <c r="AB9" s="6">
        <v>57.31817626953125</v>
      </c>
      <c r="AC9" s="6">
        <v>1.07516032648394</v>
      </c>
      <c r="AD9" s="6">
        <v>49.371970199112567</v>
      </c>
      <c r="AE9" s="6">
        <v>161000</v>
      </c>
      <c r="AF9" s="6">
        <v>132000</v>
      </c>
    </row>
    <row r="10" spans="1:32" s="4" customFormat="1" ht="12.75" x14ac:dyDescent="0.2">
      <c r="A10" s="7" t="s">
        <v>58</v>
      </c>
      <c r="B10" s="7" t="s">
        <v>59</v>
      </c>
      <c r="C10" s="7" t="s">
        <v>60</v>
      </c>
      <c r="D10" s="6">
        <v>-0.53021997213363603</v>
      </c>
      <c r="E10" s="6">
        <v>-0.75472986698150601</v>
      </c>
      <c r="F10" s="6">
        <v>2.3457484245300289</v>
      </c>
      <c r="G10" s="6">
        <v>-0.9386295080184941</v>
      </c>
      <c r="H10" s="6">
        <v>0.15940618515014601</v>
      </c>
      <c r="I10" s="6">
        <v>-0.93652850389480602</v>
      </c>
      <c r="J10" s="6">
        <v>1.4324744939804082</v>
      </c>
      <c r="K10" s="6">
        <v>-0.78039258718490601</v>
      </c>
      <c r="L10" s="6">
        <v>1.4839838743209841</v>
      </c>
      <c r="M10" s="6">
        <v>-7.2372905910015009E-2</v>
      </c>
      <c r="N10" s="6">
        <v>0.93427465223076411</v>
      </c>
      <c r="O10" s="6">
        <v>1.022755349936959</v>
      </c>
      <c r="P10" s="6">
        <v>1.1607471072529409</v>
      </c>
      <c r="Q10" s="6">
        <v>1.060936094745206</v>
      </c>
      <c r="R10" s="6">
        <v>14.563396148270863</v>
      </c>
      <c r="S10" s="6">
        <v>10.78774723348341</v>
      </c>
      <c r="T10" s="6">
        <v>7.6042590141296387</v>
      </c>
      <c r="U10" s="6" t="str">
        <f>_xll.BDP($A10,"TRAILING_12M_R&amp;D_%_SALES",$A$1,$A$2)</f>
        <v>#N/A N/A</v>
      </c>
      <c r="V10" s="6">
        <v>15</v>
      </c>
      <c r="W10" s="6">
        <v>151040</v>
      </c>
      <c r="X10" s="6">
        <v>15104020</v>
      </c>
      <c r="Y10" s="7" t="s">
        <v>61</v>
      </c>
      <c r="Z10" s="7" t="s">
        <v>62</v>
      </c>
      <c r="AA10" s="7" t="s">
        <v>63</v>
      </c>
      <c r="AB10" s="6">
        <v>76.8936767578125</v>
      </c>
      <c r="AC10" s="6">
        <v>0.81723351016104706</v>
      </c>
      <c r="AD10" s="6">
        <v>-33.573072826423321</v>
      </c>
      <c r="AE10" s="6">
        <v>62000</v>
      </c>
      <c r="AF10" s="6">
        <v>69000</v>
      </c>
    </row>
    <row r="11" spans="1:32" s="4" customFormat="1" ht="12.75" x14ac:dyDescent="0.2">
      <c r="A11" s="7" t="s">
        <v>64</v>
      </c>
      <c r="B11" s="7" t="s">
        <v>65</v>
      </c>
      <c r="C11" s="7" t="s">
        <v>66</v>
      </c>
      <c r="D11" s="6">
        <v>-0.49882948398590105</v>
      </c>
      <c r="E11" s="6">
        <v>-1.019753575325012</v>
      </c>
      <c r="F11" s="6">
        <v>0.58735036849975608</v>
      </c>
      <c r="G11" s="6">
        <v>-0.68621248006820701</v>
      </c>
      <c r="H11" s="6">
        <v>1.2445815801620479</v>
      </c>
      <c r="I11" s="6">
        <v>0.84257829189300504</v>
      </c>
      <c r="J11" s="6">
        <v>1.0780478715896611</v>
      </c>
      <c r="K11" s="6">
        <v>-1.32029116153717</v>
      </c>
      <c r="L11" s="6">
        <v>3.0000102519989009</v>
      </c>
      <c r="M11" s="6">
        <v>-0.72440743446350109</v>
      </c>
      <c r="N11" s="6">
        <v>0.70339216728140708</v>
      </c>
      <c r="O11" s="6"/>
      <c r="P11" s="6">
        <v>0.5438107311022391</v>
      </c>
      <c r="Q11" s="6"/>
      <c r="R11" s="6">
        <v>4.7733955135614634</v>
      </c>
      <c r="S11" s="6"/>
      <c r="T11" s="6">
        <v>11.829124450683594</v>
      </c>
      <c r="U11" s="6" t="str">
        <f>_xll.BDP($A11,"TRAILING_12M_R&amp;D_%_SALES",$A$1,$A$2)</f>
        <v>#N/A N/A</v>
      </c>
      <c r="V11" s="6">
        <v>40</v>
      </c>
      <c r="W11" s="6">
        <v>401010</v>
      </c>
      <c r="X11" s="6">
        <v>40101010</v>
      </c>
      <c r="Y11" s="7" t="s">
        <v>43</v>
      </c>
      <c r="Z11" s="7" t="s">
        <v>67</v>
      </c>
      <c r="AA11" s="7" t="s">
        <v>68</v>
      </c>
      <c r="AB11" s="6">
        <v>56.503368377685547</v>
      </c>
      <c r="AC11" s="6">
        <v>0.91077455845520905</v>
      </c>
      <c r="AD11" s="6">
        <v>17.507340436538364</v>
      </c>
      <c r="AE11" s="6">
        <v>20038</v>
      </c>
      <c r="AF11" s="6">
        <v>19954</v>
      </c>
    </row>
    <row r="12" spans="1:32" s="4" customFormat="1" ht="12.75" x14ac:dyDescent="0.2">
      <c r="A12" s="7" t="s">
        <v>69</v>
      </c>
      <c r="B12" s="7" t="s">
        <v>70</v>
      </c>
      <c r="C12" s="7" t="s">
        <v>71</v>
      </c>
      <c r="D12" s="6">
        <v>0.49694034457206704</v>
      </c>
      <c r="E12" s="6">
        <v>1.5309532880783081</v>
      </c>
      <c r="F12" s="6">
        <v>0.12499728053808201</v>
      </c>
      <c r="G12" s="6">
        <v>-0.72804296016693104</v>
      </c>
      <c r="H12" s="6">
        <v>0.83953779935836803</v>
      </c>
      <c r="I12" s="6">
        <v>-0.14844037592411002</v>
      </c>
      <c r="J12" s="6">
        <v>6.3431456685066001E-2</v>
      </c>
      <c r="K12" s="6">
        <v>-0.55780172348022505</v>
      </c>
      <c r="L12" s="6">
        <v>1.0946170091629031</v>
      </c>
      <c r="M12" s="6">
        <v>-0.41079735755920405</v>
      </c>
      <c r="N12" s="6">
        <v>4.9766162972247781</v>
      </c>
      <c r="O12" s="6">
        <v>5.1151413774088823</v>
      </c>
      <c r="P12" s="6">
        <v>22.782770246705656</v>
      </c>
      <c r="Q12" s="6">
        <v>18.597456497677804</v>
      </c>
      <c r="R12" s="6">
        <v>18.267769202194383</v>
      </c>
      <c r="S12" s="6">
        <v>13.823277451950494</v>
      </c>
      <c r="T12" s="6">
        <v>46.069496154785156</v>
      </c>
      <c r="U12" s="6">
        <f>_xll.BDP($A12,"TRAILING_12M_R&amp;D_%_SALES",$A$1,$A$2)</f>
        <v>22.705648453864452</v>
      </c>
      <c r="V12" s="6">
        <v>35</v>
      </c>
      <c r="W12" s="6">
        <v>352010</v>
      </c>
      <c r="X12" s="6">
        <v>35201010</v>
      </c>
      <c r="Y12" s="7" t="s">
        <v>72</v>
      </c>
      <c r="Z12" s="7" t="s">
        <v>73</v>
      </c>
      <c r="AA12" s="7" t="s">
        <v>73</v>
      </c>
      <c r="AB12" s="6">
        <v>69.017204284667969</v>
      </c>
      <c r="AC12" s="6">
        <v>0.46857479604101204</v>
      </c>
      <c r="AD12" s="6">
        <v>-0.81027795566378502</v>
      </c>
      <c r="AE12" s="6">
        <v>50000</v>
      </c>
      <c r="AF12" s="6">
        <v>29000</v>
      </c>
    </row>
    <row r="13" spans="1:32" s="4" customFormat="1" ht="12.75" x14ac:dyDescent="0.2">
      <c r="A13" s="7" t="s">
        <v>74</v>
      </c>
      <c r="B13" s="7" t="s">
        <v>75</v>
      </c>
      <c r="C13" s="7" t="s">
        <v>76</v>
      </c>
      <c r="D13" s="6">
        <v>-0.71328681707382202</v>
      </c>
      <c r="E13" s="6">
        <v>0.620752394199371</v>
      </c>
      <c r="F13" s="6">
        <v>-1.495163202285767</v>
      </c>
      <c r="G13" s="6">
        <v>-0.65753567218780506</v>
      </c>
      <c r="H13" s="6">
        <v>1.702380418777466</v>
      </c>
      <c r="I13" s="6">
        <v>-0.20451992750167802</v>
      </c>
      <c r="J13" s="6">
        <v>0.54514628648757901</v>
      </c>
      <c r="K13" s="6">
        <v>-0.80816727876663208</v>
      </c>
      <c r="L13" s="6">
        <v>1.008680462837219</v>
      </c>
      <c r="M13" s="6">
        <v>-0.59300214052200306</v>
      </c>
      <c r="N13" s="6"/>
      <c r="O13" s="6"/>
      <c r="P13" s="6"/>
      <c r="Q13" s="6"/>
      <c r="R13" s="6"/>
      <c r="S13" s="6"/>
      <c r="T13" s="6">
        <v>3.2208049297332759</v>
      </c>
      <c r="U13" s="6">
        <f>_xll.BDP($A13,"TRAILING_12M_R&amp;D_%_SALES",$A$1,$A$2)</f>
        <v>0</v>
      </c>
      <c r="V13" s="6">
        <v>20</v>
      </c>
      <c r="W13" s="6">
        <v>203050</v>
      </c>
      <c r="X13" s="6">
        <v>20305020</v>
      </c>
      <c r="Y13" s="7" t="s">
        <v>38</v>
      </c>
      <c r="Z13" s="7" t="s">
        <v>77</v>
      </c>
      <c r="AA13" s="7" t="s">
        <v>78</v>
      </c>
      <c r="AB13" s="6">
        <v>47.580726623535156</v>
      </c>
      <c r="AC13" s="6"/>
      <c r="AD13" s="6"/>
      <c r="AE13" s="6">
        <v>12647</v>
      </c>
      <c r="AF13" s="6">
        <v>15099</v>
      </c>
    </row>
    <row r="14" spans="1:32" s="4" customFormat="1" ht="12.75" x14ac:dyDescent="0.2">
      <c r="A14" s="7" t="s">
        <v>79</v>
      </c>
      <c r="B14" s="7" t="s">
        <v>80</v>
      </c>
      <c r="C14" s="7" t="s">
        <v>81</v>
      </c>
      <c r="D14" s="6">
        <v>-0.49882948398590105</v>
      </c>
      <c r="E14" s="6">
        <v>-1.019753575325012</v>
      </c>
      <c r="F14" s="6">
        <v>0.58735036849975608</v>
      </c>
      <c r="G14" s="6">
        <v>-0.68621248006820701</v>
      </c>
      <c r="H14" s="6">
        <v>1.2445815801620479</v>
      </c>
      <c r="I14" s="6">
        <v>0.84257829189300504</v>
      </c>
      <c r="J14" s="6">
        <v>1.0780478715896611</v>
      </c>
      <c r="K14" s="6">
        <v>-1.32029116153717</v>
      </c>
      <c r="L14" s="6">
        <v>3.0000102519989009</v>
      </c>
      <c r="M14" s="6">
        <v>-0.72440743446350109</v>
      </c>
      <c r="N14" s="6">
        <v>0.70339216728140708</v>
      </c>
      <c r="O14" s="6">
        <v>1.2749306206248761</v>
      </c>
      <c r="P14" s="6">
        <v>0.5438107311022391</v>
      </c>
      <c r="Q14" s="6">
        <v>0.47528734788804405</v>
      </c>
      <c r="R14" s="6">
        <v>4.7733955135614634</v>
      </c>
      <c r="S14" s="6">
        <v>5.6544169165765812</v>
      </c>
      <c r="T14" s="6">
        <v>11.829124450683594</v>
      </c>
      <c r="U14" s="6" t="str">
        <f>_xll.BDP($A14,"TRAILING_12M_R&amp;D_%_SALES",$A$1,$A$2)</f>
        <v>#N/A N/A</v>
      </c>
      <c r="V14" s="6">
        <v>40</v>
      </c>
      <c r="W14" s="6">
        <v>401010</v>
      </c>
      <c r="X14" s="6">
        <v>40101010</v>
      </c>
      <c r="Y14" s="7" t="s">
        <v>43</v>
      </c>
      <c r="Z14" s="7" t="s">
        <v>67</v>
      </c>
      <c r="AA14" s="7" t="s">
        <v>68</v>
      </c>
      <c r="AB14" s="6">
        <v>56.503368377685547</v>
      </c>
      <c r="AC14" s="6">
        <v>0.36364465940333601</v>
      </c>
      <c r="AD14" s="6">
        <v>20.472725791230452</v>
      </c>
      <c r="AE14" s="6">
        <v>20038</v>
      </c>
      <c r="AF14" s="6">
        <v>19954</v>
      </c>
    </row>
    <row r="15" spans="1:32" s="4" customFormat="1" ht="12.75" x14ac:dyDescent="0.2">
      <c r="A15" s="7" t="s">
        <v>82</v>
      </c>
      <c r="B15" s="7" t="s">
        <v>83</v>
      </c>
      <c r="C15" s="7" t="s">
        <v>84</v>
      </c>
      <c r="D15" s="6">
        <v>-0.81941169500351008</v>
      </c>
      <c r="E15" s="6">
        <v>0.10831782221794101</v>
      </c>
      <c r="F15" s="6">
        <v>-0.54331576824188199</v>
      </c>
      <c r="G15" s="6">
        <v>1.690136194229126</v>
      </c>
      <c r="H15" s="6">
        <v>-0.69783264398574807</v>
      </c>
      <c r="I15" s="6">
        <v>-3.6284219473600006E-2</v>
      </c>
      <c r="J15" s="6">
        <v>-0.44742202758789101</v>
      </c>
      <c r="K15" s="6">
        <v>1.2766178846359251</v>
      </c>
      <c r="L15" s="6">
        <v>-0.72281217575073209</v>
      </c>
      <c r="M15" s="6">
        <v>1.897143483161926</v>
      </c>
      <c r="N15" s="6">
        <v>9.0235842074310515</v>
      </c>
      <c r="O15" s="6">
        <v>8.0427799703848777</v>
      </c>
      <c r="P15" s="6">
        <v>9.6699242023300656</v>
      </c>
      <c r="Q15" s="6">
        <v>7.5246645970911317</v>
      </c>
      <c r="R15" s="6">
        <v>16.481899576285397</v>
      </c>
      <c r="S15" s="6">
        <v>29.302310582684427</v>
      </c>
      <c r="T15" s="6">
        <v>74.47247314453125</v>
      </c>
      <c r="U15" s="6">
        <f>_xll.BDP($A15,"TRAILING_12M_R&amp;D_%_SALES",$A$1,$A$2)</f>
        <v>18.519185732300485</v>
      </c>
      <c r="V15" s="6">
        <v>25</v>
      </c>
      <c r="W15" s="6">
        <v>253010</v>
      </c>
      <c r="X15" s="6">
        <v>25301020</v>
      </c>
      <c r="Y15" s="7" t="s">
        <v>85</v>
      </c>
      <c r="Z15" s="7" t="s">
        <v>86</v>
      </c>
      <c r="AA15" s="7" t="s">
        <v>87</v>
      </c>
      <c r="AB15" s="6">
        <v>42.510814666748047</v>
      </c>
      <c r="AC15" s="6">
        <v>1.4668836694228931</v>
      </c>
      <c r="AD15" s="6">
        <v>59.732481552898165</v>
      </c>
      <c r="AE15" s="6">
        <v>6811</v>
      </c>
      <c r="AF15" s="6"/>
    </row>
    <row r="16" spans="1:32" s="4" customFormat="1" ht="12.75" x14ac:dyDescent="0.2">
      <c r="A16" s="7" t="s">
        <v>88</v>
      </c>
      <c r="B16" s="7" t="s">
        <v>89</v>
      </c>
      <c r="C16" s="7" t="s">
        <v>90</v>
      </c>
      <c r="D16" s="6">
        <v>9.8689742386341012E-2</v>
      </c>
      <c r="E16" s="6">
        <v>-0.45788976550102206</v>
      </c>
      <c r="F16" s="6">
        <v>-0.38896170258522</v>
      </c>
      <c r="G16" s="6">
        <v>-0.78401827812194802</v>
      </c>
      <c r="H16" s="6">
        <v>-0.47790306806564303</v>
      </c>
      <c r="I16" s="6">
        <v>-0.68741047382354703</v>
      </c>
      <c r="J16" s="6">
        <v>-0.19166634976863903</v>
      </c>
      <c r="K16" s="6">
        <v>-0.60018259286880504</v>
      </c>
      <c r="L16" s="6">
        <v>0.24420028924942003</v>
      </c>
      <c r="M16" s="6">
        <v>-0.375825315713882</v>
      </c>
      <c r="N16" s="6">
        <v>4.8031440127620231</v>
      </c>
      <c r="O16" s="6">
        <v>4.5860084692896326</v>
      </c>
      <c r="P16" s="6">
        <v>5.0982620189755021</v>
      </c>
      <c r="Q16" s="6">
        <v>4.9640784520173638</v>
      </c>
      <c r="R16" s="6">
        <v>33.691697643846616</v>
      </c>
      <c r="S16" s="6">
        <v>23.822354797102847</v>
      </c>
      <c r="T16" s="6">
        <v>14.112307548522949</v>
      </c>
      <c r="U16" s="6">
        <f>_xll.BDP($A16,"TRAILING_12M_R&amp;D_%_SALES",$A$1,$A$2)</f>
        <v>6.7794994040524426</v>
      </c>
      <c r="V16" s="6">
        <v>35</v>
      </c>
      <c r="W16" s="6">
        <v>351010</v>
      </c>
      <c r="X16" s="6">
        <v>35101010</v>
      </c>
      <c r="Y16" s="7" t="s">
        <v>72</v>
      </c>
      <c r="Z16" s="7" t="s">
        <v>91</v>
      </c>
      <c r="AA16" s="7" t="s">
        <v>92</v>
      </c>
      <c r="AB16" s="6">
        <v>79.629814147949219</v>
      </c>
      <c r="AC16" s="6">
        <v>0.71805332221649409</v>
      </c>
      <c r="AD16" s="6">
        <v>1.7819663607419272</v>
      </c>
      <c r="AE16" s="6">
        <v>115000</v>
      </c>
      <c r="AF16" s="6">
        <v>99000</v>
      </c>
    </row>
    <row r="17" spans="1:32" s="4" customFormat="1" ht="12.75" x14ac:dyDescent="0.2">
      <c r="A17" s="7" t="s">
        <v>93</v>
      </c>
      <c r="B17" s="7" t="s">
        <v>94</v>
      </c>
      <c r="C17" s="7" t="s">
        <v>95</v>
      </c>
      <c r="D17" s="6">
        <v>1.644736766815186</v>
      </c>
      <c r="E17" s="6">
        <v>-0.99517786502838113</v>
      </c>
      <c r="F17" s="6">
        <v>-1.1074092388153081</v>
      </c>
      <c r="G17" s="6">
        <v>-0.68113476037979104</v>
      </c>
      <c r="H17" s="6">
        <v>0.33964198827743503</v>
      </c>
      <c r="I17" s="6">
        <v>0.15536098182201402</v>
      </c>
      <c r="J17" s="6">
        <v>2.2859597206115723</v>
      </c>
      <c r="K17" s="6">
        <v>-0.64679056406021107</v>
      </c>
      <c r="L17" s="6">
        <v>3.0000102519989009</v>
      </c>
      <c r="M17" s="6">
        <v>-1.0105605125427251</v>
      </c>
      <c r="N17" s="6">
        <v>0.72725298790745907</v>
      </c>
      <c r="O17" s="6">
        <v>1.663559785860913</v>
      </c>
      <c r="P17" s="6">
        <v>0.41007041599382704</v>
      </c>
      <c r="Q17" s="6">
        <v>0.34884974313620304</v>
      </c>
      <c r="R17" s="6">
        <v>3.581334497449673</v>
      </c>
      <c r="S17" s="6">
        <v>3.4289221346631988</v>
      </c>
      <c r="T17" s="6">
        <v>11.140659332275391</v>
      </c>
      <c r="U17" s="6" t="str">
        <f>_xll.BDP($A17,"TRAILING_12M_R&amp;D_%_SALES",$A$1,$A$2)</f>
        <v>#N/A N/A</v>
      </c>
      <c r="V17" s="6">
        <v>40</v>
      </c>
      <c r="W17" s="6">
        <v>401010</v>
      </c>
      <c r="X17" s="6">
        <v>40101010</v>
      </c>
      <c r="Y17" s="7" t="s">
        <v>43</v>
      </c>
      <c r="Z17" s="7" t="s">
        <v>67</v>
      </c>
      <c r="AA17" s="7" t="s">
        <v>68</v>
      </c>
      <c r="AB17" s="6">
        <v>52.127552032470703</v>
      </c>
      <c r="AC17" s="6">
        <v>0.21236272992742203</v>
      </c>
      <c r="AD17" s="6">
        <v>24.461962204336274</v>
      </c>
      <c r="AE17" s="6">
        <v>452258</v>
      </c>
      <c r="AF17" s="6">
        <v>487307</v>
      </c>
    </row>
    <row r="18" spans="1:32" s="4" customFormat="1" ht="12.75" x14ac:dyDescent="0.2">
      <c r="A18" s="7" t="s">
        <v>96</v>
      </c>
      <c r="B18" s="7" t="s">
        <v>97</v>
      </c>
      <c r="C18" s="7" t="s">
        <v>98</v>
      </c>
      <c r="D18" s="6">
        <v>1.644736766815186</v>
      </c>
      <c r="E18" s="6">
        <v>-0.99517786502838113</v>
      </c>
      <c r="F18" s="6">
        <v>-1.1074092388153081</v>
      </c>
      <c r="G18" s="6">
        <v>-0.68113476037979104</v>
      </c>
      <c r="H18" s="6">
        <v>0.33964198827743503</v>
      </c>
      <c r="I18" s="6">
        <v>0.15536098182201402</v>
      </c>
      <c r="J18" s="6">
        <v>2.2859597206115723</v>
      </c>
      <c r="K18" s="6">
        <v>-0.64679056406021107</v>
      </c>
      <c r="L18" s="6">
        <v>3.0000102519989009</v>
      </c>
      <c r="M18" s="6">
        <v>-1.0105605125427251</v>
      </c>
      <c r="N18" s="6">
        <v>0.72725298790745907</v>
      </c>
      <c r="O18" s="6"/>
      <c r="P18" s="6">
        <v>0.41007041599382704</v>
      </c>
      <c r="Q18" s="6"/>
      <c r="R18" s="6">
        <v>3.581334497449673</v>
      </c>
      <c r="S18" s="6"/>
      <c r="T18" s="6">
        <v>11.140659332275391</v>
      </c>
      <c r="U18" s="6" t="str">
        <f>_xll.BDP($A18,"TRAILING_12M_R&amp;D_%_SALES",$A$1,$A$2)</f>
        <v>#N/A N/A</v>
      </c>
      <c r="V18" s="6">
        <v>40</v>
      </c>
      <c r="W18" s="6">
        <v>401010</v>
      </c>
      <c r="X18" s="6">
        <v>40101010</v>
      </c>
      <c r="Y18" s="7" t="s">
        <v>43</v>
      </c>
      <c r="Z18" s="7" t="s">
        <v>67</v>
      </c>
      <c r="AA18" s="7" t="s">
        <v>68</v>
      </c>
      <c r="AB18" s="6">
        <v>52.127552032470703</v>
      </c>
      <c r="AC18" s="6">
        <v>0.66231937499494309</v>
      </c>
      <c r="AD18" s="6">
        <v>22.84513228086924</v>
      </c>
      <c r="AE18" s="6">
        <v>452258</v>
      </c>
      <c r="AF18" s="6">
        <v>487307</v>
      </c>
    </row>
    <row r="19" spans="1:32" s="4" customFormat="1" ht="12.75" x14ac:dyDescent="0.2">
      <c r="A19" s="7" t="s">
        <v>99</v>
      </c>
      <c r="B19" s="7" t="s">
        <v>100</v>
      </c>
      <c r="C19" s="7" t="s">
        <v>101</v>
      </c>
      <c r="D19" s="6">
        <v>-0.84021067619323708</v>
      </c>
      <c r="E19" s="6">
        <v>-0.66062647104263306</v>
      </c>
      <c r="F19" s="6">
        <v>0.39257380366325401</v>
      </c>
      <c r="G19" s="6">
        <v>-0.34750437736511203</v>
      </c>
      <c r="H19" s="6">
        <v>-0.89890521764755205</v>
      </c>
      <c r="I19" s="6">
        <v>1.2382491827011111</v>
      </c>
      <c r="J19" s="6">
        <v>0.6599013209342961</v>
      </c>
      <c r="K19" s="6">
        <v>-0.207626953721046</v>
      </c>
      <c r="L19" s="6">
        <v>-0.72281217575073209</v>
      </c>
      <c r="M19" s="6">
        <v>-0.74190223217010509</v>
      </c>
      <c r="N19" s="6">
        <v>2.1457045743436751</v>
      </c>
      <c r="O19" s="6">
        <v>1.816383986097019</v>
      </c>
      <c r="P19" s="6">
        <v>1.9231129535250981</v>
      </c>
      <c r="Q19" s="6">
        <v>1.5172965929583551</v>
      </c>
      <c r="R19" s="6">
        <v>8.3746669069739728</v>
      </c>
      <c r="S19" s="6">
        <v>9.5816802004041826</v>
      </c>
      <c r="T19" s="6">
        <v>23.082614898681641</v>
      </c>
      <c r="U19" s="6" t="str">
        <f>_xll.BDP($A19,"TRAILING_12M_R&amp;D_%_SALES",$A$1,$A$2)</f>
        <v>#N/A N/A</v>
      </c>
      <c r="V19" s="6">
        <v>40</v>
      </c>
      <c r="W19" s="6">
        <v>403010</v>
      </c>
      <c r="X19" s="6">
        <v>40301040</v>
      </c>
      <c r="Y19" s="7" t="s">
        <v>43</v>
      </c>
      <c r="Z19" s="7" t="s">
        <v>44</v>
      </c>
      <c r="AA19" s="7" t="s">
        <v>102</v>
      </c>
      <c r="AB19" s="6">
        <v>42.098381042480469</v>
      </c>
      <c r="AC19" s="6">
        <v>0.72199800696529304</v>
      </c>
      <c r="AD19" s="6">
        <v>17.683403461866455</v>
      </c>
      <c r="AE19" s="6">
        <v>5800</v>
      </c>
      <c r="AF19" s="6">
        <v>1600</v>
      </c>
    </row>
    <row r="20" spans="1:32" s="4" customFormat="1" ht="12.75" x14ac:dyDescent="0.2">
      <c r="A20" s="7" t="s">
        <v>103</v>
      </c>
      <c r="B20" s="7" t="s">
        <v>104</v>
      </c>
      <c r="C20" s="7" t="s">
        <v>105</v>
      </c>
      <c r="D20" s="6">
        <v>-0.89626127481460605</v>
      </c>
      <c r="E20" s="6">
        <v>-0.12723851203918501</v>
      </c>
      <c r="F20" s="6">
        <v>-1.067906856536865</v>
      </c>
      <c r="G20" s="6">
        <v>-0.14512000977993</v>
      </c>
      <c r="H20" s="6">
        <v>1.828974604606628</v>
      </c>
      <c r="I20" s="6">
        <v>-0.26239055395126304</v>
      </c>
      <c r="J20" s="6">
        <v>1.0995920896530149</v>
      </c>
      <c r="K20" s="6">
        <v>-0.19488351047039001</v>
      </c>
      <c r="L20" s="6">
        <v>0.22424912452697801</v>
      </c>
      <c r="M20" s="6">
        <v>-2.5026509538290001E-3</v>
      </c>
      <c r="N20" s="6">
        <v>0.16244580446885801</v>
      </c>
      <c r="O20" s="6">
        <v>0.16488293658473202</v>
      </c>
      <c r="P20" s="6">
        <v>5.9749585489500214</v>
      </c>
      <c r="Q20" s="6">
        <v>3.1078117065306379</v>
      </c>
      <c r="R20" s="6">
        <v>8.6503663946387785</v>
      </c>
      <c r="S20" s="6">
        <v>8.6958090701064386</v>
      </c>
      <c r="T20" s="6">
        <v>56.481788635253906</v>
      </c>
      <c r="U20" s="6" t="str">
        <f>_xll.BDP($A20,"TRAILING_12M_R&amp;D_%_SALES",$A$1,$A$2)</f>
        <v>#N/A N/A</v>
      </c>
      <c r="V20" s="6">
        <v>30</v>
      </c>
      <c r="W20" s="6">
        <v>301010</v>
      </c>
      <c r="X20" s="6">
        <v>30101030</v>
      </c>
      <c r="Y20" s="7" t="s">
        <v>106</v>
      </c>
      <c r="Z20" s="7" t="s">
        <v>107</v>
      </c>
      <c r="AA20" s="7" t="s">
        <v>108</v>
      </c>
      <c r="AB20" s="6">
        <v>38.326122283935547</v>
      </c>
      <c r="AC20" s="6">
        <v>0.44680704925247505</v>
      </c>
      <c r="AD20" s="6">
        <v>12.115332424097591</v>
      </c>
      <c r="AE20" s="6">
        <v>290000</v>
      </c>
      <c r="AF20" s="6">
        <v>275000</v>
      </c>
    </row>
    <row r="21" spans="1:32" s="4" customFormat="1" ht="12.75" x14ac:dyDescent="0.2">
      <c r="A21" s="7" t="s">
        <v>109</v>
      </c>
      <c r="B21" s="7" t="s">
        <v>110</v>
      </c>
      <c r="C21" s="7" t="s">
        <v>111</v>
      </c>
      <c r="D21" s="6">
        <v>0.157921507954597</v>
      </c>
      <c r="E21" s="6">
        <v>0.31454980373382602</v>
      </c>
      <c r="F21" s="6">
        <v>1.0602510534227E-2</v>
      </c>
      <c r="G21" s="6">
        <v>-0.64044678211212203</v>
      </c>
      <c r="H21" s="6">
        <v>-1.1582175493240361</v>
      </c>
      <c r="I21" s="6">
        <v>-6.0895949602127006E-2</v>
      </c>
      <c r="J21" s="6">
        <v>-0.21542534232139601</v>
      </c>
      <c r="K21" s="6">
        <v>0.27645218372345004</v>
      </c>
      <c r="L21" s="6">
        <v>3.3376749604940005E-2</v>
      </c>
      <c r="M21" s="6">
        <v>-0.10496398061513901</v>
      </c>
      <c r="N21" s="6">
        <v>3.4232187639776899</v>
      </c>
      <c r="O21" s="6">
        <v>3.4640591162156671</v>
      </c>
      <c r="P21" s="6">
        <v>8.2517339468576534</v>
      </c>
      <c r="Q21" s="6">
        <v>7.4167418136390424</v>
      </c>
      <c r="R21" s="6">
        <v>28.658019965745659</v>
      </c>
      <c r="S21" s="6">
        <v>27.841787888709039</v>
      </c>
      <c r="T21" s="6">
        <v>27.713443756103516</v>
      </c>
      <c r="U21" s="6" t="str">
        <f>_xll.BDP($A21,"TRAILING_12M_R&amp;D_%_SALES",$A$1,$A$2)</f>
        <v>#N/A N/A</v>
      </c>
      <c r="V21" s="6">
        <v>45</v>
      </c>
      <c r="W21" s="6">
        <v>451020</v>
      </c>
      <c r="X21" s="6">
        <v>45102010</v>
      </c>
      <c r="Y21" s="7" t="s">
        <v>56</v>
      </c>
      <c r="Z21" s="7" t="s">
        <v>112</v>
      </c>
      <c r="AA21" s="7" t="s">
        <v>113</v>
      </c>
      <c r="AB21" s="6">
        <v>54.471382141113281</v>
      </c>
      <c r="AC21" s="6">
        <v>1.051040241815465</v>
      </c>
      <c r="AD21" s="6">
        <v>32.806467227454462</v>
      </c>
      <c r="AE21" s="6">
        <v>733000</v>
      </c>
      <c r="AF21" s="6">
        <v>459000</v>
      </c>
    </row>
    <row r="22" spans="1:32" s="4" customFormat="1" ht="12.75" x14ac:dyDescent="0.2">
      <c r="A22" s="7" t="s">
        <v>114</v>
      </c>
      <c r="B22" s="7" t="s">
        <v>115</v>
      </c>
      <c r="C22" s="7" t="s">
        <v>116</v>
      </c>
      <c r="D22" s="6">
        <v>-0.21181917190551802</v>
      </c>
      <c r="E22" s="6">
        <v>1.0714173316955571</v>
      </c>
      <c r="F22" s="6">
        <v>0.95281153917312611</v>
      </c>
      <c r="G22" s="6">
        <v>2.9945217072964003E-2</v>
      </c>
      <c r="H22" s="6">
        <v>-0.81645715236663807</v>
      </c>
      <c r="I22" s="6">
        <v>0.82828921079635609</v>
      </c>
      <c r="J22" s="6">
        <v>-0.49530947208404502</v>
      </c>
      <c r="K22" s="6">
        <v>0.24074199795723003</v>
      </c>
      <c r="L22" s="6">
        <v>-0.72281217575073209</v>
      </c>
      <c r="M22" s="6">
        <v>0.14877124130725902</v>
      </c>
      <c r="N22" s="6">
        <v>14.045880589887076</v>
      </c>
      <c r="O22" s="6">
        <v>12.513237028474997</v>
      </c>
      <c r="P22" s="6">
        <v>16.433769258663542</v>
      </c>
      <c r="Q22" s="6">
        <v>12.902830057092238</v>
      </c>
      <c r="R22" s="6">
        <v>49.342226938205165</v>
      </c>
      <c r="S22" s="6">
        <v>32.862031683326883</v>
      </c>
      <c r="T22" s="6">
        <v>35.513103485107422</v>
      </c>
      <c r="U22" s="6">
        <f>_xll.BDP($A22,"TRAILING_12M_R&amp;D_%_SALES",$A$1,$A$2)</f>
        <v>18.339920948616601</v>
      </c>
      <c r="V22" s="6">
        <v>45</v>
      </c>
      <c r="W22" s="6">
        <v>451030</v>
      </c>
      <c r="X22" s="6">
        <v>45103010</v>
      </c>
      <c r="Y22" s="7" t="s">
        <v>56</v>
      </c>
      <c r="Z22" s="7" t="s">
        <v>117</v>
      </c>
      <c r="AA22" s="7" t="s">
        <v>118</v>
      </c>
      <c r="AB22" s="6">
        <v>67.115982055664063</v>
      </c>
      <c r="AC22" s="6">
        <v>1.440943393642274</v>
      </c>
      <c r="AD22" s="6">
        <v>76.728478972856266</v>
      </c>
      <c r="AE22" s="6">
        <v>29945</v>
      </c>
      <c r="AF22" s="6">
        <v>21357</v>
      </c>
    </row>
    <row r="23" spans="1:32" s="4" customFormat="1" ht="12.75" x14ac:dyDescent="0.2">
      <c r="A23" s="7" t="s">
        <v>119</v>
      </c>
      <c r="B23" s="7" t="s">
        <v>120</v>
      </c>
      <c r="C23" s="7" t="s">
        <v>121</v>
      </c>
      <c r="D23" s="6">
        <v>-0.94118481874465909</v>
      </c>
      <c r="E23" s="6">
        <v>-1.466839551925659</v>
      </c>
      <c r="F23" s="6">
        <v>1.623592734336853</v>
      </c>
      <c r="G23" s="6">
        <v>-0.69403237104415905</v>
      </c>
      <c r="H23" s="6">
        <v>0.10608232766389801</v>
      </c>
      <c r="I23" s="6">
        <v>0.21021656692028001</v>
      </c>
      <c r="J23" s="6">
        <v>-0.54648983478546109</v>
      </c>
      <c r="K23" s="6">
        <v>-0.30684718489646901</v>
      </c>
      <c r="L23" s="6">
        <v>-0.52781099081039407</v>
      </c>
      <c r="M23" s="6">
        <v>7.408601790666601E-2</v>
      </c>
      <c r="N23" s="6"/>
      <c r="O23" s="6">
        <v>1.4153591966140151</v>
      </c>
      <c r="P23" s="6">
        <v>6.3197387404334577</v>
      </c>
      <c r="Q23" s="6">
        <v>5.9651693402844108</v>
      </c>
      <c r="R23" s="6"/>
      <c r="S23" s="6">
        <v>40.761681943044216</v>
      </c>
      <c r="T23" s="6">
        <v>-3.6620960235595703</v>
      </c>
      <c r="U23" s="6" t="str">
        <f>_xll.BDP($A23,"TRAILING_12M_R&amp;D_%_SALES",$A$1,$A$2)</f>
        <v>#N/A N/A</v>
      </c>
      <c r="V23" s="6">
        <v>25</v>
      </c>
      <c r="W23" s="6">
        <v>252030</v>
      </c>
      <c r="X23" s="6">
        <v>25203010</v>
      </c>
      <c r="Y23" s="7" t="s">
        <v>85</v>
      </c>
      <c r="Z23" s="7" t="s">
        <v>122</v>
      </c>
      <c r="AA23" s="7" t="s">
        <v>123</v>
      </c>
      <c r="AB23" s="6">
        <v>57.388591766357422</v>
      </c>
      <c r="AC23" s="6">
        <v>1.0391418786217621</v>
      </c>
      <c r="AD23" s="6">
        <v>49.296031933131992</v>
      </c>
      <c r="AE23" s="6">
        <v>59258</v>
      </c>
      <c r="AF23" s="6">
        <v>56888</v>
      </c>
    </row>
    <row r="24" spans="1:32" s="4" customFormat="1" ht="12.75" x14ac:dyDescent="0.2">
      <c r="A24" s="7" t="s">
        <v>124</v>
      </c>
      <c r="B24" s="7" t="s">
        <v>125</v>
      </c>
      <c r="C24" s="7" t="s">
        <v>126</v>
      </c>
      <c r="D24" s="6">
        <v>-0.94118481874465909</v>
      </c>
      <c r="E24" s="6">
        <v>-1.466839551925659</v>
      </c>
      <c r="F24" s="6">
        <v>1.623592734336853</v>
      </c>
      <c r="G24" s="6">
        <v>-0.69403237104415905</v>
      </c>
      <c r="H24" s="6">
        <v>0.10608232766389801</v>
      </c>
      <c r="I24" s="6">
        <v>0.21021656692028001</v>
      </c>
      <c r="J24" s="6">
        <v>-0.54648983478546109</v>
      </c>
      <c r="K24" s="6">
        <v>-0.30684718489646901</v>
      </c>
      <c r="L24" s="6">
        <v>-0.52781099081039407</v>
      </c>
      <c r="M24" s="6">
        <v>7.408601790666601E-2</v>
      </c>
      <c r="N24" s="6"/>
      <c r="O24" s="6">
        <v>1.417276358140797</v>
      </c>
      <c r="P24" s="6">
        <v>6.3197387404334577</v>
      </c>
      <c r="Q24" s="6">
        <v>5.9732496237788508</v>
      </c>
      <c r="R24" s="6"/>
      <c r="S24" s="6">
        <v>40.816987587116799</v>
      </c>
      <c r="T24" s="6">
        <v>-3.6620960235595703</v>
      </c>
      <c r="U24" s="6" t="str">
        <f>_xll.BDP($A24,"TRAILING_12M_R&amp;D_%_SALES",$A$1,$A$2)</f>
        <v>#N/A N/A</v>
      </c>
      <c r="V24" s="6">
        <v>25</v>
      </c>
      <c r="W24" s="6">
        <v>252030</v>
      </c>
      <c r="X24" s="6">
        <v>25203010</v>
      </c>
      <c r="Y24" s="7" t="s">
        <v>85</v>
      </c>
      <c r="Z24" s="7" t="s">
        <v>122</v>
      </c>
      <c r="AA24" s="7" t="s">
        <v>123</v>
      </c>
      <c r="AB24" s="6">
        <v>57.388591766357422</v>
      </c>
      <c r="AC24" s="6">
        <v>1.2160797898903351</v>
      </c>
      <c r="AD24" s="6">
        <v>49.39650891161471</v>
      </c>
      <c r="AE24" s="6">
        <v>59258</v>
      </c>
      <c r="AF24" s="6">
        <v>56888</v>
      </c>
    </row>
    <row r="25" spans="1:32" s="4" customFormat="1" ht="12.75" x14ac:dyDescent="0.2">
      <c r="A25" s="7" t="s">
        <v>127</v>
      </c>
      <c r="B25" s="7" t="s">
        <v>128</v>
      </c>
      <c r="C25" s="7" t="s">
        <v>129</v>
      </c>
      <c r="D25" s="6">
        <v>-0.48841357231140103</v>
      </c>
      <c r="E25" s="6">
        <v>0.200377658009529</v>
      </c>
      <c r="F25" s="6">
        <v>-0.636457860469818</v>
      </c>
      <c r="G25" s="6">
        <v>-1.5797877684236E-2</v>
      </c>
      <c r="H25" s="6">
        <v>-0.80440133810043302</v>
      </c>
      <c r="I25" s="6">
        <v>3.1144466251135001E-2</v>
      </c>
      <c r="J25" s="6">
        <v>-5.2434559911490007E-3</v>
      </c>
      <c r="K25" s="6">
        <v>-0.46940475702285805</v>
      </c>
      <c r="L25" s="6">
        <v>0.17465910315513603</v>
      </c>
      <c r="M25" s="6">
        <v>0.19715781509876301</v>
      </c>
      <c r="N25" s="6">
        <v>8.1075929120551997</v>
      </c>
      <c r="O25" s="6">
        <v>9.6746358096736422</v>
      </c>
      <c r="P25" s="6">
        <v>2.7706277216539461</v>
      </c>
      <c r="Q25" s="6">
        <v>2.8326480653988693</v>
      </c>
      <c r="R25" s="6">
        <v>19.685589072504278</v>
      </c>
      <c r="S25" s="6">
        <v>26.925150601176146</v>
      </c>
      <c r="T25" s="6">
        <v>9.2032718658447266</v>
      </c>
      <c r="U25" s="6">
        <f>_xll.BDP($A25,"TRAILING_12M_R&amp;D_%_SALES",$A$1,$A$2)</f>
        <v>16.056841850718605</v>
      </c>
      <c r="V25" s="6">
        <v>45</v>
      </c>
      <c r="W25" s="6">
        <v>453010</v>
      </c>
      <c r="X25" s="6">
        <v>45301020</v>
      </c>
      <c r="Y25" s="7" t="s">
        <v>56</v>
      </c>
      <c r="Z25" s="7" t="s">
        <v>130</v>
      </c>
      <c r="AA25" s="7" t="s">
        <v>131</v>
      </c>
      <c r="AB25" s="6">
        <v>65.41595458984375</v>
      </c>
      <c r="AC25" s="6">
        <v>1.1674795527562509</v>
      </c>
      <c r="AD25" s="6">
        <v>23.392271234836048</v>
      </c>
      <c r="AE25" s="6">
        <v>26000</v>
      </c>
      <c r="AF25" s="6">
        <v>15800</v>
      </c>
    </row>
    <row r="26" spans="1:32" s="4" customFormat="1" ht="12.75" x14ac:dyDescent="0.2">
      <c r="A26" s="7" t="s">
        <v>132</v>
      </c>
      <c r="B26" s="7" t="s">
        <v>133</v>
      </c>
      <c r="C26" s="7" t="s">
        <v>134</v>
      </c>
      <c r="D26" s="6">
        <v>-0.25904330611228904</v>
      </c>
      <c r="E26" s="6">
        <v>-0.64867460727691706</v>
      </c>
      <c r="F26" s="6">
        <v>7.5382338836790007E-3</v>
      </c>
      <c r="G26" s="6">
        <v>-0.29856759309768705</v>
      </c>
      <c r="H26" s="6">
        <v>-0.356577098369598</v>
      </c>
      <c r="I26" s="6">
        <v>-0.77835798263549805</v>
      </c>
      <c r="J26" s="6">
        <v>0.86409270763397206</v>
      </c>
      <c r="K26" s="6">
        <v>0.158020749688148</v>
      </c>
      <c r="L26" s="6">
        <v>0.38802227377891502</v>
      </c>
      <c r="M26" s="6">
        <v>0.68034118413925204</v>
      </c>
      <c r="N26" s="6">
        <v>0.40704040817819204</v>
      </c>
      <c r="O26" s="6">
        <v>0.40408816705655404</v>
      </c>
      <c r="P26" s="6">
        <v>1.5315403864453621</v>
      </c>
      <c r="Q26" s="6">
        <v>1.546930556185401</v>
      </c>
      <c r="R26" s="6">
        <v>9.3734326013412925</v>
      </c>
      <c r="S26" s="6">
        <v>11.101154083379418</v>
      </c>
      <c r="T26" s="6">
        <v>15.995937347412109</v>
      </c>
      <c r="U26" s="6" t="str">
        <f>_xll.BDP($A26,"TRAILING_12M_R&amp;D_%_SALES",$A$1,$A$2)</f>
        <v>#N/A N/A</v>
      </c>
      <c r="V26" s="6">
        <v>30</v>
      </c>
      <c r="W26" s="6">
        <v>302020</v>
      </c>
      <c r="X26" s="6">
        <v>30202010</v>
      </c>
      <c r="Y26" s="7" t="s">
        <v>106</v>
      </c>
      <c r="Z26" s="7" t="s">
        <v>135</v>
      </c>
      <c r="AA26" s="7" t="s">
        <v>136</v>
      </c>
      <c r="AB26" s="6">
        <v>58.806961059570313</v>
      </c>
      <c r="AC26" s="6">
        <v>0.81587814198746511</v>
      </c>
      <c r="AD26" s="6">
        <v>-20.627725533837371</v>
      </c>
      <c r="AE26" s="6">
        <v>40360</v>
      </c>
      <c r="AF26" s="6">
        <v>31300</v>
      </c>
    </row>
    <row r="27" spans="1:32" s="4" customFormat="1" ht="12.75" x14ac:dyDescent="0.2">
      <c r="A27" s="7" t="s">
        <v>137</v>
      </c>
      <c r="B27" s="7" t="s">
        <v>138</v>
      </c>
      <c r="C27" s="7" t="s">
        <v>139</v>
      </c>
      <c r="D27" s="6">
        <v>-0.35297375917434703</v>
      </c>
      <c r="E27" s="6">
        <v>1.7439233064651489</v>
      </c>
      <c r="F27" s="6">
        <v>-0.19171522557735401</v>
      </c>
      <c r="G27" s="6">
        <v>-0.54578626155853305</v>
      </c>
      <c r="H27" s="6">
        <v>-0.50593864917755105</v>
      </c>
      <c r="I27" s="6">
        <v>-0.39780667424202004</v>
      </c>
      <c r="J27" s="6">
        <v>-0.33646115660667403</v>
      </c>
      <c r="K27" s="6">
        <v>-0.56969732046127308</v>
      </c>
      <c r="L27" s="6">
        <v>0.20637384057045002</v>
      </c>
      <c r="M27" s="6">
        <v>-0.88428348302841209</v>
      </c>
      <c r="N27" s="6">
        <v>5.2555421008102492</v>
      </c>
      <c r="O27" s="6">
        <v>4.8585895105131724</v>
      </c>
      <c r="P27" s="6">
        <v>27.618564118566155</v>
      </c>
      <c r="Q27" s="6">
        <v>18.257225724418053</v>
      </c>
      <c r="R27" s="6">
        <v>27.66727969116069</v>
      </c>
      <c r="S27" s="6">
        <v>24.351335751278274</v>
      </c>
      <c r="T27" s="6">
        <v>115.46129608154297</v>
      </c>
      <c r="U27" s="6">
        <f>_xll.BDP($A27,"TRAILING_12M_R&amp;D_%_SALES",$A$1,$A$2)</f>
        <v>0</v>
      </c>
      <c r="V27" s="6">
        <v>20</v>
      </c>
      <c r="W27" s="6">
        <v>202020</v>
      </c>
      <c r="X27" s="6">
        <v>20202010</v>
      </c>
      <c r="Y27" s="7" t="s">
        <v>38</v>
      </c>
      <c r="Z27" s="7" t="s">
        <v>140</v>
      </c>
      <c r="AA27" s="7" t="s">
        <v>141</v>
      </c>
      <c r="AB27" s="6">
        <v>47.228649139404297</v>
      </c>
      <c r="AC27" s="6">
        <v>0.90855448172114506</v>
      </c>
      <c r="AD27" s="6">
        <v>-0.9723606531369281</v>
      </c>
      <c r="AE27" s="6">
        <v>63000</v>
      </c>
      <c r="AF27" s="6">
        <v>57000</v>
      </c>
    </row>
    <row r="28" spans="1:32" s="4" customFormat="1" ht="12.75" x14ac:dyDescent="0.2">
      <c r="A28" s="7" t="s">
        <v>142</v>
      </c>
      <c r="B28" s="7" t="s">
        <v>143</v>
      </c>
      <c r="C28" s="7" t="s">
        <v>144</v>
      </c>
      <c r="D28" s="6">
        <v>-0.39356687664985701</v>
      </c>
      <c r="E28" s="6">
        <v>-0.78973370790481601</v>
      </c>
      <c r="F28" s="6">
        <v>-4.3716799467802006E-2</v>
      </c>
      <c r="G28" s="6">
        <v>-0.88664263486862205</v>
      </c>
      <c r="H28" s="6">
        <v>0.61553841829299905</v>
      </c>
      <c r="I28" s="6">
        <v>-0.270298302173615</v>
      </c>
      <c r="J28" s="6">
        <v>1.2066670656204219</v>
      </c>
      <c r="K28" s="6">
        <v>-0.55406218767166104</v>
      </c>
      <c r="L28" s="6">
        <v>0.99626111984252907</v>
      </c>
      <c r="M28" s="6">
        <v>-0.49711820483207703</v>
      </c>
      <c r="N28" s="6">
        <v>0.28368410681621703</v>
      </c>
      <c r="O28" s="6">
        <v>0.27291677074125004</v>
      </c>
      <c r="P28" s="6">
        <v>1.6200987309415551</v>
      </c>
      <c r="Q28" s="6">
        <v>1.5265998346335981</v>
      </c>
      <c r="R28" s="6">
        <v>11.346334109626735</v>
      </c>
      <c r="S28" s="6">
        <v>10.132806974637663</v>
      </c>
      <c r="T28" s="6">
        <v>14.258323669433594</v>
      </c>
      <c r="U28" s="6">
        <f>_xll.BDP($A28,"TRAILING_12M_R&amp;D_%_SALES",$A$1,$A$2)</f>
        <v>0</v>
      </c>
      <c r="V28" s="6">
        <v>30</v>
      </c>
      <c r="W28" s="6">
        <v>301010</v>
      </c>
      <c r="X28" s="6">
        <v>30101030</v>
      </c>
      <c r="Y28" s="7" t="s">
        <v>106</v>
      </c>
      <c r="Z28" s="7" t="s">
        <v>107</v>
      </c>
      <c r="AA28" s="7" t="s">
        <v>108</v>
      </c>
      <c r="AB28" s="6">
        <v>54.662509918212891</v>
      </c>
      <c r="AC28" s="6">
        <v>0.54937488838691106</v>
      </c>
      <c r="AD28" s="6">
        <v>2.1464162358256988</v>
      </c>
      <c r="AE28" s="6">
        <v>249000</v>
      </c>
      <c r="AF28" s="6">
        <v>224000</v>
      </c>
    </row>
    <row r="29" spans="1:32" s="4" customFormat="1" ht="12.75" x14ac:dyDescent="0.2">
      <c r="A29" s="7" t="s">
        <v>145</v>
      </c>
      <c r="B29" s="7" t="s">
        <v>146</v>
      </c>
      <c r="C29" s="7" t="s">
        <v>147</v>
      </c>
      <c r="D29" s="6">
        <v>-0.49758422374725303</v>
      </c>
      <c r="E29" s="6">
        <v>-1.6334658861160281</v>
      </c>
      <c r="F29" s="6">
        <v>0.27321982383728</v>
      </c>
      <c r="G29" s="6">
        <v>-0.56427419185638406</v>
      </c>
      <c r="H29" s="6">
        <v>-6.6371552646160001E-2</v>
      </c>
      <c r="I29" s="6">
        <v>-0.10294901579618501</v>
      </c>
      <c r="J29" s="6">
        <v>1.0467408895492549</v>
      </c>
      <c r="K29" s="6">
        <v>-2.1598632335662842</v>
      </c>
      <c r="L29" s="6">
        <v>1.9114996194839482</v>
      </c>
      <c r="M29" s="6">
        <v>-0.52365100383758501</v>
      </c>
      <c r="N29" s="6">
        <v>0.59822925921265402</v>
      </c>
      <c r="O29" s="6">
        <v>1.1270185439076621</v>
      </c>
      <c r="P29" s="6">
        <v>1.246303307322475</v>
      </c>
      <c r="Q29" s="6">
        <v>0.87921872550132008</v>
      </c>
      <c r="R29" s="6"/>
      <c r="S29" s="6">
        <v>7.717103183361397</v>
      </c>
      <c r="T29" s="6">
        <v>-9.6480817794799805</v>
      </c>
      <c r="U29" s="6" t="str">
        <f>_xll.BDP($A29,"TRAILING_12M_R&amp;D_%_SALES",$A$1,$A$2)</f>
        <v>#N/A N/A</v>
      </c>
      <c r="V29" s="6">
        <v>40</v>
      </c>
      <c r="W29" s="6">
        <v>403010</v>
      </c>
      <c r="X29" s="6">
        <v>40301020</v>
      </c>
      <c r="Y29" s="7" t="s">
        <v>43</v>
      </c>
      <c r="Z29" s="7" t="s">
        <v>44</v>
      </c>
      <c r="AA29" s="7" t="s">
        <v>45</v>
      </c>
      <c r="AB29" s="6">
        <v>56.453071594238281</v>
      </c>
      <c r="AC29" s="6">
        <v>1.090343268215342</v>
      </c>
      <c r="AD29" s="6">
        <v>19.84005579495156</v>
      </c>
      <c r="AE29" s="6">
        <v>19087</v>
      </c>
      <c r="AF29" s="6">
        <v>29380</v>
      </c>
    </row>
    <row r="30" spans="1:32" s="4" customFormat="1" ht="12.75" x14ac:dyDescent="0.2">
      <c r="A30" s="7" t="s">
        <v>148</v>
      </c>
      <c r="B30" s="7" t="s">
        <v>149</v>
      </c>
      <c r="C30" s="7" t="s">
        <v>150</v>
      </c>
      <c r="D30" s="6">
        <v>-0.49758422374725303</v>
      </c>
      <c r="E30" s="6">
        <v>-1.6334658861160281</v>
      </c>
      <c r="F30" s="6">
        <v>0.27321982383728</v>
      </c>
      <c r="G30" s="6">
        <v>-0.56427419185638406</v>
      </c>
      <c r="H30" s="6">
        <v>-6.6371552646160001E-2</v>
      </c>
      <c r="I30" s="6">
        <v>-0.10294901579618501</v>
      </c>
      <c r="J30" s="6">
        <v>1.0467408895492549</v>
      </c>
      <c r="K30" s="6">
        <v>-2.1598632335662842</v>
      </c>
      <c r="L30" s="6">
        <v>1.9114996194839482</v>
      </c>
      <c r="M30" s="6">
        <v>-0.52365100383758501</v>
      </c>
      <c r="N30" s="6">
        <v>0.59822925921265402</v>
      </c>
      <c r="O30" s="6">
        <v>1.1360947394254419</v>
      </c>
      <c r="P30" s="6">
        <v>1.246303307322475</v>
      </c>
      <c r="Q30" s="6">
        <v>0.8585205497190681</v>
      </c>
      <c r="R30" s="6"/>
      <c r="S30" s="6">
        <v>7.5354305760953064</v>
      </c>
      <c r="T30" s="6">
        <v>-9.6480817794799805</v>
      </c>
      <c r="U30" s="6" t="str">
        <f>_xll.BDP($A30,"TRAILING_12M_R&amp;D_%_SALES",$A$1,$A$2)</f>
        <v>#N/A N/A</v>
      </c>
      <c r="V30" s="6">
        <v>40</v>
      </c>
      <c r="W30" s="6">
        <v>403010</v>
      </c>
      <c r="X30" s="6">
        <v>40301020</v>
      </c>
      <c r="Y30" s="7" t="s">
        <v>43</v>
      </c>
      <c r="Z30" s="7" t="s">
        <v>44</v>
      </c>
      <c r="AA30" s="7" t="s">
        <v>45</v>
      </c>
      <c r="AB30" s="6">
        <v>56.453071594238281</v>
      </c>
      <c r="AC30" s="6">
        <v>0.33104283428767001</v>
      </c>
      <c r="AD30" s="6">
        <v>24.945777980913086</v>
      </c>
      <c r="AE30" s="6">
        <v>19087</v>
      </c>
      <c r="AF30" s="6">
        <v>29380</v>
      </c>
    </row>
    <row r="31" spans="1:32" s="4" customFormat="1" ht="12.75" x14ac:dyDescent="0.2">
      <c r="A31" s="7" t="s">
        <v>151</v>
      </c>
      <c r="B31" s="7" t="s">
        <v>152</v>
      </c>
      <c r="C31" s="7" t="s">
        <v>153</v>
      </c>
      <c r="D31" s="6">
        <v>-0.48801162838935902</v>
      </c>
      <c r="E31" s="6">
        <v>-0.86538857221603405</v>
      </c>
      <c r="F31" s="6">
        <v>-0.15122795104980502</v>
      </c>
      <c r="G31" s="6">
        <v>-0.20646542310714702</v>
      </c>
      <c r="H31" s="6">
        <v>1.370277523994446</v>
      </c>
      <c r="I31" s="6">
        <v>-1.2379831075668331</v>
      </c>
      <c r="J31" s="6">
        <v>0.40556654334068304</v>
      </c>
      <c r="K31" s="6">
        <v>-0.84200996160507202</v>
      </c>
      <c r="L31" s="6">
        <v>1.3310922384262081</v>
      </c>
      <c r="M31" s="6">
        <v>-0.96465522050857511</v>
      </c>
      <c r="N31" s="6">
        <v>2.1731023049003948</v>
      </c>
      <c r="O31" s="6">
        <v>2.0358587329619402</v>
      </c>
      <c r="P31" s="6">
        <v>1.681798161496838</v>
      </c>
      <c r="Q31" s="6">
        <v>1.5734821413592981</v>
      </c>
      <c r="R31" s="6">
        <v>16.388302582378778</v>
      </c>
      <c r="S31" s="6">
        <v>14.505099714599925</v>
      </c>
      <c r="T31" s="6">
        <v>9.0726490020751953</v>
      </c>
      <c r="U31" s="6" t="str">
        <f>_xll.BDP($A31,"TRAILING_12M_R&amp;D_%_SALES",$A$1,$A$2)</f>
        <v>#N/A N/A</v>
      </c>
      <c r="V31" s="6">
        <v>55</v>
      </c>
      <c r="W31" s="6">
        <v>551010</v>
      </c>
      <c r="X31" s="6">
        <v>55101010</v>
      </c>
      <c r="Y31" s="7" t="s">
        <v>154</v>
      </c>
      <c r="Z31" s="7" t="s">
        <v>155</v>
      </c>
      <c r="AA31" s="7" t="s">
        <v>155</v>
      </c>
      <c r="AB31" s="6">
        <v>72.930290222167969</v>
      </c>
      <c r="AC31" s="6">
        <v>0.72614001599465605</v>
      </c>
      <c r="AD31" s="6">
        <v>-11.955458625797377</v>
      </c>
      <c r="AE31" s="6">
        <v>16974</v>
      </c>
      <c r="AF31" s="6">
        <v>17666</v>
      </c>
    </row>
    <row r="32" spans="1:32" s="4" customFormat="1" ht="12.75" x14ac:dyDescent="0.2">
      <c r="A32" s="7" t="s">
        <v>156</v>
      </c>
      <c r="B32" s="7" t="s">
        <v>157</v>
      </c>
      <c r="C32" s="7" t="s">
        <v>158</v>
      </c>
      <c r="D32" s="6">
        <v>-0.34902086853981001</v>
      </c>
      <c r="E32" s="6">
        <v>-0.57409334182739302</v>
      </c>
      <c r="F32" s="6">
        <v>-0.90429764986038208</v>
      </c>
      <c r="G32" s="6">
        <v>-0.55223709344863903</v>
      </c>
      <c r="H32" s="6">
        <v>-0.649128317832947</v>
      </c>
      <c r="I32" s="6">
        <v>0.28810316324234003</v>
      </c>
      <c r="J32" s="6">
        <v>0.47888091206550604</v>
      </c>
      <c r="K32" s="6">
        <v>-1.3741970062255859</v>
      </c>
      <c r="L32" s="6">
        <v>0.27853050827980003</v>
      </c>
      <c r="M32" s="6">
        <v>-0.99962389469146706</v>
      </c>
      <c r="N32" s="6">
        <v>2.6354289768010859</v>
      </c>
      <c r="O32" s="6">
        <v>2.7246974621707629</v>
      </c>
      <c r="P32" s="6">
        <v>2.1359126264967618</v>
      </c>
      <c r="Q32" s="6">
        <v>1.9376294347138361</v>
      </c>
      <c r="R32" s="6">
        <v>12.031007887778395</v>
      </c>
      <c r="S32" s="6">
        <v>12.946639116418556</v>
      </c>
      <c r="T32" s="6">
        <v>19.593772888183594</v>
      </c>
      <c r="U32" s="6" t="str">
        <f>_xll.BDP($A32,"TRAILING_12M_R&amp;D_%_SALES",$A$1,$A$2)</f>
        <v>#N/A N/A</v>
      </c>
      <c r="V32" s="6">
        <v>40</v>
      </c>
      <c r="W32" s="6">
        <v>403010</v>
      </c>
      <c r="X32" s="6">
        <v>40301020</v>
      </c>
      <c r="Y32" s="7" t="s">
        <v>43</v>
      </c>
      <c r="Z32" s="7" t="s">
        <v>44</v>
      </c>
      <c r="AA32" s="7" t="s">
        <v>45</v>
      </c>
      <c r="AB32" s="6">
        <v>47.7215576171875</v>
      </c>
      <c r="AC32" s="6">
        <v>0.78073242234290807</v>
      </c>
      <c r="AD32" s="6">
        <v>17.154499836837612</v>
      </c>
      <c r="AE32" s="6">
        <v>12882</v>
      </c>
      <c r="AF32" s="6">
        <v>11318</v>
      </c>
    </row>
    <row r="33" spans="1:32" s="4" customFormat="1" ht="12.75" x14ac:dyDescent="0.2">
      <c r="A33" s="7" t="s">
        <v>159</v>
      </c>
      <c r="B33" s="7" t="s">
        <v>160</v>
      </c>
      <c r="C33" s="7" t="s">
        <v>161</v>
      </c>
      <c r="D33" s="6">
        <v>-0.39356687664985701</v>
      </c>
      <c r="E33" s="6">
        <v>-0.78973370790481601</v>
      </c>
      <c r="F33" s="6">
        <v>-4.3716799467802006E-2</v>
      </c>
      <c r="G33" s="6">
        <v>-0.88664263486862205</v>
      </c>
      <c r="H33" s="6">
        <v>0.61553841829299905</v>
      </c>
      <c r="I33" s="6">
        <v>-0.270298302173615</v>
      </c>
      <c r="J33" s="6">
        <v>1.2066670656204219</v>
      </c>
      <c r="K33" s="6">
        <v>-0.55406218767166104</v>
      </c>
      <c r="L33" s="6">
        <v>0.99626111984252907</v>
      </c>
      <c r="M33" s="6">
        <v>-0.49711820483207703</v>
      </c>
      <c r="N33" s="6">
        <v>0.28368410681621703</v>
      </c>
      <c r="O33" s="6">
        <v>0.27445727819805804</v>
      </c>
      <c r="P33" s="6">
        <v>1.6200987309415551</v>
      </c>
      <c r="Q33" s="6">
        <v>1.5352169148771622</v>
      </c>
      <c r="R33" s="6">
        <v>11.346334109626735</v>
      </c>
      <c r="S33" s="6">
        <v>10.190002847984497</v>
      </c>
      <c r="T33" s="6">
        <v>14.258323669433594</v>
      </c>
      <c r="U33" s="6">
        <f>_xll.BDP($A33,"TRAILING_12M_R&amp;D_%_SALES",$A$1,$A$2)</f>
        <v>0</v>
      </c>
      <c r="V33" s="6">
        <v>30</v>
      </c>
      <c r="W33" s="6">
        <v>301010</v>
      </c>
      <c r="X33" s="6">
        <v>30101030</v>
      </c>
      <c r="Y33" s="7" t="s">
        <v>106</v>
      </c>
      <c r="Z33" s="7" t="s">
        <v>107</v>
      </c>
      <c r="AA33" s="7" t="s">
        <v>108</v>
      </c>
      <c r="AB33" s="6">
        <v>54.662509918212891</v>
      </c>
      <c r="AC33" s="6">
        <v>0.28692899781858</v>
      </c>
      <c r="AD33" s="6">
        <v>3.21959600701418</v>
      </c>
      <c r="AE33" s="6">
        <v>249000</v>
      </c>
      <c r="AF33" s="6">
        <v>224000</v>
      </c>
    </row>
    <row r="34" spans="1:32" s="4" customFormat="1" ht="12.75" x14ac:dyDescent="0.2">
      <c r="A34" s="7" t="s">
        <v>162</v>
      </c>
      <c r="B34" s="7" t="s">
        <v>163</v>
      </c>
      <c r="C34" s="7" t="s">
        <v>164</v>
      </c>
      <c r="D34" s="6">
        <v>0.24467253684997603</v>
      </c>
      <c r="E34" s="6">
        <v>-0.9959276318550111</v>
      </c>
      <c r="F34" s="6">
        <v>0.36925113201141402</v>
      </c>
      <c r="G34" s="6">
        <v>-0.22274103760719302</v>
      </c>
      <c r="H34" s="6">
        <v>-9.1058366000652008E-2</v>
      </c>
      <c r="I34" s="6">
        <v>1.7159609124064001E-2</v>
      </c>
      <c r="J34" s="6">
        <v>1.2484909296035771</v>
      </c>
      <c r="K34" s="6">
        <v>-1.3803253173828129</v>
      </c>
      <c r="L34" s="6">
        <v>0.37709364295005804</v>
      </c>
      <c r="M34" s="6">
        <v>-0.99108397960662808</v>
      </c>
      <c r="N34" s="6">
        <v>1.017934299478144</v>
      </c>
      <c r="O34" s="6">
        <v>0.92974290609787302</v>
      </c>
      <c r="P34" s="6">
        <v>1.208969141983959</v>
      </c>
      <c r="Q34" s="6">
        <v>1.055180887242239</v>
      </c>
      <c r="R34" s="6">
        <v>10.807241024746792</v>
      </c>
      <c r="S34" s="6">
        <v>8.9144737960724303</v>
      </c>
      <c r="T34" s="6">
        <v>10.325770378112793</v>
      </c>
      <c r="U34" s="6" t="str">
        <f>_xll.BDP($A34,"TRAILING_12M_R&amp;D_%_SALES",$A$1,$A$2)</f>
        <v>#N/A N/A</v>
      </c>
      <c r="V34" s="6">
        <v>40</v>
      </c>
      <c r="W34" s="6">
        <v>403010</v>
      </c>
      <c r="X34" s="6">
        <v>40301030</v>
      </c>
      <c r="Y34" s="7" t="s">
        <v>43</v>
      </c>
      <c r="Z34" s="7" t="s">
        <v>44</v>
      </c>
      <c r="AA34" s="7" t="s">
        <v>165</v>
      </c>
      <c r="AB34" s="6">
        <v>46.061763763427734</v>
      </c>
      <c r="AC34" s="6">
        <v>0.97983826475588209</v>
      </c>
      <c r="AD34" s="6">
        <v>9.050248045827459</v>
      </c>
      <c r="AE34" s="6">
        <v>26200</v>
      </c>
      <c r="AF34" s="6">
        <v>49800</v>
      </c>
    </row>
    <row r="35" spans="1:32" s="4" customFormat="1" ht="12.75" x14ac:dyDescent="0.2">
      <c r="A35" s="7" t="s">
        <v>166</v>
      </c>
      <c r="B35" s="7" t="s">
        <v>167</v>
      </c>
      <c r="C35" s="7" t="s">
        <v>168</v>
      </c>
      <c r="D35" s="6">
        <v>-0.80542957782745406</v>
      </c>
      <c r="E35" s="6">
        <v>-1.331218838691711</v>
      </c>
      <c r="F35" s="6">
        <v>-3.0219554901123002E-2</v>
      </c>
      <c r="G35" s="6">
        <v>-0.95928454399108909</v>
      </c>
      <c r="H35" s="6">
        <v>-0.20784360170364402</v>
      </c>
      <c r="I35" s="6">
        <v>-0.560813248157501</v>
      </c>
      <c r="J35" s="6">
        <v>1.5637413263320921</v>
      </c>
      <c r="K35" s="6">
        <v>-1.6171391010284419</v>
      </c>
      <c r="L35" s="6">
        <v>2.996119499206543</v>
      </c>
      <c r="M35" s="6">
        <v>-0.92855924367904707</v>
      </c>
      <c r="N35" s="6">
        <v>3.7008182334021873</v>
      </c>
      <c r="O35" s="6">
        <v>0.53965830759409605</v>
      </c>
      <c r="P35" s="6">
        <v>1.2860249486599029</v>
      </c>
      <c r="Q35" s="6">
        <v>1.1994298263950831</v>
      </c>
      <c r="R35" s="6"/>
      <c r="S35" s="6">
        <v>9.0967287948218623</v>
      </c>
      <c r="T35" s="6">
        <v>-4.8423848152160645</v>
      </c>
      <c r="U35" s="6" t="str">
        <f>_xll.BDP($A35,"TRAILING_12M_R&amp;D_%_SALES",$A$1,$A$2)</f>
        <v>#N/A N/A</v>
      </c>
      <c r="V35" s="6">
        <v>40</v>
      </c>
      <c r="W35" s="6">
        <v>403010</v>
      </c>
      <c r="X35" s="6">
        <v>40301030</v>
      </c>
      <c r="Y35" s="7" t="s">
        <v>43</v>
      </c>
      <c r="Z35" s="7" t="s">
        <v>44</v>
      </c>
      <c r="AA35" s="7" t="s">
        <v>165</v>
      </c>
      <c r="AB35" s="6">
        <v>55.648326873779297</v>
      </c>
      <c r="AC35" s="6">
        <v>0.44670404172479805</v>
      </c>
      <c r="AD35" s="6">
        <v>9.8447824443352658</v>
      </c>
      <c r="AE35" s="6">
        <v>24364</v>
      </c>
      <c r="AF35" s="6">
        <v>30021</v>
      </c>
    </row>
    <row r="36" spans="1:32" s="4" customFormat="1" ht="12.75" x14ac:dyDescent="0.2">
      <c r="A36" s="7" t="s">
        <v>169</v>
      </c>
      <c r="B36" s="7" t="s">
        <v>170</v>
      </c>
      <c r="C36" s="7" t="s">
        <v>171</v>
      </c>
      <c r="D36" s="6">
        <v>-0.72478967905044611</v>
      </c>
      <c r="E36" s="6">
        <v>-0.47724190354347201</v>
      </c>
      <c r="F36" s="6">
        <v>-0.71872615814209007</v>
      </c>
      <c r="G36" s="6">
        <v>-0.55407255887985207</v>
      </c>
      <c r="H36" s="6">
        <v>-0.41488257050514205</v>
      </c>
      <c r="I36" s="6">
        <v>0.20976921916008001</v>
      </c>
      <c r="J36" s="6">
        <v>-0.31534007191658003</v>
      </c>
      <c r="K36" s="6">
        <v>0.21098431944847101</v>
      </c>
      <c r="L36" s="6">
        <v>-0.28771996498107905</v>
      </c>
      <c r="M36" s="6">
        <v>-0.88207238912582409</v>
      </c>
      <c r="N36" s="6">
        <v>4.9721301805978229</v>
      </c>
      <c r="O36" s="6">
        <v>4.3081911366067178</v>
      </c>
      <c r="P36" s="6">
        <v>4.6400912418598015</v>
      </c>
      <c r="Q36" s="6">
        <v>3.9039432108865761</v>
      </c>
      <c r="R36" s="6">
        <v>33.368768945635956</v>
      </c>
      <c r="S36" s="6">
        <v>21.941866523193848</v>
      </c>
      <c r="T36" s="6">
        <v>11.94707202911377</v>
      </c>
      <c r="U36" s="6" t="str">
        <f>_xll.BDP($A36,"TRAILING_12M_R&amp;D_%_SALES",$A$1,$A$2)</f>
        <v>#N/A N/A</v>
      </c>
      <c r="V36" s="6">
        <v>40</v>
      </c>
      <c r="W36" s="6">
        <v>403010</v>
      </c>
      <c r="X36" s="6">
        <v>40301010</v>
      </c>
      <c r="Y36" s="7" t="s">
        <v>43</v>
      </c>
      <c r="Z36" s="7" t="s">
        <v>44</v>
      </c>
      <c r="AA36" s="7" t="s">
        <v>172</v>
      </c>
      <c r="AB36" s="6">
        <v>41.977668762207031</v>
      </c>
      <c r="AC36" s="6">
        <v>0.75865504637258607</v>
      </c>
      <c r="AD36" s="6">
        <v>19.469664513477468</v>
      </c>
      <c r="AE36" s="6">
        <v>44000</v>
      </c>
      <c r="AF36" s="6">
        <v>26783</v>
      </c>
    </row>
    <row r="37" spans="1:32" s="4" customFormat="1" ht="12.75" x14ac:dyDescent="0.2">
      <c r="A37" s="7" t="s">
        <v>173</v>
      </c>
      <c r="B37" s="7" t="s">
        <v>174</v>
      </c>
      <c r="C37" s="7" t="s">
        <v>175</v>
      </c>
      <c r="D37" s="6">
        <v>-0.40683192014694203</v>
      </c>
      <c r="E37" s="6">
        <v>-0.58275502920150801</v>
      </c>
      <c r="F37" s="6">
        <v>0.35088020563125605</v>
      </c>
      <c r="G37" s="6">
        <v>-0.21359068155288702</v>
      </c>
      <c r="H37" s="6">
        <v>0.56396120786666903</v>
      </c>
      <c r="I37" s="6">
        <v>-0.65926057100296009</v>
      </c>
      <c r="J37" s="6">
        <v>1.801264882087708</v>
      </c>
      <c r="K37" s="6">
        <v>-0.22936920821666701</v>
      </c>
      <c r="L37" s="6">
        <v>-0.111372791230679</v>
      </c>
      <c r="M37" s="6">
        <v>-0.40611216425895702</v>
      </c>
      <c r="N37" s="6">
        <v>0.69166619810825503</v>
      </c>
      <c r="O37" s="6"/>
      <c r="P37" s="6">
        <v>0.99929062727191609</v>
      </c>
      <c r="Q37" s="6"/>
      <c r="R37" s="6">
        <v>2.5917616737703408</v>
      </c>
      <c r="S37" s="6"/>
      <c r="T37" s="6">
        <v>46.339450836181641</v>
      </c>
      <c r="U37" s="6" t="str">
        <f>_xll.BDP($A37,"TRAILING_12M_R&amp;D_%_SALES",$A$1,$A$2)</f>
        <v>#N/A N/A</v>
      </c>
      <c r="V37" s="6">
        <v>40</v>
      </c>
      <c r="W37" s="6">
        <v>401010</v>
      </c>
      <c r="X37" s="6">
        <v>40101010</v>
      </c>
      <c r="Y37" s="7" t="s">
        <v>43</v>
      </c>
      <c r="Z37" s="7" t="s">
        <v>67</v>
      </c>
      <c r="AA37" s="7" t="s">
        <v>68</v>
      </c>
      <c r="AB37" s="6">
        <v>59.802837371826172</v>
      </c>
      <c r="AC37" s="6"/>
      <c r="AD37" s="6"/>
      <c r="AE37" s="6">
        <v>13247</v>
      </c>
      <c r="AF37" s="6">
        <v>13884</v>
      </c>
    </row>
    <row r="38" spans="1:32" s="4" customFormat="1" ht="12.75" x14ac:dyDescent="0.2">
      <c r="A38" s="7" t="s">
        <v>176</v>
      </c>
      <c r="B38" s="7" t="s">
        <v>177</v>
      </c>
      <c r="C38" s="7" t="s">
        <v>178</v>
      </c>
      <c r="D38" s="6">
        <v>0.84406572580337502</v>
      </c>
      <c r="E38" s="6">
        <v>-0.90739768743515004</v>
      </c>
      <c r="F38" s="6">
        <v>0.43018841743469205</v>
      </c>
      <c r="G38" s="6">
        <v>-0.8676539659500121</v>
      </c>
      <c r="H38" s="6">
        <v>0.18301188945770303</v>
      </c>
      <c r="I38" s="6">
        <v>0.56317025423049905</v>
      </c>
      <c r="J38" s="6">
        <v>1.320780992507935</v>
      </c>
      <c r="K38" s="6">
        <v>-1.0009763240814209</v>
      </c>
      <c r="L38" s="6">
        <v>1.6218571662902832</v>
      </c>
      <c r="M38" s="6">
        <v>-1.066977739334106</v>
      </c>
      <c r="N38" s="6">
        <v>1.0874649095199029</v>
      </c>
      <c r="O38" s="6">
        <v>0.61014640697482903</v>
      </c>
      <c r="P38" s="6">
        <v>1.6970322870371741</v>
      </c>
      <c r="Q38" s="6">
        <v>1.5997885380149359</v>
      </c>
      <c r="R38" s="6">
        <v>13.563345457158265</v>
      </c>
      <c r="S38" s="6">
        <v>9.3787807889107757</v>
      </c>
      <c r="T38" s="6">
        <v>13.598541259765625</v>
      </c>
      <c r="U38" s="6" t="str">
        <f>_xll.BDP($A38,"TRAILING_12M_R&amp;D_%_SALES",$A$1,$A$2)</f>
        <v>#N/A N/A</v>
      </c>
      <c r="V38" s="6">
        <v>40</v>
      </c>
      <c r="W38" s="6">
        <v>403010</v>
      </c>
      <c r="X38" s="6">
        <v>40301030</v>
      </c>
      <c r="Y38" s="7" t="s">
        <v>43</v>
      </c>
      <c r="Z38" s="7" t="s">
        <v>44</v>
      </c>
      <c r="AA38" s="7" t="s">
        <v>165</v>
      </c>
      <c r="AB38" s="6">
        <v>58.475002288818359</v>
      </c>
      <c r="AC38" s="6">
        <v>0.69070785296206205</v>
      </c>
      <c r="AD38" s="6">
        <v>30.414856781995027</v>
      </c>
      <c r="AE38" s="6">
        <v>159253</v>
      </c>
      <c r="AF38" s="6">
        <v>140553</v>
      </c>
    </row>
    <row r="39" spans="1:32" s="4" customFormat="1" ht="12.75" x14ac:dyDescent="0.2">
      <c r="A39" s="7" t="s">
        <v>179</v>
      </c>
      <c r="B39" s="7" t="s">
        <v>180</v>
      </c>
      <c r="C39" s="7" t="s">
        <v>181</v>
      </c>
      <c r="D39" s="6">
        <v>0.84406572580337502</v>
      </c>
      <c r="E39" s="6">
        <v>-0.90739768743515004</v>
      </c>
      <c r="F39" s="6">
        <v>0.43018841743469205</v>
      </c>
      <c r="G39" s="6">
        <v>-0.8676539659500121</v>
      </c>
      <c r="H39" s="6">
        <v>0.18301188945770303</v>
      </c>
      <c r="I39" s="6">
        <v>0.56317025423049905</v>
      </c>
      <c r="J39" s="6">
        <v>1.320780992507935</v>
      </c>
      <c r="K39" s="6">
        <v>-1.0009763240814209</v>
      </c>
      <c r="L39" s="6">
        <v>1.6218571662902832</v>
      </c>
      <c r="M39" s="6">
        <v>-1.066977739334106</v>
      </c>
      <c r="N39" s="6">
        <v>1.0874649095199029</v>
      </c>
      <c r="O39" s="6">
        <v>1.3897823438688079</v>
      </c>
      <c r="P39" s="6">
        <v>1.6970322870371741</v>
      </c>
      <c r="Q39" s="6"/>
      <c r="R39" s="6">
        <v>13.563345457158265</v>
      </c>
      <c r="S39" s="6">
        <v>9.534894726887746</v>
      </c>
      <c r="T39" s="6">
        <v>13.598541259765625</v>
      </c>
      <c r="U39" s="6" t="str">
        <f>_xll.BDP($A39,"TRAILING_12M_R&amp;D_%_SALES",$A$1,$A$2)</f>
        <v>#N/A N/A</v>
      </c>
      <c r="V39" s="6">
        <v>40</v>
      </c>
      <c r="W39" s="6">
        <v>403010</v>
      </c>
      <c r="X39" s="6">
        <v>40301030</v>
      </c>
      <c r="Y39" s="7" t="s">
        <v>43</v>
      </c>
      <c r="Z39" s="7" t="s">
        <v>44</v>
      </c>
      <c r="AA39" s="7" t="s">
        <v>165</v>
      </c>
      <c r="AB39" s="6">
        <v>58.475002288818359</v>
      </c>
      <c r="AC39" s="6">
        <v>0.80914567633442502</v>
      </c>
      <c r="AD39" s="6">
        <v>29.62285168019023</v>
      </c>
      <c r="AE39" s="6">
        <v>159253</v>
      </c>
      <c r="AF39" s="6">
        <v>140553</v>
      </c>
    </row>
    <row r="40" spans="1:32" s="4" customFormat="1" ht="12.75" x14ac:dyDescent="0.2">
      <c r="A40" s="7" t="s">
        <v>182</v>
      </c>
      <c r="B40" s="7" t="s">
        <v>183</v>
      </c>
      <c r="C40" s="7" t="s">
        <v>184</v>
      </c>
      <c r="D40" s="6">
        <v>-0.33038625121116605</v>
      </c>
      <c r="E40" s="6">
        <v>-1.9301469326019292</v>
      </c>
      <c r="F40" s="6">
        <v>-0.66329377889633201</v>
      </c>
      <c r="G40" s="6">
        <v>2.0938038825989002E-2</v>
      </c>
      <c r="H40" s="6">
        <v>-0.30524978041648904</v>
      </c>
      <c r="I40" s="6">
        <v>-0.713731169700623</v>
      </c>
      <c r="J40" s="6">
        <v>0.11663748323917401</v>
      </c>
      <c r="K40" s="6">
        <v>-0.27838426828384399</v>
      </c>
      <c r="L40" s="6">
        <v>0.72548204660415605</v>
      </c>
      <c r="M40" s="6">
        <v>-0.72986084222793601</v>
      </c>
      <c r="N40" s="6">
        <v>0.65860184619290107</v>
      </c>
      <c r="O40" s="6">
        <v>0.62154418190884808</v>
      </c>
      <c r="P40" s="6">
        <v>2.9239223853205449</v>
      </c>
      <c r="Q40" s="6">
        <v>2.451754774251298</v>
      </c>
      <c r="R40" s="6"/>
      <c r="S40" s="6">
        <v>11.89537331483514</v>
      </c>
      <c r="T40" s="6">
        <v>-14.749387741088867</v>
      </c>
      <c r="U40" s="6" t="str">
        <f>_xll.BDP($A40,"TRAILING_12M_R&amp;D_%_SALES",$A$1,$A$2)</f>
        <v>#N/A N/A</v>
      </c>
      <c r="V40" s="6">
        <v>40</v>
      </c>
      <c r="W40" s="6">
        <v>403010</v>
      </c>
      <c r="X40" s="6">
        <v>40301040</v>
      </c>
      <c r="Y40" s="7" t="s">
        <v>43</v>
      </c>
      <c r="Z40" s="7" t="s">
        <v>44</v>
      </c>
      <c r="AA40" s="7" t="s">
        <v>102</v>
      </c>
      <c r="AB40" s="6">
        <v>56.221706390380859</v>
      </c>
      <c r="AC40" s="6">
        <v>0.79860731923677408</v>
      </c>
      <c r="AD40" s="6">
        <v>5.6980708898521915</v>
      </c>
      <c r="AE40" s="6">
        <v>54000</v>
      </c>
      <c r="AF40" s="6">
        <v>42460</v>
      </c>
    </row>
    <row r="41" spans="1:32" s="4" customFormat="1" ht="12.75" x14ac:dyDescent="0.2">
      <c r="A41" s="7" t="s">
        <v>185</v>
      </c>
      <c r="B41" s="7" t="s">
        <v>186</v>
      </c>
      <c r="C41" s="7" t="s">
        <v>187</v>
      </c>
      <c r="D41" s="6">
        <v>-0.89835214614868208</v>
      </c>
      <c r="E41" s="6">
        <v>-0.43995875120163003</v>
      </c>
      <c r="F41" s="6">
        <v>0.45236915349960305</v>
      </c>
      <c r="G41" s="6">
        <v>1.6275961399078369</v>
      </c>
      <c r="H41" s="6">
        <v>1.097020626068115</v>
      </c>
      <c r="I41" s="6">
        <v>-0.68148493766784701</v>
      </c>
      <c r="J41" s="6">
        <v>2.8274300098419189</v>
      </c>
      <c r="K41" s="6">
        <v>-0.85990101099014304</v>
      </c>
      <c r="L41" s="6">
        <v>1.465790987014771</v>
      </c>
      <c r="M41" s="6">
        <v>-1.038317203521729</v>
      </c>
      <c r="N41" s="6">
        <v>0.68701521985580805</v>
      </c>
      <c r="O41" s="6">
        <v>1.2453662143678059</v>
      </c>
      <c r="P41" s="6">
        <v>1.003038788297822</v>
      </c>
      <c r="Q41" s="6">
        <v>0.86761854411391404</v>
      </c>
      <c r="R41" s="6">
        <v>11.482962190077465</v>
      </c>
      <c r="S41" s="6">
        <v>9.5383769575510087</v>
      </c>
      <c r="T41" s="6">
        <v>10.79035472869873</v>
      </c>
      <c r="U41" s="6" t="str">
        <f>_xll.BDP($A41,"TRAILING_12M_R&amp;D_%_SALES",$A$1,$A$2)</f>
        <v>#N/A N/A</v>
      </c>
      <c r="V41" s="6">
        <v>40</v>
      </c>
      <c r="W41" s="6">
        <v>402020</v>
      </c>
      <c r="X41" s="6">
        <v>40202010</v>
      </c>
      <c r="Y41" s="7" t="s">
        <v>43</v>
      </c>
      <c r="Z41" s="7" t="s">
        <v>188</v>
      </c>
      <c r="AA41" s="7" t="s">
        <v>188</v>
      </c>
      <c r="AB41" s="6">
        <v>40.529121398925781</v>
      </c>
      <c r="AC41" s="6">
        <v>1.5806177027161912</v>
      </c>
      <c r="AD41" s="6">
        <v>49.588398013956692</v>
      </c>
      <c r="AE41" s="6">
        <v>11600</v>
      </c>
      <c r="AF41" s="6">
        <v>7900</v>
      </c>
    </row>
    <row r="42" spans="1:32" s="4" customFormat="1" ht="12.75" x14ac:dyDescent="0.2">
      <c r="A42" s="7" t="s">
        <v>189</v>
      </c>
      <c r="B42" s="7" t="s">
        <v>190</v>
      </c>
      <c r="C42" s="7" t="s">
        <v>191</v>
      </c>
      <c r="D42" s="6">
        <v>-0.36071172356605502</v>
      </c>
      <c r="E42" s="6">
        <v>0.65415376424789407</v>
      </c>
      <c r="F42" s="6">
        <v>0.80102157592773404</v>
      </c>
      <c r="G42" s="6">
        <v>0.186062827706337</v>
      </c>
      <c r="H42" s="6">
        <v>-0.5702628493309021</v>
      </c>
      <c r="I42" s="6">
        <v>0.94690841436386108</v>
      </c>
      <c r="J42" s="6">
        <v>-2.5660775601864003E-2</v>
      </c>
      <c r="K42" s="6">
        <v>0.25855004787445102</v>
      </c>
      <c r="L42" s="6">
        <v>-0.30618676543235801</v>
      </c>
      <c r="M42" s="6">
        <v>0.76620852947235107</v>
      </c>
      <c r="N42" s="6">
        <v>5.1371133739057226</v>
      </c>
      <c r="O42" s="6">
        <v>5.0740222193954763</v>
      </c>
      <c r="P42" s="6">
        <v>8.2576493063471812</v>
      </c>
      <c r="Q42" s="6">
        <v>7.739716194124167</v>
      </c>
      <c r="R42" s="6">
        <v>20.06725889855225</v>
      </c>
      <c r="S42" s="6">
        <v>20.218733802967918</v>
      </c>
      <c r="T42" s="6">
        <v>48.039798736572266</v>
      </c>
      <c r="U42" s="6">
        <f>_xll.BDP($A42,"TRAILING_12M_R&amp;D_%_SALES",$A$1,$A$2)</f>
        <v>12.078885471322598</v>
      </c>
      <c r="V42" s="6">
        <v>45</v>
      </c>
      <c r="W42" s="6">
        <v>453010</v>
      </c>
      <c r="X42" s="6">
        <v>45301010</v>
      </c>
      <c r="Y42" s="7" t="s">
        <v>56</v>
      </c>
      <c r="Z42" s="7" t="s">
        <v>130</v>
      </c>
      <c r="AA42" s="7" t="s">
        <v>192</v>
      </c>
      <c r="AB42" s="6">
        <v>63.001708984375</v>
      </c>
      <c r="AC42" s="6">
        <v>1.4086966184165499</v>
      </c>
      <c r="AD42" s="6">
        <v>68.396449910061847</v>
      </c>
      <c r="AE42" s="6">
        <v>34300</v>
      </c>
      <c r="AF42" s="6">
        <v>21000</v>
      </c>
    </row>
    <row r="43" spans="1:32" s="4" customFormat="1" ht="12.75" x14ac:dyDescent="0.2">
      <c r="A43" s="7" t="s">
        <v>193</v>
      </c>
      <c r="B43" s="7" t="s">
        <v>194</v>
      </c>
      <c r="C43" s="7" t="s">
        <v>195</v>
      </c>
      <c r="D43" s="6">
        <v>-5.5282413959503007E-2</v>
      </c>
      <c r="E43" s="6">
        <v>-1.188589453697205</v>
      </c>
      <c r="F43" s="6">
        <v>-1.3913542032241821</v>
      </c>
      <c r="G43" s="6">
        <v>3.0002281665802002</v>
      </c>
      <c r="H43" s="6">
        <v>-1.2510970830917361</v>
      </c>
      <c r="I43" s="6">
        <v>0.55674260854721103</v>
      </c>
      <c r="J43" s="6">
        <v>-0.47066897153854403</v>
      </c>
      <c r="K43" s="6">
        <v>2.0230710506439209</v>
      </c>
      <c r="L43" s="6">
        <v>-0.72281217575073209</v>
      </c>
      <c r="M43" s="6">
        <v>2.966012716293335</v>
      </c>
      <c r="N43" s="6">
        <v>10.753963908820969</v>
      </c>
      <c r="O43" s="6">
        <v>8.979528494494037</v>
      </c>
      <c r="P43" s="6">
        <v>4.3308560755875369</v>
      </c>
      <c r="Q43" s="6">
        <v>4.2372225900419371</v>
      </c>
      <c r="R43" s="6">
        <v>618.18275364471344</v>
      </c>
      <c r="S43" s="6">
        <v>38.835541708444488</v>
      </c>
      <c r="T43" s="6">
        <v>0.37986698746681202</v>
      </c>
      <c r="U43" s="6">
        <f>_xll.BDP($A43,"TRAILING_12M_R&amp;D_%_SALES",$A$1,$A$2)</f>
        <v>25.037812681791738</v>
      </c>
      <c r="V43" s="6">
        <v>45</v>
      </c>
      <c r="W43" s="6">
        <v>453010</v>
      </c>
      <c r="X43" s="6">
        <v>45301020</v>
      </c>
      <c r="Y43" s="7" t="s">
        <v>56</v>
      </c>
      <c r="Z43" s="7" t="s">
        <v>130</v>
      </c>
      <c r="AA43" s="7" t="s">
        <v>131</v>
      </c>
      <c r="AB43" s="6">
        <v>71.210136413574219</v>
      </c>
      <c r="AC43" s="6">
        <v>1.638811161780906</v>
      </c>
      <c r="AD43" s="6">
        <v>127.41438499864701</v>
      </c>
      <c r="AE43" s="6">
        <v>25000</v>
      </c>
      <c r="AF43" s="6">
        <v>8900</v>
      </c>
    </row>
    <row r="44" spans="1:32" s="4" customFormat="1" ht="12.75" x14ac:dyDescent="0.2">
      <c r="A44" s="7" t="s">
        <v>196</v>
      </c>
      <c r="B44" s="7" t="s">
        <v>197</v>
      </c>
      <c r="C44" s="7" t="s">
        <v>198</v>
      </c>
      <c r="D44" s="6">
        <v>1.1055823415518001E-2</v>
      </c>
      <c r="E44" s="6">
        <v>0.92289859056472812</v>
      </c>
      <c r="F44" s="6">
        <v>-0.31989830732345603</v>
      </c>
      <c r="G44" s="6">
        <v>-0.38985332846641502</v>
      </c>
      <c r="H44" s="6">
        <v>1.6143689155578609</v>
      </c>
      <c r="I44" s="6">
        <v>0.10683473944664001</v>
      </c>
      <c r="J44" s="6">
        <v>-4.1656076791700002E-4</v>
      </c>
      <c r="K44" s="6">
        <v>-0.47578731179237405</v>
      </c>
      <c r="L44" s="6">
        <v>0.73251330852508501</v>
      </c>
      <c r="M44" s="6">
        <v>-0.86069607734680209</v>
      </c>
      <c r="N44" s="6">
        <v>5.7401358595739511</v>
      </c>
      <c r="O44" s="6">
        <v>4.7568520580649043</v>
      </c>
      <c r="P44" s="6">
        <v>20.130551133362644</v>
      </c>
      <c r="Q44" s="6">
        <v>15.535057971461786</v>
      </c>
      <c r="R44" s="6">
        <v>20.736207308484961</v>
      </c>
      <c r="S44" s="6">
        <v>14.586540429684726</v>
      </c>
      <c r="T44" s="6">
        <v>133.804931640625</v>
      </c>
      <c r="U44" s="6">
        <f>_xll.BDP($A44,"TRAILING_12M_R&amp;D_%_SALES",$A$1,$A$2)</f>
        <v>17.843465773097176</v>
      </c>
      <c r="V44" s="6">
        <v>35</v>
      </c>
      <c r="W44" s="6">
        <v>352010</v>
      </c>
      <c r="X44" s="6">
        <v>35201010</v>
      </c>
      <c r="Y44" s="7" t="s">
        <v>72</v>
      </c>
      <c r="Z44" s="7" t="s">
        <v>73</v>
      </c>
      <c r="AA44" s="7" t="s">
        <v>73</v>
      </c>
      <c r="AB44" s="6">
        <v>66.673370361328125</v>
      </c>
      <c r="AC44" s="6">
        <v>0.68035395593264703</v>
      </c>
      <c r="AD44" s="6">
        <v>13.248527882016003</v>
      </c>
      <c r="AE44" s="6">
        <v>25200</v>
      </c>
      <c r="AF44" s="6">
        <v>20800</v>
      </c>
    </row>
    <row r="45" spans="1:32" s="4" customFormat="1" ht="12.75" x14ac:dyDescent="0.2">
      <c r="A45" s="7" t="s">
        <v>199</v>
      </c>
      <c r="B45" s="7" t="s">
        <v>200</v>
      </c>
      <c r="C45" s="7" t="s">
        <v>201</v>
      </c>
      <c r="D45" s="6">
        <v>-0.31081432104110701</v>
      </c>
      <c r="E45" s="6">
        <v>0.41758111119270303</v>
      </c>
      <c r="F45" s="6">
        <v>0.73804903030395508</v>
      </c>
      <c r="G45" s="6">
        <v>-0.67656606435775801</v>
      </c>
      <c r="H45" s="6">
        <v>-0.36472675204277005</v>
      </c>
      <c r="I45" s="6">
        <v>-0.112809143960476</v>
      </c>
      <c r="J45" s="6">
        <v>2.7479057312011719</v>
      </c>
      <c r="K45" s="6">
        <v>0.36019214987754805</v>
      </c>
      <c r="L45" s="6">
        <v>3.0000102519989009</v>
      </c>
      <c r="M45" s="6">
        <v>2.8448832035064702</v>
      </c>
      <c r="N45" s="6">
        <v>0.54614277365851505</v>
      </c>
      <c r="O45" s="6">
        <v>0.68600427253924501</v>
      </c>
      <c r="P45" s="6">
        <v>0.54045073915090303</v>
      </c>
      <c r="Q45" s="6">
        <v>0.5600882257324491</v>
      </c>
      <c r="R45" s="6">
        <v>3.4282057772967751</v>
      </c>
      <c r="S45" s="6"/>
      <c r="T45" s="6">
        <v>16.149568557739258</v>
      </c>
      <c r="U45" s="6" t="str">
        <f>_xll.BDP($A45,"TRAILING_12M_R&amp;D_%_SALES",$A$1,$A$2)</f>
        <v>#N/A N/A</v>
      </c>
      <c r="V45" s="6">
        <v>20</v>
      </c>
      <c r="W45" s="6">
        <v>203030</v>
      </c>
      <c r="X45" s="6">
        <v>20303010</v>
      </c>
      <c r="Y45" s="7" t="s">
        <v>38</v>
      </c>
      <c r="Z45" s="7" t="s">
        <v>202</v>
      </c>
      <c r="AA45" s="7" t="s">
        <v>202</v>
      </c>
      <c r="AB45" s="6">
        <v>59.692184448242188</v>
      </c>
      <c r="AC45" s="6">
        <v>0.37913257975261905</v>
      </c>
      <c r="AD45" s="6">
        <v>5.873746378964495</v>
      </c>
      <c r="AE45" s="6">
        <v>104260</v>
      </c>
      <c r="AF45" s="6">
        <v>75813</v>
      </c>
    </row>
    <row r="46" spans="1:32" s="4" customFormat="1" ht="12.75" x14ac:dyDescent="0.2">
      <c r="A46" s="7" t="s">
        <v>203</v>
      </c>
      <c r="B46" s="7" t="s">
        <v>204</v>
      </c>
      <c r="C46" s="7" t="s">
        <v>205</v>
      </c>
      <c r="D46" s="6">
        <v>-0.31081432104110701</v>
      </c>
      <c r="E46" s="6">
        <v>0.41758111119270303</v>
      </c>
      <c r="F46" s="6">
        <v>0.73804903030395508</v>
      </c>
      <c r="G46" s="6">
        <v>-0.67656606435775801</v>
      </c>
      <c r="H46" s="6">
        <v>-0.36472675204277005</v>
      </c>
      <c r="I46" s="6">
        <v>-0.112809143960476</v>
      </c>
      <c r="J46" s="6">
        <v>2.7479057312011719</v>
      </c>
      <c r="K46" s="6">
        <v>0.36019214987754805</v>
      </c>
      <c r="L46" s="6">
        <v>3.0000102519989009</v>
      </c>
      <c r="M46" s="6">
        <v>2.8448832035064702</v>
      </c>
      <c r="N46" s="6">
        <v>0.54614277365851505</v>
      </c>
      <c r="O46" s="6">
        <v>0.68600427253924501</v>
      </c>
      <c r="P46" s="6">
        <v>0.54045073915090303</v>
      </c>
      <c r="Q46" s="6">
        <v>0.57054827748636505</v>
      </c>
      <c r="R46" s="6">
        <v>3.4282057772967751</v>
      </c>
      <c r="S46" s="6"/>
      <c r="T46" s="6">
        <v>16.149568557739258</v>
      </c>
      <c r="U46" s="6" t="str">
        <f>_xll.BDP($A46,"TRAILING_12M_R&amp;D_%_SALES",$A$1,$A$2)</f>
        <v>#N/A N/A</v>
      </c>
      <c r="V46" s="6">
        <v>20</v>
      </c>
      <c r="W46" s="6">
        <v>203030</v>
      </c>
      <c r="X46" s="6">
        <v>20303010</v>
      </c>
      <c r="Y46" s="7" t="s">
        <v>38</v>
      </c>
      <c r="Z46" s="7" t="s">
        <v>202</v>
      </c>
      <c r="AA46" s="7" t="s">
        <v>202</v>
      </c>
      <c r="AB46" s="6">
        <v>59.692184448242188</v>
      </c>
      <c r="AC46" s="6">
        <v>0.53207853809821204</v>
      </c>
      <c r="AD46" s="6">
        <v>6.5207938983442126</v>
      </c>
      <c r="AE46" s="6">
        <v>104260</v>
      </c>
      <c r="AF46" s="6">
        <v>75813</v>
      </c>
    </row>
    <row r="47" spans="1:32" s="4" customFormat="1" ht="12.75" x14ac:dyDescent="0.2">
      <c r="A47" s="7" t="s">
        <v>206</v>
      </c>
      <c r="B47" s="7" t="s">
        <v>207</v>
      </c>
      <c r="C47" s="7" t="s">
        <v>208</v>
      </c>
      <c r="D47" s="6">
        <v>-0.31081432104110701</v>
      </c>
      <c r="E47" s="6">
        <v>0.41758111119270303</v>
      </c>
      <c r="F47" s="6">
        <v>0.73804903030395508</v>
      </c>
      <c r="G47" s="6">
        <v>-0.67656606435775801</v>
      </c>
      <c r="H47" s="6">
        <v>-0.36472675204277005</v>
      </c>
      <c r="I47" s="6">
        <v>-0.112809143960476</v>
      </c>
      <c r="J47" s="6">
        <v>2.7479057312011719</v>
      </c>
      <c r="K47" s="6">
        <v>0.36019214987754805</v>
      </c>
      <c r="L47" s="6">
        <v>3.0000102519989009</v>
      </c>
      <c r="M47" s="6">
        <v>2.8448832035064702</v>
      </c>
      <c r="N47" s="6">
        <v>0.54614277365851505</v>
      </c>
      <c r="O47" s="6">
        <v>0.68308623036636607</v>
      </c>
      <c r="P47" s="6">
        <v>0.54045073915090303</v>
      </c>
      <c r="Q47" s="6">
        <v>0.56547677489844406</v>
      </c>
      <c r="R47" s="6">
        <v>3.4282057772967751</v>
      </c>
      <c r="S47" s="6"/>
      <c r="T47" s="6">
        <v>16.149568557739258</v>
      </c>
      <c r="U47" s="6" t="str">
        <f>_xll.BDP($A47,"TRAILING_12M_R&amp;D_%_SALES",$A$1,$A$2)</f>
        <v>#N/A N/A</v>
      </c>
      <c r="V47" s="6">
        <v>20</v>
      </c>
      <c r="W47" s="6">
        <v>203030</v>
      </c>
      <c r="X47" s="6">
        <v>20303010</v>
      </c>
      <c r="Y47" s="7" t="s">
        <v>38</v>
      </c>
      <c r="Z47" s="7" t="s">
        <v>202</v>
      </c>
      <c r="AA47" s="7" t="s">
        <v>202</v>
      </c>
      <c r="AB47" s="6">
        <v>59.692184448242188</v>
      </c>
      <c r="AC47" s="6">
        <v>0.66794183662138606</v>
      </c>
      <c r="AD47" s="6">
        <v>6.9512311977996122</v>
      </c>
      <c r="AE47" s="6">
        <v>104260</v>
      </c>
      <c r="AF47" s="6">
        <v>75813</v>
      </c>
    </row>
    <row r="48" spans="1:32" s="4" customFormat="1" ht="12.75" x14ac:dyDescent="0.2">
      <c r="A48" s="7" t="s">
        <v>209</v>
      </c>
      <c r="B48" s="7" t="s">
        <v>210</v>
      </c>
      <c r="C48" s="7" t="s">
        <v>211</v>
      </c>
      <c r="D48" s="6">
        <v>-0.43397712707519503</v>
      </c>
      <c r="E48" s="6">
        <v>3.7987627089023999E-2</v>
      </c>
      <c r="F48" s="6">
        <v>0.12949684262275701</v>
      </c>
      <c r="G48" s="6">
        <v>-0.33328363299369801</v>
      </c>
      <c r="H48" s="6">
        <v>-0.49019873142242404</v>
      </c>
      <c r="I48" s="6">
        <v>0.22711788117885601</v>
      </c>
      <c r="J48" s="6">
        <v>0.54414272308349609</v>
      </c>
      <c r="K48" s="6">
        <v>-0.87243258953094505</v>
      </c>
      <c r="L48" s="6">
        <v>4.6855635941029004E-2</v>
      </c>
      <c r="M48" s="6">
        <v>-0.98813575506210305</v>
      </c>
      <c r="N48" s="6">
        <v>2.585219137945364</v>
      </c>
      <c r="O48" s="6">
        <v>2.4075407612660751</v>
      </c>
      <c r="P48" s="6">
        <v>10.067358482649075</v>
      </c>
      <c r="Q48" s="6">
        <v>6.3744087820102768</v>
      </c>
      <c r="R48" s="6">
        <v>16.757449090603526</v>
      </c>
      <c r="S48" s="6">
        <v>11.520752248319329</v>
      </c>
      <c r="T48" s="6">
        <v>75.487152099609375</v>
      </c>
      <c r="U48" s="6" t="str">
        <f>_xll.BDP($A48,"TRAILING_12M_R&amp;D_%_SALES",$A$1,$A$2)</f>
        <v>#N/A N/A</v>
      </c>
      <c r="V48" s="6">
        <v>40</v>
      </c>
      <c r="W48" s="6">
        <v>402030</v>
      </c>
      <c r="X48" s="6">
        <v>40203010</v>
      </c>
      <c r="Y48" s="7" t="s">
        <v>43</v>
      </c>
      <c r="Z48" s="7" t="s">
        <v>212</v>
      </c>
      <c r="AA48" s="7" t="s">
        <v>213</v>
      </c>
      <c r="AB48" s="6">
        <v>44.160545349121094</v>
      </c>
      <c r="AC48" s="6">
        <v>1.22570612110305</v>
      </c>
      <c r="AD48" s="6">
        <v>23.596979675260577</v>
      </c>
      <c r="AE48" s="6">
        <v>13500</v>
      </c>
      <c r="AF48" s="6">
        <v>13000</v>
      </c>
    </row>
    <row r="49" spans="1:32" s="4" customFormat="1" ht="12.75" x14ac:dyDescent="0.2">
      <c r="A49" s="7" t="s">
        <v>214</v>
      </c>
      <c r="B49" s="7" t="s">
        <v>215</v>
      </c>
      <c r="C49" s="7" t="s">
        <v>216</v>
      </c>
      <c r="D49" s="6">
        <v>-0.39998164772987405</v>
      </c>
      <c r="E49" s="6">
        <v>-0.90558511018753107</v>
      </c>
      <c r="F49" s="6">
        <v>0.579961717128754</v>
      </c>
      <c r="G49" s="6">
        <v>-0.58478975296020508</v>
      </c>
      <c r="H49" s="6">
        <v>-0.46741619706153903</v>
      </c>
      <c r="I49" s="6">
        <v>-0.11967521160841001</v>
      </c>
      <c r="J49" s="6">
        <v>3.0000147819519039</v>
      </c>
      <c r="K49" s="6">
        <v>-0.90617120265960704</v>
      </c>
      <c r="L49" s="6">
        <v>0.11005094647407501</v>
      </c>
      <c r="M49" s="6">
        <v>0.10207736492157</v>
      </c>
      <c r="N49" s="6">
        <v>0.34228979142032101</v>
      </c>
      <c r="O49" s="6">
        <v>0.368165988527896</v>
      </c>
      <c r="P49" s="6">
        <v>0.43723808320413904</v>
      </c>
      <c r="Q49" s="6">
        <v>0.41208692118956203</v>
      </c>
      <c r="R49" s="6">
        <v>5.7973098331764534</v>
      </c>
      <c r="S49" s="6">
        <v>6.4643439114042751</v>
      </c>
      <c r="T49" s="6">
        <v>7.7517790794372559</v>
      </c>
      <c r="U49" s="6" t="str">
        <f>_xll.BDP($A49,"TRAILING_12M_R&amp;D_%_SALES",$A$1,$A$2)</f>
        <v>#N/A N/A</v>
      </c>
      <c r="V49" s="6">
        <v>15</v>
      </c>
      <c r="W49" s="6">
        <v>151040</v>
      </c>
      <c r="X49" s="6">
        <v>15104050</v>
      </c>
      <c r="Y49" s="7" t="s">
        <v>61</v>
      </c>
      <c r="Z49" s="7" t="s">
        <v>62</v>
      </c>
      <c r="AA49" s="7" t="s">
        <v>217</v>
      </c>
      <c r="AB49" s="6">
        <v>73.010765075683594</v>
      </c>
      <c r="AC49" s="6">
        <v>0.59639500367327403</v>
      </c>
      <c r="AD49" s="6">
        <v>14.097320899486698</v>
      </c>
      <c r="AE49" s="6">
        <v>154000</v>
      </c>
      <c r="AF49" s="6">
        <v>197000</v>
      </c>
    </row>
    <row r="50" spans="1:32" s="4" customFormat="1" ht="12.75" x14ac:dyDescent="0.2">
      <c r="A50" s="7" t="s">
        <v>218</v>
      </c>
      <c r="B50" s="7" t="s">
        <v>219</v>
      </c>
      <c r="C50" s="7" t="s">
        <v>220</v>
      </c>
      <c r="D50" s="6">
        <v>-0.49494278430938704</v>
      </c>
      <c r="E50" s="6">
        <v>-0.21037802100181602</v>
      </c>
      <c r="F50" s="6">
        <v>0.53114604949951205</v>
      </c>
      <c r="G50" s="6">
        <v>-0.49501293897628806</v>
      </c>
      <c r="H50" s="6">
        <v>1.806657195091248</v>
      </c>
      <c r="I50" s="6">
        <v>-1.5418902635574341</v>
      </c>
      <c r="J50" s="6">
        <v>-0.38672503829002403</v>
      </c>
      <c r="K50" s="6">
        <v>-0.57545244693756104</v>
      </c>
      <c r="L50" s="6">
        <v>1.1404985189437871</v>
      </c>
      <c r="M50" s="6">
        <v>-0.9474517703056341</v>
      </c>
      <c r="N50" s="6">
        <v>9.0919307769000515</v>
      </c>
      <c r="O50" s="6">
        <v>8.8831759764576166</v>
      </c>
      <c r="P50" s="6">
        <v>22.198975322942733</v>
      </c>
      <c r="Q50" s="6">
        <v>28.442687818551089</v>
      </c>
      <c r="R50" s="6">
        <v>97.420443032557657</v>
      </c>
      <c r="S50" s="6">
        <v>43.646070676193609</v>
      </c>
      <c r="T50" s="6">
        <v>13.21485710144043</v>
      </c>
      <c r="U50" s="6" t="str">
        <f>_xll.BDP($A50,"TRAILING_12M_R&amp;D_%_SALES",$A$1,$A$2)</f>
        <v>#N/A N/A</v>
      </c>
      <c r="V50" s="6">
        <v>60</v>
      </c>
      <c r="W50" s="6">
        <v>601080</v>
      </c>
      <c r="X50" s="6">
        <v>60108030</v>
      </c>
      <c r="Y50" s="7" t="s">
        <v>221</v>
      </c>
      <c r="Z50" s="7" t="s">
        <v>222</v>
      </c>
      <c r="AA50" s="7" t="s">
        <v>223</v>
      </c>
      <c r="AB50" s="6">
        <v>61.834823608398438</v>
      </c>
      <c r="AC50" s="6">
        <v>0.95549547051145611</v>
      </c>
      <c r="AD50" s="6">
        <v>3.4635569877642602</v>
      </c>
      <c r="AE50" s="6">
        <v>6391</v>
      </c>
      <c r="AF50" s="6">
        <v>4752</v>
      </c>
    </row>
    <row r="51" spans="1:32" s="4" customFormat="1" ht="12.75" x14ac:dyDescent="0.2">
      <c r="A51" s="7" t="s">
        <v>224</v>
      </c>
      <c r="B51" s="7" t="s">
        <v>225</v>
      </c>
      <c r="C51" s="7" t="s">
        <v>226</v>
      </c>
      <c r="D51" s="6">
        <v>1.9029381275177002</v>
      </c>
      <c r="E51" s="6">
        <v>-0.97751116752624512</v>
      </c>
      <c r="F51" s="6">
        <v>0.97152572870254505</v>
      </c>
      <c r="G51" s="6">
        <v>-8.9361034333706013E-2</v>
      </c>
      <c r="H51" s="6">
        <v>-4.3263606727123004E-2</v>
      </c>
      <c r="I51" s="6">
        <v>-0.23069830238819103</v>
      </c>
      <c r="J51" s="6">
        <v>-0.34766146540641801</v>
      </c>
      <c r="K51" s="6">
        <v>1.0460748672485349</v>
      </c>
      <c r="L51" s="6">
        <v>-0.72281217575073209</v>
      </c>
      <c r="M51" s="6">
        <v>0.22698712348938002</v>
      </c>
      <c r="N51" s="6">
        <v>2.816193770322291</v>
      </c>
      <c r="O51" s="6">
        <v>2.4649448514168379</v>
      </c>
      <c r="P51" s="6">
        <v>8.5779882555472149</v>
      </c>
      <c r="Q51" s="6">
        <v>6.0640167593342547</v>
      </c>
      <c r="R51" s="6">
        <v>71.585597182968442</v>
      </c>
      <c r="S51" s="6">
        <v>34.520598522198441</v>
      </c>
      <c r="T51" s="6">
        <v>12.531283378601074</v>
      </c>
      <c r="U51" s="6">
        <f>_xll.BDP($A51,"TRAILING_12M_R&amp;D_%_SALES",$A$1,$A$2)</f>
        <v>13.879261833440706</v>
      </c>
      <c r="V51" s="6">
        <v>25</v>
      </c>
      <c r="W51" s="6">
        <v>255030</v>
      </c>
      <c r="X51" s="6">
        <v>25503030</v>
      </c>
      <c r="Y51" s="7" t="s">
        <v>85</v>
      </c>
      <c r="Z51" s="7" t="s">
        <v>227</v>
      </c>
      <c r="AA51" s="7" t="s">
        <v>227</v>
      </c>
      <c r="AB51" s="6">
        <v>56.734733581542969</v>
      </c>
      <c r="AC51" s="6">
        <v>1.3543099301841721</v>
      </c>
      <c r="AD51" s="6">
        <v>80.494181385818166</v>
      </c>
      <c r="AE51" s="6">
        <v>1541000</v>
      </c>
      <c r="AF51" s="6">
        <v>566000</v>
      </c>
    </row>
    <row r="52" spans="1:32" s="4" customFormat="1" ht="12.75" x14ac:dyDescent="0.2">
      <c r="A52" s="7" t="s">
        <v>228</v>
      </c>
      <c r="B52" s="7" t="s">
        <v>229</v>
      </c>
      <c r="C52" s="7" t="s">
        <v>230</v>
      </c>
      <c r="D52" s="6">
        <v>-0.42970609664917003</v>
      </c>
      <c r="E52" s="6">
        <v>-0.44440117478370705</v>
      </c>
      <c r="F52" s="6">
        <v>-3.9968732744455004E-2</v>
      </c>
      <c r="G52" s="6">
        <v>-0.94462871551513705</v>
      </c>
      <c r="H52" s="6">
        <v>1.5117371454835E-2</v>
      </c>
      <c r="I52" s="6">
        <v>0.14832961559295701</v>
      </c>
      <c r="J52" s="6">
        <v>0.29309555888176003</v>
      </c>
      <c r="K52" s="6">
        <v>-6.8786233663559002E-2</v>
      </c>
      <c r="L52" s="6">
        <v>-0.36849015951156605</v>
      </c>
      <c r="M52" s="6">
        <v>-7.4348147027190007E-3</v>
      </c>
      <c r="N52" s="6">
        <v>0.85081681170715906</v>
      </c>
      <c r="O52" s="6">
        <v>0.7692698446025551</v>
      </c>
      <c r="P52" s="6">
        <v>4.3589976068261569</v>
      </c>
      <c r="Q52" s="6"/>
      <c r="R52" s="6">
        <v>19.264935770561053</v>
      </c>
      <c r="S52" s="6">
        <v>17.677972432334716</v>
      </c>
      <c r="T52" s="6">
        <v>23.677911758422852</v>
      </c>
      <c r="U52" s="6" t="str">
        <f>_xll.BDP($A52,"TRAILING_12M_R&amp;D_%_SALES",$A$1,$A$2)</f>
        <v>#N/A N/A</v>
      </c>
      <c r="V52" s="6">
        <v>30</v>
      </c>
      <c r="W52" s="6">
        <v>301010</v>
      </c>
      <c r="X52" s="6">
        <v>30101030</v>
      </c>
      <c r="Y52" s="7" t="s">
        <v>106</v>
      </c>
      <c r="Z52" s="7" t="s">
        <v>107</v>
      </c>
      <c r="AA52" s="7" t="s">
        <v>108</v>
      </c>
      <c r="AB52" s="6">
        <v>46.806156158447266</v>
      </c>
      <c r="AC52" s="6">
        <v>0.66341692342417602</v>
      </c>
      <c r="AD52" s="6">
        <v>32.480754919348612</v>
      </c>
      <c r="AE52" s="6"/>
      <c r="AF52" s="6"/>
    </row>
    <row r="53" spans="1:32" s="4" customFormat="1" ht="12.75" x14ac:dyDescent="0.2">
      <c r="A53" s="7" t="s">
        <v>231</v>
      </c>
      <c r="B53" s="7" t="s">
        <v>232</v>
      </c>
      <c r="C53" s="7" t="s">
        <v>233</v>
      </c>
      <c r="D53" s="6">
        <v>0.23978912830352803</v>
      </c>
      <c r="E53" s="6">
        <v>-1.032564043998718</v>
      </c>
      <c r="F53" s="6">
        <v>-1.518159031867981</v>
      </c>
      <c r="G53" s="6">
        <v>-0.86564373970031705</v>
      </c>
      <c r="H53" s="6">
        <v>0.78957825899124101</v>
      </c>
      <c r="I53" s="6">
        <v>-2.3346938192844002E-2</v>
      </c>
      <c r="J53" s="6">
        <v>1.20872962474823</v>
      </c>
      <c r="K53" s="6">
        <v>-1.0799939632415769</v>
      </c>
      <c r="L53" s="6">
        <v>2.0973269939422612</v>
      </c>
      <c r="M53" s="6">
        <v>-0.99301868677139304</v>
      </c>
      <c r="N53" s="6">
        <v>1.4506354588487431</v>
      </c>
      <c r="O53" s="6">
        <v>3.8089980505343219</v>
      </c>
      <c r="P53" s="6">
        <v>1.1189256932713669</v>
      </c>
      <c r="Q53" s="6">
        <v>1.103887660721288</v>
      </c>
      <c r="R53" s="6">
        <v>10.943413851451671</v>
      </c>
      <c r="S53" s="6">
        <v>12.311255947522413</v>
      </c>
      <c r="T53" s="6">
        <v>10.493905067443848</v>
      </c>
      <c r="U53" s="6" t="str">
        <f>_xll.BDP($A53,"TRAILING_12M_R&amp;D_%_SALES",$A$1,$A$2)</f>
        <v>#N/A N/A</v>
      </c>
      <c r="V53" s="6">
        <v>40</v>
      </c>
      <c r="W53" s="6">
        <v>401010</v>
      </c>
      <c r="X53" s="6">
        <v>40101010</v>
      </c>
      <c r="Y53" s="7" t="s">
        <v>43</v>
      </c>
      <c r="Z53" s="7" t="s">
        <v>67</v>
      </c>
      <c r="AA53" s="7" t="s">
        <v>68</v>
      </c>
      <c r="AB53" s="6">
        <v>64.138420104980469</v>
      </c>
      <c r="AC53" s="6">
        <v>0.350569792544143</v>
      </c>
      <c r="AD53" s="6"/>
      <c r="AE53" s="6">
        <v>40342</v>
      </c>
      <c r="AF53" s="6">
        <v>39924</v>
      </c>
    </row>
    <row r="54" spans="1:32" s="4" customFormat="1" ht="12.75" x14ac:dyDescent="0.2">
      <c r="A54" s="7" t="s">
        <v>234</v>
      </c>
      <c r="B54" s="7" t="s">
        <v>235</v>
      </c>
      <c r="C54" s="7" t="s">
        <v>236</v>
      </c>
      <c r="D54" s="6">
        <v>0.23978912830352803</v>
      </c>
      <c r="E54" s="6">
        <v>-1.032564043998718</v>
      </c>
      <c r="F54" s="6">
        <v>-1.518159031867981</v>
      </c>
      <c r="G54" s="6">
        <v>-0.86564373970031705</v>
      </c>
      <c r="H54" s="6">
        <v>0.78957825899124101</v>
      </c>
      <c r="I54" s="6">
        <v>-2.3346938192844002E-2</v>
      </c>
      <c r="J54" s="6">
        <v>1.20872962474823</v>
      </c>
      <c r="K54" s="6">
        <v>-1.0799939632415769</v>
      </c>
      <c r="L54" s="6">
        <v>2.0973269939422612</v>
      </c>
      <c r="M54" s="6">
        <v>-0.99301868677139304</v>
      </c>
      <c r="N54" s="6">
        <v>1.4506354588487431</v>
      </c>
      <c r="O54" s="6"/>
      <c r="P54" s="6">
        <v>1.1189256932713669</v>
      </c>
      <c r="Q54" s="6"/>
      <c r="R54" s="6">
        <v>10.943413851451671</v>
      </c>
      <c r="S54" s="6"/>
      <c r="T54" s="6">
        <v>10.493905067443848</v>
      </c>
      <c r="U54" s="6" t="str">
        <f>_xll.BDP($A54,"TRAILING_12M_R&amp;D_%_SALES",$A$1,$A$2)</f>
        <v>#N/A N/A</v>
      </c>
      <c r="V54" s="6">
        <v>40</v>
      </c>
      <c r="W54" s="6">
        <v>401010</v>
      </c>
      <c r="X54" s="6">
        <v>40101010</v>
      </c>
      <c r="Y54" s="7" t="s">
        <v>43</v>
      </c>
      <c r="Z54" s="7" t="s">
        <v>67</v>
      </c>
      <c r="AA54" s="7" t="s">
        <v>68</v>
      </c>
      <c r="AB54" s="6">
        <v>64.138420104980469</v>
      </c>
      <c r="AC54" s="6">
        <v>0.87655769977204412</v>
      </c>
      <c r="AD54" s="6">
        <v>18.495150077517607</v>
      </c>
      <c r="AE54" s="6">
        <v>40342</v>
      </c>
      <c r="AF54" s="6">
        <v>39924</v>
      </c>
    </row>
    <row r="55" spans="1:32" s="4" customFormat="1" ht="12.75" x14ac:dyDescent="0.2">
      <c r="A55" s="7" t="s">
        <v>237</v>
      </c>
      <c r="B55" s="7" t="s">
        <v>238</v>
      </c>
      <c r="C55" s="7" t="s">
        <v>239</v>
      </c>
      <c r="D55" s="6">
        <v>-0.66767591238021906</v>
      </c>
      <c r="E55" s="6">
        <v>0.87660580873489402</v>
      </c>
      <c r="F55" s="6">
        <v>-0.28257948160171503</v>
      </c>
      <c r="G55" s="6">
        <v>-0.53986620903015103</v>
      </c>
      <c r="H55" s="6">
        <v>0.85231220722198509</v>
      </c>
      <c r="I55" s="6">
        <v>2.0715968683362E-2</v>
      </c>
      <c r="J55" s="6">
        <v>-0.259205132722855</v>
      </c>
      <c r="K55" s="6">
        <v>-0.71250712871551503</v>
      </c>
      <c r="L55" s="6">
        <v>-0.37957674264907804</v>
      </c>
      <c r="M55" s="6">
        <v>-0.7878033518791201</v>
      </c>
      <c r="N55" s="6">
        <v>4.5514028220445963</v>
      </c>
      <c r="O55" s="6">
        <v>4.0935918581293453</v>
      </c>
      <c r="P55" s="6"/>
      <c r="Q55" s="6">
        <v>65.64365502620258</v>
      </c>
      <c r="R55" s="6">
        <v>22.103016379238881</v>
      </c>
      <c r="S55" s="6">
        <v>17.935633182680789</v>
      </c>
      <c r="T55" s="6"/>
      <c r="U55" s="6">
        <f>_xll.BDP($A55,"TRAILING_12M_R&amp;D_%_SALES",$A$1,$A$2)</f>
        <v>3.433558415084724</v>
      </c>
      <c r="V55" s="6">
        <v>40</v>
      </c>
      <c r="W55" s="6">
        <v>403010</v>
      </c>
      <c r="X55" s="6">
        <v>40301010</v>
      </c>
      <c r="Y55" s="7" t="s">
        <v>43</v>
      </c>
      <c r="Z55" s="7" t="s">
        <v>44</v>
      </c>
      <c r="AA55" s="7" t="s">
        <v>172</v>
      </c>
      <c r="AB55" s="6">
        <v>48.415653228759766</v>
      </c>
      <c r="AC55" s="6">
        <v>0.76822563959112211</v>
      </c>
      <c r="AD55" s="6">
        <v>-3.346153425139597</v>
      </c>
      <c r="AE55" s="6">
        <v>50000</v>
      </c>
      <c r="AF55" s="6">
        <v>50000</v>
      </c>
    </row>
    <row r="56" spans="1:32" s="4" customFormat="1" ht="12.75" x14ac:dyDescent="0.2">
      <c r="A56" s="7" t="s">
        <v>240</v>
      </c>
      <c r="B56" s="7" t="s">
        <v>241</v>
      </c>
      <c r="C56" s="7" t="s">
        <v>242</v>
      </c>
      <c r="D56" s="6">
        <v>-0.49141904711723305</v>
      </c>
      <c r="E56" s="6">
        <v>-1.147130489349365</v>
      </c>
      <c r="F56" s="6">
        <v>-0.22510445117950401</v>
      </c>
      <c r="G56" s="6">
        <v>-0.92471539974212602</v>
      </c>
      <c r="H56" s="6">
        <v>0.77075964212417603</v>
      </c>
      <c r="I56" s="6">
        <v>8.2035705447197002E-2</v>
      </c>
      <c r="J56" s="6">
        <v>0.41440075635910001</v>
      </c>
      <c r="K56" s="6">
        <v>-1.3173050880432129</v>
      </c>
      <c r="L56" s="6">
        <v>-0.16648624837398501</v>
      </c>
      <c r="M56" s="6">
        <v>-0.90886205434799205</v>
      </c>
      <c r="N56" s="6">
        <v>0.28834917282647005</v>
      </c>
      <c r="O56" s="6"/>
      <c r="P56" s="6">
        <v>2.569249675944786</v>
      </c>
      <c r="Q56" s="6"/>
      <c r="R56" s="6">
        <v>101.0259712212948</v>
      </c>
      <c r="S56" s="6"/>
      <c r="T56" s="6">
        <v>2.5908548831939702</v>
      </c>
      <c r="U56" s="6">
        <f>_xll.BDP($A56,"TRAILING_12M_R&amp;D_%_SALES",$A$1,$A$2)</f>
        <v>0</v>
      </c>
      <c r="V56" s="6">
        <v>30</v>
      </c>
      <c r="W56" s="6">
        <v>301010</v>
      </c>
      <c r="X56" s="6">
        <v>30101040</v>
      </c>
      <c r="Y56" s="7" t="s">
        <v>106</v>
      </c>
      <c r="Z56" s="7" t="s">
        <v>107</v>
      </c>
      <c r="AA56" s="7" t="s">
        <v>243</v>
      </c>
      <c r="AB56" s="6">
        <v>51.071319580078125</v>
      </c>
      <c r="AC56" s="6">
        <v>0.39089055744125201</v>
      </c>
      <c r="AD56" s="6"/>
      <c r="AE56" s="6">
        <v>425421</v>
      </c>
      <c r="AF56" s="6">
        <v>411104</v>
      </c>
    </row>
    <row r="57" spans="1:32" s="4" customFormat="1" ht="12.75" x14ac:dyDescent="0.2">
      <c r="A57" s="7" t="s">
        <v>244</v>
      </c>
      <c r="B57" s="7" t="s">
        <v>245</v>
      </c>
      <c r="C57" s="7" t="s">
        <v>246</v>
      </c>
      <c r="D57" s="6">
        <v>-0.49141904711723305</v>
      </c>
      <c r="E57" s="6">
        <v>-1.147130489349365</v>
      </c>
      <c r="F57" s="6">
        <v>-0.22510445117950401</v>
      </c>
      <c r="G57" s="6">
        <v>-0.92471539974212602</v>
      </c>
      <c r="H57" s="6">
        <v>0.77075964212417603</v>
      </c>
      <c r="I57" s="6">
        <v>8.2035705447197002E-2</v>
      </c>
      <c r="J57" s="6">
        <v>0.41440075635910001</v>
      </c>
      <c r="K57" s="6">
        <v>-1.3173050880432129</v>
      </c>
      <c r="L57" s="6">
        <v>-0.16648624837398501</v>
      </c>
      <c r="M57" s="6">
        <v>-0.90886205434799205</v>
      </c>
      <c r="N57" s="6">
        <v>0.28834917282647005</v>
      </c>
      <c r="O57" s="6"/>
      <c r="P57" s="6">
        <v>2.569249675944786</v>
      </c>
      <c r="Q57" s="6"/>
      <c r="R57" s="6">
        <v>101.0259712212948</v>
      </c>
      <c r="S57" s="6"/>
      <c r="T57" s="6">
        <v>2.5908548831939702</v>
      </c>
      <c r="U57" s="6">
        <f>_xll.BDP($A57,"TRAILING_12M_R&amp;D_%_SALES",$A$1,$A$2)</f>
        <v>0</v>
      </c>
      <c r="V57" s="6">
        <v>30</v>
      </c>
      <c r="W57" s="6">
        <v>301010</v>
      </c>
      <c r="X57" s="6">
        <v>30101040</v>
      </c>
      <c r="Y57" s="7" t="s">
        <v>106</v>
      </c>
      <c r="Z57" s="7" t="s">
        <v>107</v>
      </c>
      <c r="AA57" s="7" t="s">
        <v>243</v>
      </c>
      <c r="AB57" s="6">
        <v>51.071319580078125</v>
      </c>
      <c r="AC57" s="6">
        <v>0.51520802403623001</v>
      </c>
      <c r="AD57" s="6">
        <v>6.6567613398013314</v>
      </c>
      <c r="AE57" s="6">
        <v>425421</v>
      </c>
      <c r="AF57" s="6">
        <v>411104</v>
      </c>
    </row>
    <row r="58" spans="1:32" s="4" customFormat="1" ht="12.75" x14ac:dyDescent="0.2">
      <c r="A58" s="7" t="s">
        <v>247</v>
      </c>
      <c r="B58" s="7" t="s">
        <v>248</v>
      </c>
      <c r="C58" s="7" t="s">
        <v>249</v>
      </c>
      <c r="D58" s="6">
        <v>-0.72253286838531505</v>
      </c>
      <c r="E58" s="6">
        <v>-0.53121465444564808</v>
      </c>
      <c r="F58" s="6">
        <v>-2.0663782954216E-2</v>
      </c>
      <c r="G58" s="6">
        <v>-0.49026095867157005</v>
      </c>
      <c r="H58" s="6">
        <v>-4.9737915396690001E-2</v>
      </c>
      <c r="I58" s="6">
        <v>2.350847702473E-3</v>
      </c>
      <c r="J58" s="6">
        <v>-0.19196426868438701</v>
      </c>
      <c r="K58" s="6">
        <v>-0.26377198100090005</v>
      </c>
      <c r="L58" s="6">
        <v>0.39128473401069602</v>
      </c>
      <c r="M58" s="6">
        <v>-0.7508658766746521</v>
      </c>
      <c r="N58" s="6">
        <v>4.8305892393183996</v>
      </c>
      <c r="O58" s="6">
        <v>4.4711650638194271</v>
      </c>
      <c r="P58" s="6">
        <v>4.2505932173879675</v>
      </c>
      <c r="Q58" s="6">
        <v>3.7332336073217949</v>
      </c>
      <c r="R58" s="6">
        <v>24.554504149600767</v>
      </c>
      <c r="S58" s="6">
        <v>20.598663205851022</v>
      </c>
      <c r="T58" s="6">
        <v>16.754987716674805</v>
      </c>
      <c r="U58" s="6">
        <f>_xll.BDP($A58,"TRAILING_12M_R&amp;D_%_SALES",$A$1,$A$2)</f>
        <v>0.80184798956351222</v>
      </c>
      <c r="V58" s="6">
        <v>15</v>
      </c>
      <c r="W58" s="6">
        <v>151010</v>
      </c>
      <c r="X58" s="6">
        <v>15101040</v>
      </c>
      <c r="Y58" s="7" t="s">
        <v>61</v>
      </c>
      <c r="Z58" s="7" t="s">
        <v>250</v>
      </c>
      <c r="AA58" s="7" t="s">
        <v>251</v>
      </c>
      <c r="AB58" s="6">
        <v>71.914291381835938</v>
      </c>
      <c r="AC58" s="6">
        <v>0.83760798493492905</v>
      </c>
      <c r="AD58" s="6">
        <v>-9.4296869739604823</v>
      </c>
      <c r="AE58" s="6">
        <v>20700</v>
      </c>
      <c r="AF58" s="6">
        <v>16300</v>
      </c>
    </row>
    <row r="59" spans="1:32" s="4" customFormat="1" ht="12.75" x14ac:dyDescent="0.2">
      <c r="A59" s="7" t="s">
        <v>252</v>
      </c>
      <c r="B59" s="7" t="s">
        <v>253</v>
      </c>
      <c r="C59" s="7" t="s">
        <v>254</v>
      </c>
      <c r="D59" s="6">
        <v>-1.8962549045682002E-2</v>
      </c>
      <c r="E59" s="6">
        <v>-0.59939169883728005</v>
      </c>
      <c r="F59" s="6">
        <v>0.17016583681106601</v>
      </c>
      <c r="G59" s="6">
        <v>-0.40462836623191806</v>
      </c>
      <c r="H59" s="6">
        <v>-0.46955820918083202</v>
      </c>
      <c r="I59" s="6">
        <v>1.1701347827911379</v>
      </c>
      <c r="J59" s="6">
        <v>0.39457455277442904</v>
      </c>
      <c r="K59" s="6">
        <v>1.7256320714950562</v>
      </c>
      <c r="L59" s="6">
        <v>0.16369190812110901</v>
      </c>
      <c r="M59" s="6">
        <v>1.617040634155273</v>
      </c>
      <c r="N59" s="6">
        <v>2.0383506157972922</v>
      </c>
      <c r="O59" s="6">
        <v>3.4104405423811359</v>
      </c>
      <c r="P59" s="6">
        <v>6.8483338037103181</v>
      </c>
      <c r="Q59" s="6">
        <v>3.1816319402026361</v>
      </c>
      <c r="R59" s="6">
        <v>18.515833100030363</v>
      </c>
      <c r="S59" s="6">
        <v>11.670632546425635</v>
      </c>
      <c r="T59" s="6"/>
      <c r="U59" s="6" t="str">
        <f>_xll.BDP($A59,"TRAILING_12M_R&amp;D_%_SALES",$A$1,$A$2)</f>
        <v>#N/A N/A</v>
      </c>
      <c r="V59" s="6">
        <v>40</v>
      </c>
      <c r="W59" s="6">
        <v>402010</v>
      </c>
      <c r="X59" s="6">
        <v>40201020</v>
      </c>
      <c r="Y59" s="7" t="s">
        <v>43</v>
      </c>
      <c r="Z59" s="7" t="s">
        <v>255</v>
      </c>
      <c r="AA59" s="7" t="s">
        <v>256</v>
      </c>
      <c r="AB59" s="6">
        <v>43.235088348388672</v>
      </c>
      <c r="AC59" s="6">
        <v>1.338280768486142</v>
      </c>
      <c r="AD59" s="6">
        <v>49.956239335294583</v>
      </c>
      <c r="AE59" s="6">
        <v>2540</v>
      </c>
      <c r="AF59" s="6">
        <v>1047</v>
      </c>
    </row>
    <row r="60" spans="1:32" s="4" customFormat="1" ht="12.75" x14ac:dyDescent="0.2">
      <c r="A60" s="7" t="s">
        <v>257</v>
      </c>
      <c r="B60" s="7" t="s">
        <v>258</v>
      </c>
      <c r="C60" s="7" t="s">
        <v>259</v>
      </c>
      <c r="D60" s="6">
        <v>0.22873769700527202</v>
      </c>
      <c r="E60" s="6">
        <v>-0.93733161687851008</v>
      </c>
      <c r="F60" s="6">
        <v>-0.40193235874176003</v>
      </c>
      <c r="G60" s="6">
        <v>-0.87390482425689708</v>
      </c>
      <c r="H60" s="6">
        <v>-0.43630445003509505</v>
      </c>
      <c r="I60" s="6">
        <v>0.52941596508026101</v>
      </c>
      <c r="J60" s="6">
        <v>1.216065406799316</v>
      </c>
      <c r="K60" s="6">
        <v>-0.91832113265991211</v>
      </c>
      <c r="L60" s="6">
        <v>2.0807619094848628</v>
      </c>
      <c r="M60" s="6">
        <v>-0.93621748685836803</v>
      </c>
      <c r="N60" s="6">
        <v>0.43097667580780702</v>
      </c>
      <c r="O60" s="6">
        <v>0.37075794585204502</v>
      </c>
      <c r="P60" s="6">
        <v>1.1275953548554429</v>
      </c>
      <c r="Q60" s="6">
        <v>1.031340903655535</v>
      </c>
      <c r="R60" s="6">
        <v>7.9414627122004804</v>
      </c>
      <c r="S60" s="6">
        <v>7.8011416675812262</v>
      </c>
      <c r="T60" s="6">
        <v>15.791658401489258</v>
      </c>
      <c r="U60" s="6" t="str">
        <f>_xll.BDP($A60,"TRAILING_12M_R&amp;D_%_SALES",$A$1,$A$2)</f>
        <v>#N/A N/A</v>
      </c>
      <c r="V60" s="6">
        <v>40</v>
      </c>
      <c r="W60" s="6">
        <v>403010</v>
      </c>
      <c r="X60" s="6">
        <v>40301030</v>
      </c>
      <c r="Y60" s="7" t="s">
        <v>43</v>
      </c>
      <c r="Z60" s="7" t="s">
        <v>44</v>
      </c>
      <c r="AA60" s="7" t="s">
        <v>165</v>
      </c>
      <c r="AB60" s="6">
        <v>57.549541473388672</v>
      </c>
      <c r="AC60" s="6">
        <v>0.30985396623550204</v>
      </c>
      <c r="AD60" s="6"/>
      <c r="AE60" s="6">
        <v>82061</v>
      </c>
      <c r="AF60" s="6">
        <v>71327</v>
      </c>
    </row>
    <row r="61" spans="1:32" s="4" customFormat="1" ht="12.75" x14ac:dyDescent="0.2">
      <c r="A61" s="7" t="s">
        <v>260</v>
      </c>
      <c r="B61" s="7" t="s">
        <v>261</v>
      </c>
      <c r="C61" s="7" t="s">
        <v>262</v>
      </c>
      <c r="D61" s="6">
        <v>0.22873769700527202</v>
      </c>
      <c r="E61" s="6">
        <v>-0.93733161687851008</v>
      </c>
      <c r="F61" s="6">
        <v>-0.40193235874176003</v>
      </c>
      <c r="G61" s="6">
        <v>-0.87390482425689708</v>
      </c>
      <c r="H61" s="6">
        <v>-0.43630445003509505</v>
      </c>
      <c r="I61" s="6">
        <v>0.52941596508026101</v>
      </c>
      <c r="J61" s="6">
        <v>1.216065406799316</v>
      </c>
      <c r="K61" s="6">
        <v>-0.91832113265991211</v>
      </c>
      <c r="L61" s="6">
        <v>2.0807619094848628</v>
      </c>
      <c r="M61" s="6">
        <v>-0.93621748685836803</v>
      </c>
      <c r="N61" s="6">
        <v>0.43097667580780702</v>
      </c>
      <c r="O61" s="6"/>
      <c r="P61" s="6">
        <v>1.1275953548554429</v>
      </c>
      <c r="Q61" s="6"/>
      <c r="R61" s="6">
        <v>7.9414627122004804</v>
      </c>
      <c r="S61" s="6"/>
      <c r="T61" s="6">
        <v>15.791658401489258</v>
      </c>
      <c r="U61" s="6" t="str">
        <f>_xll.BDP($A61,"TRAILING_12M_R&amp;D_%_SALES",$A$1,$A$2)</f>
        <v>#N/A N/A</v>
      </c>
      <c r="V61" s="6">
        <v>40</v>
      </c>
      <c r="W61" s="6">
        <v>403010</v>
      </c>
      <c r="X61" s="6">
        <v>40301030</v>
      </c>
      <c r="Y61" s="7" t="s">
        <v>43</v>
      </c>
      <c r="Z61" s="7" t="s">
        <v>44</v>
      </c>
      <c r="AA61" s="7" t="s">
        <v>165</v>
      </c>
      <c r="AB61" s="6">
        <v>57.549541473388672</v>
      </c>
      <c r="AC61" s="6">
        <v>0.87572600203202211</v>
      </c>
      <c r="AD61" s="6">
        <v>25.633973644343165</v>
      </c>
      <c r="AE61" s="6">
        <v>82061</v>
      </c>
      <c r="AF61" s="6">
        <v>71327</v>
      </c>
    </row>
    <row r="62" spans="1:32" s="4" customFormat="1" ht="12.75" x14ac:dyDescent="0.2">
      <c r="A62" s="7" t="s">
        <v>263</v>
      </c>
      <c r="B62" s="7" t="s">
        <v>264</v>
      </c>
      <c r="C62" s="7" t="s">
        <v>265</v>
      </c>
      <c r="D62" s="6">
        <v>-0.90908795595169112</v>
      </c>
      <c r="E62" s="6">
        <v>-0.44922453165054305</v>
      </c>
      <c r="F62" s="6">
        <v>0.318972438573837</v>
      </c>
      <c r="G62" s="6">
        <v>-0.71611839532852206</v>
      </c>
      <c r="H62" s="6">
        <v>-1.3198554515838621</v>
      </c>
      <c r="I62" s="6">
        <v>-8.5349954664707003E-2</v>
      </c>
      <c r="J62" s="6">
        <v>1.112352609634399</v>
      </c>
      <c r="K62" s="6">
        <v>9.3093059957027005E-2</v>
      </c>
      <c r="L62" s="6">
        <v>2.0241963863372798</v>
      </c>
      <c r="M62" s="6">
        <v>0.178319647908211</v>
      </c>
      <c r="N62" s="6">
        <v>0.74317067900124911</v>
      </c>
      <c r="O62" s="6"/>
      <c r="P62" s="6">
        <v>1.5612495535966751</v>
      </c>
      <c r="Q62" s="6"/>
      <c r="R62" s="6">
        <v>44.44879616244841</v>
      </c>
      <c r="S62" s="6"/>
      <c r="T62" s="6">
        <v>3.640172004699707</v>
      </c>
      <c r="U62" s="6">
        <f>_xll.BDP($A62,"TRAILING_12M_R&amp;D_%_SALES",$A$1,$A$2)</f>
        <v>4.0273073740794025</v>
      </c>
      <c r="V62" s="6">
        <v>45</v>
      </c>
      <c r="W62" s="6">
        <v>452020</v>
      </c>
      <c r="X62" s="6">
        <v>45202030</v>
      </c>
      <c r="Y62" s="7" t="s">
        <v>56</v>
      </c>
      <c r="Z62" s="7" t="s">
        <v>57</v>
      </c>
      <c r="AA62" s="7" t="s">
        <v>57</v>
      </c>
      <c r="AB62" s="6">
        <v>57.821144104003906</v>
      </c>
      <c r="AC62" s="6"/>
      <c r="AD62" s="6"/>
      <c r="AE62" s="6">
        <v>7589</v>
      </c>
      <c r="AF62" s="6"/>
    </row>
    <row r="63" spans="1:32" s="4" customFormat="1" ht="12.75" x14ac:dyDescent="0.2">
      <c r="A63" s="7" t="s">
        <v>266</v>
      </c>
      <c r="B63" s="7" t="s">
        <v>267</v>
      </c>
      <c r="C63" s="7" t="s">
        <v>268</v>
      </c>
      <c r="D63" s="6">
        <v>0.30513080954551702</v>
      </c>
      <c r="E63" s="6">
        <v>1.5740687847137451</v>
      </c>
      <c r="F63" s="6">
        <v>1.105622291564941</v>
      </c>
      <c r="G63" s="6">
        <v>-0.20825982093811002</v>
      </c>
      <c r="H63" s="6">
        <v>0.65280514955520608</v>
      </c>
      <c r="I63" s="6">
        <v>1.2115588188171391</v>
      </c>
      <c r="J63" s="6">
        <v>-0.22326414287090302</v>
      </c>
      <c r="K63" s="6">
        <v>-0.17558228969574002</v>
      </c>
      <c r="L63" s="6">
        <v>0.28988045454025302</v>
      </c>
      <c r="M63" s="6">
        <v>3.4208856523037005E-2</v>
      </c>
      <c r="N63" s="6">
        <v>12.924241656328691</v>
      </c>
      <c r="O63" s="6">
        <v>10.261117403009962</v>
      </c>
      <c r="P63" s="6">
        <v>19.264945284974708</v>
      </c>
      <c r="Q63" s="6">
        <v>17.306405401430865</v>
      </c>
      <c r="R63" s="6">
        <v>33.007608253215068</v>
      </c>
      <c r="S63" s="6">
        <v>23.027802364344229</v>
      </c>
      <c r="T63" s="6">
        <v>60.312225341796875</v>
      </c>
      <c r="U63" s="6">
        <f>_xll.BDP($A63,"TRAILING_12M_R&amp;D_%_SALES",$A$1,$A$2)</f>
        <v>18.051731492612557</v>
      </c>
      <c r="V63" s="6">
        <v>45</v>
      </c>
      <c r="W63" s="6">
        <v>453010</v>
      </c>
      <c r="X63" s="6">
        <v>45301020</v>
      </c>
      <c r="Y63" s="7" t="s">
        <v>56</v>
      </c>
      <c r="Z63" s="7" t="s">
        <v>130</v>
      </c>
      <c r="AA63" s="7" t="s">
        <v>131</v>
      </c>
      <c r="AB63" s="6">
        <v>54.380847930908203</v>
      </c>
      <c r="AC63" s="6">
        <v>1.3198056721359439</v>
      </c>
      <c r="AD63" s="6">
        <v>104.71352973861431</v>
      </c>
      <c r="AE63" s="6">
        <v>20000</v>
      </c>
      <c r="AF63" s="6">
        <v>15000</v>
      </c>
    </row>
    <row r="64" spans="1:32" s="4" customFormat="1" ht="12.75" x14ac:dyDescent="0.2">
      <c r="A64" s="7" t="s">
        <v>269</v>
      </c>
      <c r="B64" s="7" t="s">
        <v>270</v>
      </c>
      <c r="C64" s="7" t="s">
        <v>271</v>
      </c>
      <c r="D64" s="6">
        <v>-0.80542957782745406</v>
      </c>
      <c r="E64" s="6">
        <v>-1.331218838691711</v>
      </c>
      <c r="F64" s="6">
        <v>-3.0219554901123002E-2</v>
      </c>
      <c r="G64" s="6">
        <v>-0.95928454399108909</v>
      </c>
      <c r="H64" s="6">
        <v>-0.20784360170364402</v>
      </c>
      <c r="I64" s="6">
        <v>-0.560813248157501</v>
      </c>
      <c r="J64" s="6">
        <v>1.5637413263320921</v>
      </c>
      <c r="K64" s="6">
        <v>-1.6171391010284419</v>
      </c>
      <c r="L64" s="6">
        <v>2.996119499206543</v>
      </c>
      <c r="M64" s="6">
        <v>-0.92855924367904707</v>
      </c>
      <c r="N64" s="6">
        <v>3.7008182334021873</v>
      </c>
      <c r="O64" s="6">
        <v>0.54562136788478999</v>
      </c>
      <c r="P64" s="6">
        <v>1.2860249486599029</v>
      </c>
      <c r="Q64" s="6">
        <v>1.2126831968706731</v>
      </c>
      <c r="R64" s="6"/>
      <c r="S64" s="6">
        <v>9.1972451519947445</v>
      </c>
      <c r="T64" s="6">
        <v>-4.8423848152160645</v>
      </c>
      <c r="U64" s="6" t="str">
        <f>_xll.BDP($A64,"TRAILING_12M_R&amp;D_%_SALES",$A$1,$A$2)</f>
        <v>#N/A N/A</v>
      </c>
      <c r="V64" s="6">
        <v>40</v>
      </c>
      <c r="W64" s="6">
        <v>403010</v>
      </c>
      <c r="X64" s="6">
        <v>40301030</v>
      </c>
      <c r="Y64" s="7" t="s">
        <v>43</v>
      </c>
      <c r="Z64" s="7" t="s">
        <v>44</v>
      </c>
      <c r="AA64" s="7" t="s">
        <v>165</v>
      </c>
      <c r="AB64" s="6">
        <v>55.648326873779297</v>
      </c>
      <c r="AC64" s="6">
        <v>0.8181661506362311</v>
      </c>
      <c r="AD64" s="6">
        <v>10.196759075368057</v>
      </c>
      <c r="AE64" s="6">
        <v>24364</v>
      </c>
      <c r="AF64" s="6">
        <v>30021</v>
      </c>
    </row>
    <row r="65" spans="1:32" s="4" customFormat="1" ht="12.75" x14ac:dyDescent="0.2">
      <c r="A65" s="7" t="s">
        <v>272</v>
      </c>
      <c r="B65" s="7" t="s">
        <v>273</v>
      </c>
      <c r="C65" s="7" t="s">
        <v>274</v>
      </c>
      <c r="D65" s="6">
        <v>0.62744957208633401</v>
      </c>
      <c r="E65" s="6">
        <v>-0.87780219316482511</v>
      </c>
      <c r="F65" s="6">
        <v>1.182050228118896</v>
      </c>
      <c r="G65" s="6">
        <v>-0.96420377492904707</v>
      </c>
      <c r="H65" s="6">
        <v>-0.5934174656867981</v>
      </c>
      <c r="I65" s="6">
        <v>0.19131496548652602</v>
      </c>
      <c r="J65" s="6">
        <v>1.227811336517334</v>
      </c>
      <c r="K65" s="6">
        <v>-1.366952538490295</v>
      </c>
      <c r="L65" s="6">
        <v>2.109931468963623</v>
      </c>
      <c r="M65" s="6">
        <v>-0.98966944217681907</v>
      </c>
      <c r="N65" s="6">
        <v>0.654761850313752</v>
      </c>
      <c r="O65" s="6">
        <v>0.65001173252516209</v>
      </c>
      <c r="P65" s="6">
        <v>1.7341175111485971</v>
      </c>
      <c r="Q65" s="6">
        <v>1.289706027262276</v>
      </c>
      <c r="R65" s="6">
        <v>9.981191481604661</v>
      </c>
      <c r="S65" s="6">
        <v>8.0475811065326859</v>
      </c>
      <c r="T65" s="6">
        <v>11.60093879699707</v>
      </c>
      <c r="U65" s="6" t="str">
        <f>_xll.BDP($A65,"TRAILING_12M_R&amp;D_%_SALES",$A$1,$A$2)</f>
        <v>#N/A N/A</v>
      </c>
      <c r="V65" s="6">
        <v>40</v>
      </c>
      <c r="W65" s="6">
        <v>403010</v>
      </c>
      <c r="X65" s="6">
        <v>40301030</v>
      </c>
      <c r="Y65" s="7" t="s">
        <v>43</v>
      </c>
      <c r="Z65" s="7" t="s">
        <v>44</v>
      </c>
      <c r="AA65" s="7" t="s">
        <v>165</v>
      </c>
      <c r="AB65" s="6">
        <v>58.394527435302734</v>
      </c>
      <c r="AC65" s="6">
        <v>0.64483797871808402</v>
      </c>
      <c r="AD65" s="6">
        <v>20.664481952175873</v>
      </c>
      <c r="AE65" s="6">
        <v>90443</v>
      </c>
      <c r="AF65" s="6">
        <v>116514</v>
      </c>
    </row>
    <row r="66" spans="1:32" s="4" customFormat="1" ht="12.75" x14ac:dyDescent="0.2">
      <c r="A66" s="7" t="s">
        <v>275</v>
      </c>
      <c r="B66" s="7" t="s">
        <v>276</v>
      </c>
      <c r="C66" s="7" t="s">
        <v>277</v>
      </c>
      <c r="D66" s="6">
        <v>0.62744957208633401</v>
      </c>
      <c r="E66" s="6">
        <v>-0.87780219316482511</v>
      </c>
      <c r="F66" s="6">
        <v>1.182050228118896</v>
      </c>
      <c r="G66" s="6">
        <v>-0.96420377492904707</v>
      </c>
      <c r="H66" s="6">
        <v>-0.5934174656867981</v>
      </c>
      <c r="I66" s="6">
        <v>0.19131496548652602</v>
      </c>
      <c r="J66" s="6">
        <v>1.227811336517334</v>
      </c>
      <c r="K66" s="6">
        <v>-1.366952538490295</v>
      </c>
      <c r="L66" s="6">
        <v>2.109931468963623</v>
      </c>
      <c r="M66" s="6">
        <v>-0.98966944217681907</v>
      </c>
      <c r="N66" s="6">
        <v>0.654761850313752</v>
      </c>
      <c r="O66" s="6">
        <v>0.65115256046348302</v>
      </c>
      <c r="P66" s="6">
        <v>1.7341175111485971</v>
      </c>
      <c r="Q66" s="6">
        <v>1.304456204580895</v>
      </c>
      <c r="R66" s="6">
        <v>9.981191481604661</v>
      </c>
      <c r="S66" s="6">
        <v>8.139615494547197</v>
      </c>
      <c r="T66" s="6">
        <v>11.60093879699707</v>
      </c>
      <c r="U66" s="6" t="str">
        <f>_xll.BDP($A66,"TRAILING_12M_R&amp;D_%_SALES",$A$1,$A$2)</f>
        <v>#N/A N/A</v>
      </c>
      <c r="V66" s="6">
        <v>40</v>
      </c>
      <c r="W66" s="6">
        <v>403010</v>
      </c>
      <c r="X66" s="6">
        <v>40301030</v>
      </c>
      <c r="Y66" s="7" t="s">
        <v>43</v>
      </c>
      <c r="Z66" s="7" t="s">
        <v>44</v>
      </c>
      <c r="AA66" s="7" t="s">
        <v>165</v>
      </c>
      <c r="AB66" s="6">
        <v>58.394527435302734</v>
      </c>
      <c r="AC66" s="6">
        <v>0.95660387719780704</v>
      </c>
      <c r="AD66" s="6">
        <v>23.566453958313627</v>
      </c>
      <c r="AE66" s="6">
        <v>90443</v>
      </c>
      <c r="AF66" s="6">
        <v>116514</v>
      </c>
    </row>
    <row r="67" spans="1:32" s="4" customFormat="1" ht="12.75" x14ac:dyDescent="0.2">
      <c r="A67" s="7" t="s">
        <v>278</v>
      </c>
      <c r="B67" s="7" t="s">
        <v>279</v>
      </c>
      <c r="C67" s="7" t="s">
        <v>280</v>
      </c>
      <c r="D67" s="6">
        <v>-0.25503072142601002</v>
      </c>
      <c r="E67" s="6">
        <v>-0.48804941773414606</v>
      </c>
      <c r="F67" s="6">
        <v>1.5955488681793211</v>
      </c>
      <c r="G67" s="6">
        <v>-0.80228120088577304</v>
      </c>
      <c r="H67" s="6">
        <v>0.683954298496246</v>
      </c>
      <c r="I67" s="6">
        <v>0.20370192825794201</v>
      </c>
      <c r="J67" s="6">
        <v>0.35205599665641801</v>
      </c>
      <c r="K67" s="6">
        <v>0.17852866649627702</v>
      </c>
      <c r="L67" s="6">
        <v>-0.55018687248230003</v>
      </c>
      <c r="M67" s="6">
        <v>-0.85650169849395807</v>
      </c>
      <c r="N67" s="6">
        <v>2.741230638419224</v>
      </c>
      <c r="O67" s="6"/>
      <c r="P67" s="6">
        <v>2.375730992993299</v>
      </c>
      <c r="Q67" s="6"/>
      <c r="R67" s="6">
        <v>25.749471564196377</v>
      </c>
      <c r="S67" s="6"/>
      <c r="T67" s="6">
        <v>9.6865568161010742</v>
      </c>
      <c r="U67" s="6" t="str">
        <f>_xll.BDP($A67,"TRAILING_12M_R&amp;D_%_SALES",$A$1,$A$2)</f>
        <v>#N/A N/A</v>
      </c>
      <c r="V67" s="6">
        <v>40</v>
      </c>
      <c r="W67" s="6">
        <v>401010</v>
      </c>
      <c r="X67" s="6">
        <v>40101010</v>
      </c>
      <c r="Y67" s="7" t="s">
        <v>43</v>
      </c>
      <c r="Z67" s="7" t="s">
        <v>67</v>
      </c>
      <c r="AA67" s="7" t="s">
        <v>68</v>
      </c>
      <c r="AB67" s="6"/>
      <c r="AC67" s="6"/>
      <c r="AD67" s="6"/>
      <c r="AE67" s="6">
        <v>91898</v>
      </c>
      <c r="AF67" s="6">
        <v>59614</v>
      </c>
    </row>
    <row r="68" spans="1:32" s="4" customFormat="1" ht="12.75" x14ac:dyDescent="0.2">
      <c r="A68" s="7" t="s">
        <v>281</v>
      </c>
      <c r="B68" s="7" t="s">
        <v>282</v>
      </c>
      <c r="C68" s="7" t="s">
        <v>283</v>
      </c>
      <c r="D68" s="6">
        <v>0.38951826095581105</v>
      </c>
      <c r="E68" s="6">
        <v>-0.38706806302070601</v>
      </c>
      <c r="F68" s="6">
        <v>-0.30896162986755404</v>
      </c>
      <c r="G68" s="6">
        <v>-0.50830483436584506</v>
      </c>
      <c r="H68" s="6">
        <v>0.43670320510864302</v>
      </c>
      <c r="I68" s="6">
        <v>-0.47835406661033603</v>
      </c>
      <c r="J68" s="6">
        <v>0.51474416255950906</v>
      </c>
      <c r="K68" s="6">
        <v>-0.57566231489181507</v>
      </c>
      <c r="L68" s="6">
        <v>2.2359082475305003E-2</v>
      </c>
      <c r="M68" s="6">
        <v>-0.67586183547973611</v>
      </c>
      <c r="N68" s="6">
        <v>2.1321031084929478</v>
      </c>
      <c r="O68" s="6">
        <v>2.0578728341415098</v>
      </c>
      <c r="P68" s="6">
        <v>4.9982017282501889</v>
      </c>
      <c r="Q68" s="6">
        <v>4.5540842559338648</v>
      </c>
      <c r="R68" s="6">
        <v>17.574108332973058</v>
      </c>
      <c r="S68" s="6">
        <v>15.207773451813036</v>
      </c>
      <c r="T68" s="6">
        <v>30.797441482543945</v>
      </c>
      <c r="U68" s="6" t="str">
        <f>_xll.BDP($A68,"TRAILING_12M_R&amp;D_%_SALES",$A$1,$A$2)</f>
        <v>#N/A N/A</v>
      </c>
      <c r="V68" s="6">
        <v>40</v>
      </c>
      <c r="W68" s="6">
        <v>402020</v>
      </c>
      <c r="X68" s="6">
        <v>40202010</v>
      </c>
      <c r="Y68" s="7" t="s">
        <v>43</v>
      </c>
      <c r="Z68" s="7" t="s">
        <v>188</v>
      </c>
      <c r="AA68" s="7" t="s">
        <v>188</v>
      </c>
      <c r="AB68" s="6">
        <v>56.292125701904297</v>
      </c>
      <c r="AC68" s="6">
        <v>1.1402425968365051</v>
      </c>
      <c r="AD68" s="6">
        <v>29.066228061000142</v>
      </c>
      <c r="AE68" s="6">
        <v>77300</v>
      </c>
      <c r="AF68" s="6">
        <v>55000</v>
      </c>
    </row>
    <row r="69" spans="1:32" s="4" customFormat="1" ht="12.75" x14ac:dyDescent="0.2">
      <c r="A69" s="7" t="s">
        <v>284</v>
      </c>
      <c r="B69" s="7" t="s">
        <v>285</v>
      </c>
      <c r="C69" s="7" t="s">
        <v>286</v>
      </c>
      <c r="D69" s="6">
        <v>-0.96447259187698409</v>
      </c>
      <c r="E69" s="6">
        <v>0.18852496147155801</v>
      </c>
      <c r="F69" s="6">
        <v>-1.6463265419006352</v>
      </c>
      <c r="G69" s="6">
        <v>0.327310711145401</v>
      </c>
      <c r="H69" s="6">
        <v>1.5448522567749019</v>
      </c>
      <c r="I69" s="6">
        <v>3.9777975529432005E-2</v>
      </c>
      <c r="J69" s="6">
        <v>-9.0397484600544004E-2</v>
      </c>
      <c r="K69" s="6">
        <v>-8.995098620653201E-2</v>
      </c>
      <c r="L69" s="6">
        <v>-0.72281217575073209</v>
      </c>
      <c r="M69" s="6">
        <v>-0.16984565556049303</v>
      </c>
      <c r="N69" s="6">
        <v>2.6624592456102683</v>
      </c>
      <c r="O69" s="6">
        <v>2.3563170007497911</v>
      </c>
      <c r="P69" s="6"/>
      <c r="Q69" s="6"/>
      <c r="R69" s="6">
        <v>18.767584890929893</v>
      </c>
      <c r="S69" s="6">
        <v>16.817097432010922</v>
      </c>
      <c r="T69" s="6"/>
      <c r="U69" s="6" t="str">
        <f>_xll.BDP($A69,"TRAILING_12M_R&amp;D_%_SALES",$A$1,$A$2)</f>
        <v>#N/A N/A</v>
      </c>
      <c r="V69" s="6">
        <v>25</v>
      </c>
      <c r="W69" s="6">
        <v>255040</v>
      </c>
      <c r="X69" s="6">
        <v>25504050</v>
      </c>
      <c r="Y69" s="7" t="s">
        <v>85</v>
      </c>
      <c r="Z69" s="7" t="s">
        <v>287</v>
      </c>
      <c r="AA69" s="7" t="s">
        <v>288</v>
      </c>
      <c r="AB69" s="6">
        <v>55.416961669921875</v>
      </c>
      <c r="AC69" s="6">
        <v>0.72282514683425703</v>
      </c>
      <c r="AD69" s="6">
        <v>4.9192993927145601</v>
      </c>
      <c r="AE69" s="6">
        <v>71400</v>
      </c>
      <c r="AF69" s="6">
        <v>54900</v>
      </c>
    </row>
    <row r="70" spans="1:32" s="4" customFormat="1" ht="12.75" x14ac:dyDescent="0.2">
      <c r="A70" s="7" t="s">
        <v>289</v>
      </c>
      <c r="B70" s="7" t="s">
        <v>290</v>
      </c>
      <c r="C70" s="7" t="s">
        <v>291</v>
      </c>
      <c r="D70" s="6">
        <v>0.2743279337883</v>
      </c>
      <c r="E70" s="6">
        <v>-1.7378908395767212</v>
      </c>
      <c r="F70" s="6">
        <v>-0.98975366353988603</v>
      </c>
      <c r="G70" s="6">
        <v>0.83997178077697809</v>
      </c>
      <c r="H70" s="6">
        <v>1.2347090244293211</v>
      </c>
      <c r="I70" s="6">
        <v>0.47323319315910306</v>
      </c>
      <c r="J70" s="6">
        <v>-0.75722652673721302</v>
      </c>
      <c r="K70" s="6">
        <v>-3.7220545113087006E-2</v>
      </c>
      <c r="L70" s="6">
        <v>-0.72281217575073209</v>
      </c>
      <c r="M70" s="6">
        <v>0.21370740234851801</v>
      </c>
      <c r="N70" s="6">
        <v>2.0763032556038512</v>
      </c>
      <c r="O70" s="6">
        <v>1.734656068469016</v>
      </c>
      <c r="P70" s="6"/>
      <c r="Q70" s="6"/>
      <c r="R70" s="6"/>
      <c r="S70" s="6">
        <v>62.926240357202801</v>
      </c>
      <c r="T70" s="6"/>
      <c r="U70" s="6">
        <f>_xll.BDP($A70,"TRAILING_12M_R&amp;D_%_SALES",$A$1,$A$2)</f>
        <v>5.7308657937068723</v>
      </c>
      <c r="V70" s="6">
        <v>20</v>
      </c>
      <c r="W70" s="6">
        <v>201010</v>
      </c>
      <c r="X70" s="6">
        <v>20101010</v>
      </c>
      <c r="Y70" s="7" t="s">
        <v>38</v>
      </c>
      <c r="Z70" s="7" t="s">
        <v>292</v>
      </c>
      <c r="AA70" s="7" t="s">
        <v>292</v>
      </c>
      <c r="AB70" s="6">
        <v>63.16265869140625</v>
      </c>
      <c r="AC70" s="6">
        <v>1.0053234175651209</v>
      </c>
      <c r="AD70" s="6">
        <v>37.981048440576174</v>
      </c>
      <c r="AE70" s="6">
        <v>156000</v>
      </c>
      <c r="AF70" s="6">
        <v>140800</v>
      </c>
    </row>
    <row r="71" spans="1:32" s="4" customFormat="1" ht="12.75" x14ac:dyDescent="0.2">
      <c r="A71" s="7" t="s">
        <v>293</v>
      </c>
      <c r="B71" s="7" t="s">
        <v>294</v>
      </c>
      <c r="C71" s="7" t="s">
        <v>295</v>
      </c>
      <c r="D71" s="6">
        <v>0.78370815515518211</v>
      </c>
      <c r="E71" s="6">
        <v>-0.7770527005195621</v>
      </c>
      <c r="F71" s="6">
        <v>2.4453291893005371</v>
      </c>
      <c r="G71" s="6">
        <v>0.25505226850509605</v>
      </c>
      <c r="H71" s="6">
        <v>-0.85982024669647206</v>
      </c>
      <c r="I71" s="6">
        <v>-0.35272261500358604</v>
      </c>
      <c r="J71" s="6">
        <v>0.77646023035049405</v>
      </c>
      <c r="K71" s="6">
        <v>-0.19322246313095101</v>
      </c>
      <c r="L71" s="6">
        <v>-0.72281217575073209</v>
      </c>
      <c r="M71" s="6">
        <v>-0.353281110525131</v>
      </c>
      <c r="N71" s="6">
        <v>1.5472160866854412</v>
      </c>
      <c r="O71" s="6">
        <v>1.374136099111904</v>
      </c>
      <c r="P71" s="6">
        <v>1.3524882200723551</v>
      </c>
      <c r="Q71" s="6">
        <v>1.2997080539737031</v>
      </c>
      <c r="R71" s="6">
        <v>10.186213393623714</v>
      </c>
      <c r="S71" s="6">
        <v>7.8711377676817618</v>
      </c>
      <c r="T71" s="6">
        <v>13.350250244140625</v>
      </c>
      <c r="U71" s="6">
        <f>_xll.BDP($A71,"TRAILING_12M_R&amp;D_%_SALES",$A$1,$A$2)</f>
        <v>5.734761913977553</v>
      </c>
      <c r="V71" s="6">
        <v>25</v>
      </c>
      <c r="W71" s="6">
        <v>255030</v>
      </c>
      <c r="X71" s="6">
        <v>25503030</v>
      </c>
      <c r="Y71" s="7" t="s">
        <v>85</v>
      </c>
      <c r="Z71" s="7" t="s">
        <v>227</v>
      </c>
      <c r="AA71" s="7" t="s">
        <v>227</v>
      </c>
      <c r="AB71" s="6">
        <v>46.645206451416016</v>
      </c>
      <c r="AC71" s="6">
        <v>1.0729092324615379</v>
      </c>
      <c r="AD71" s="6">
        <v>-11.851541809818888</v>
      </c>
      <c r="AE71" s="6">
        <v>235216</v>
      </c>
      <c r="AF71" s="6">
        <v>66421</v>
      </c>
    </row>
    <row r="72" spans="1:32" s="4" customFormat="1" ht="12.75" x14ac:dyDescent="0.2">
      <c r="A72" s="7" t="s">
        <v>296</v>
      </c>
      <c r="B72" s="7" t="s">
        <v>297</v>
      </c>
      <c r="C72" s="7" t="s">
        <v>298</v>
      </c>
      <c r="D72" s="6">
        <v>0.78370815515518211</v>
      </c>
      <c r="E72" s="6">
        <v>-0.7770527005195621</v>
      </c>
      <c r="F72" s="6">
        <v>2.4453291893005371</v>
      </c>
      <c r="G72" s="6">
        <v>0.25505226850509605</v>
      </c>
      <c r="H72" s="6">
        <v>-0.85982024669647206</v>
      </c>
      <c r="I72" s="6">
        <v>-0.35272261500358604</v>
      </c>
      <c r="J72" s="6">
        <v>0.77646023035049405</v>
      </c>
      <c r="K72" s="6">
        <v>-0.19322246313095101</v>
      </c>
      <c r="L72" s="6">
        <v>-0.72281217575073209</v>
      </c>
      <c r="M72" s="6">
        <v>-0.353281110525131</v>
      </c>
      <c r="N72" s="6">
        <v>1.5472160866854412</v>
      </c>
      <c r="O72" s="6">
        <v>1.36154887099404</v>
      </c>
      <c r="P72" s="6">
        <v>1.3524882200723551</v>
      </c>
      <c r="Q72" s="6">
        <v>1.287801971473683</v>
      </c>
      <c r="R72" s="6">
        <v>10.186213393623714</v>
      </c>
      <c r="S72" s="6">
        <v>7.7990359818045718</v>
      </c>
      <c r="T72" s="6">
        <v>13.350250244140625</v>
      </c>
      <c r="U72" s="6">
        <f>_xll.BDP($A72,"TRAILING_12M_R&amp;D_%_SALES",$A$1,$A$2)</f>
        <v>5.734761913977553</v>
      </c>
      <c r="V72" s="6">
        <v>25</v>
      </c>
      <c r="W72" s="6">
        <v>255030</v>
      </c>
      <c r="X72" s="6">
        <v>25503030</v>
      </c>
      <c r="Y72" s="7" t="s">
        <v>85</v>
      </c>
      <c r="Z72" s="7" t="s">
        <v>227</v>
      </c>
      <c r="AA72" s="7" t="s">
        <v>227</v>
      </c>
      <c r="AB72" s="6">
        <v>46.645206451416016</v>
      </c>
      <c r="AC72" s="6">
        <v>0.85050638363216102</v>
      </c>
      <c r="AD72" s="6">
        <v>-10.752285867033596</v>
      </c>
      <c r="AE72" s="6">
        <v>235216</v>
      </c>
      <c r="AF72" s="6">
        <v>66421</v>
      </c>
    </row>
    <row r="73" spans="1:32" s="4" customFormat="1" ht="12.75" x14ac:dyDescent="0.2">
      <c r="A73" s="7" t="s">
        <v>299</v>
      </c>
      <c r="B73" s="7" t="s">
        <v>300</v>
      </c>
      <c r="C73" s="7" t="s">
        <v>301</v>
      </c>
      <c r="D73" s="6">
        <v>1.517397403717041</v>
      </c>
      <c r="E73" s="6">
        <v>-0.98850983381271407</v>
      </c>
      <c r="F73" s="6">
        <v>-0.10620924830436701</v>
      </c>
      <c r="G73" s="6">
        <v>-0.21246112883091001</v>
      </c>
      <c r="H73" s="6">
        <v>0.63656961917877208</v>
      </c>
      <c r="I73" s="6">
        <v>-0.93743473291397106</v>
      </c>
      <c r="J73" s="6">
        <v>1.729903101921082</v>
      </c>
      <c r="K73" s="6">
        <v>-1.1040298938751221</v>
      </c>
      <c r="L73" s="6">
        <v>0.95517301559448209</v>
      </c>
      <c r="M73" s="6">
        <v>-0.99668800830841109</v>
      </c>
      <c r="N73" s="6">
        <v>1.6609867344255229</v>
      </c>
      <c r="O73" s="6">
        <v>2.6385635555509408</v>
      </c>
      <c r="P73" s="6">
        <v>1.03136239132815</v>
      </c>
      <c r="Q73" s="6">
        <v>0.94853076614403409</v>
      </c>
      <c r="R73" s="6">
        <v>9.2206732070047295</v>
      </c>
      <c r="S73" s="6">
        <v>10.310161336681809</v>
      </c>
      <c r="T73" s="6">
        <v>11.594668388366699</v>
      </c>
      <c r="U73" s="6" t="str">
        <f>_xll.BDP($A73,"TRAILING_12M_R&amp;D_%_SALES",$A$1,$A$2)</f>
        <v>#N/A N/A</v>
      </c>
      <c r="V73" s="6">
        <v>40</v>
      </c>
      <c r="W73" s="6">
        <v>401010</v>
      </c>
      <c r="X73" s="6">
        <v>40101010</v>
      </c>
      <c r="Y73" s="7" t="s">
        <v>43</v>
      </c>
      <c r="Z73" s="7" t="s">
        <v>67</v>
      </c>
      <c r="AA73" s="7" t="s">
        <v>68</v>
      </c>
      <c r="AB73" s="6">
        <v>75.133285522460938</v>
      </c>
      <c r="AC73" s="6">
        <v>1.1196304227644001</v>
      </c>
      <c r="AD73" s="6">
        <v>4.7575969953243424</v>
      </c>
      <c r="AE73" s="6">
        <v>216823</v>
      </c>
      <c r="AF73" s="6">
        <v>209376</v>
      </c>
    </row>
    <row r="74" spans="1:32" s="4" customFormat="1" ht="12.75" x14ac:dyDescent="0.2">
      <c r="A74" s="7" t="s">
        <v>302</v>
      </c>
      <c r="B74" s="7" t="s">
        <v>303</v>
      </c>
      <c r="C74" s="7" t="s">
        <v>304</v>
      </c>
      <c r="D74" s="6">
        <v>1.4903862476348881</v>
      </c>
      <c r="E74" s="6">
        <v>-0.99427521228790305</v>
      </c>
      <c r="F74" s="6">
        <v>-1.1455256938934331</v>
      </c>
      <c r="G74" s="6">
        <v>-0.81739246845245406</v>
      </c>
      <c r="H74" s="6">
        <v>-0.14319479465484602</v>
      </c>
      <c r="I74" s="6">
        <v>-0.28494369983673101</v>
      </c>
      <c r="J74" s="6">
        <v>3.0000147819519039</v>
      </c>
      <c r="K74" s="6">
        <v>-0.80534088611602805</v>
      </c>
      <c r="L74" s="6">
        <v>3.0000102519989009</v>
      </c>
      <c r="M74" s="6">
        <v>-0.99654668569564808</v>
      </c>
      <c r="N74" s="6">
        <v>0.67617532810802505</v>
      </c>
      <c r="O74" s="6">
        <v>1.646876973732966</v>
      </c>
      <c r="P74" s="6">
        <v>0.36823420007734203</v>
      </c>
      <c r="Q74" s="6">
        <v>0.32425573118530104</v>
      </c>
      <c r="R74" s="6">
        <v>3.488177378998579</v>
      </c>
      <c r="S74" s="6">
        <v>3.500356085072903</v>
      </c>
      <c r="T74" s="6">
        <v>10.969709396362305</v>
      </c>
      <c r="U74" s="6" t="str">
        <f>_xll.BDP($A74,"TRAILING_12M_R&amp;D_%_SALES",$A$1,$A$2)</f>
        <v>#N/A N/A</v>
      </c>
      <c r="V74" s="6">
        <v>40</v>
      </c>
      <c r="W74" s="6">
        <v>401010</v>
      </c>
      <c r="X74" s="6">
        <v>40101010</v>
      </c>
      <c r="Y74" s="7" t="s">
        <v>43</v>
      </c>
      <c r="Z74" s="7" t="s">
        <v>67</v>
      </c>
      <c r="AA74" s="7" t="s">
        <v>68</v>
      </c>
      <c r="AB74" s="6">
        <v>59.631828308105469</v>
      </c>
      <c r="AC74" s="6">
        <v>0.56275988339125005</v>
      </c>
      <c r="AD74" s="6">
        <v>17.597498544866674</v>
      </c>
      <c r="AE74" s="6">
        <v>306182</v>
      </c>
      <c r="AF74" s="6">
        <v>311133</v>
      </c>
    </row>
    <row r="75" spans="1:32" s="4" customFormat="1" ht="12.75" x14ac:dyDescent="0.2">
      <c r="A75" s="7" t="s">
        <v>305</v>
      </c>
      <c r="B75" s="7" t="s">
        <v>306</v>
      </c>
      <c r="C75" s="7" t="s">
        <v>307</v>
      </c>
      <c r="D75" s="6">
        <v>1.4903862476348881</v>
      </c>
      <c r="E75" s="6">
        <v>-0.99427521228790305</v>
      </c>
      <c r="F75" s="6">
        <v>-1.1455256938934331</v>
      </c>
      <c r="G75" s="6">
        <v>-0.81739246845245406</v>
      </c>
      <c r="H75" s="6">
        <v>-0.14319479465484602</v>
      </c>
      <c r="I75" s="6">
        <v>-0.28494369983673101</v>
      </c>
      <c r="J75" s="6">
        <v>3.0000147819519039</v>
      </c>
      <c r="K75" s="6">
        <v>-0.80534088611602805</v>
      </c>
      <c r="L75" s="6">
        <v>3.0000102519989009</v>
      </c>
      <c r="M75" s="6">
        <v>-0.99654668569564808</v>
      </c>
      <c r="N75" s="6">
        <v>0.67617532810802505</v>
      </c>
      <c r="O75" s="6"/>
      <c r="P75" s="6">
        <v>0.36823420007734203</v>
      </c>
      <c r="Q75" s="6"/>
      <c r="R75" s="6">
        <v>3.488177378998579</v>
      </c>
      <c r="S75" s="6"/>
      <c r="T75" s="6">
        <v>10.969709396362305</v>
      </c>
      <c r="U75" s="6" t="str">
        <f>_xll.BDP($A75,"TRAILING_12M_R&amp;D_%_SALES",$A$1,$A$2)</f>
        <v>#N/A N/A</v>
      </c>
      <c r="V75" s="6">
        <v>40</v>
      </c>
      <c r="W75" s="6">
        <v>401010</v>
      </c>
      <c r="X75" s="6">
        <v>40101010</v>
      </c>
      <c r="Y75" s="7" t="s">
        <v>43</v>
      </c>
      <c r="Z75" s="7" t="s">
        <v>67</v>
      </c>
      <c r="AA75" s="7" t="s">
        <v>68</v>
      </c>
      <c r="AB75" s="6">
        <v>59.631828308105469</v>
      </c>
      <c r="AC75" s="6">
        <v>0.66379275789542402</v>
      </c>
      <c r="AD75" s="6">
        <v>13.68421221480698</v>
      </c>
      <c r="AE75" s="6">
        <v>306182</v>
      </c>
      <c r="AF75" s="6">
        <v>311133</v>
      </c>
    </row>
    <row r="76" spans="1:32" s="4" customFormat="1" ht="12.75" x14ac:dyDescent="0.2">
      <c r="A76" s="7" t="s">
        <v>308</v>
      </c>
      <c r="B76" s="7" t="s">
        <v>309</v>
      </c>
      <c r="C76" s="7" t="s">
        <v>310</v>
      </c>
      <c r="D76" s="6">
        <v>-0.58295655250549305</v>
      </c>
      <c r="E76" s="6">
        <v>-0.88094967603683505</v>
      </c>
      <c r="F76" s="6">
        <v>1.888105154037476</v>
      </c>
      <c r="G76" s="6">
        <v>0.68205744028091408</v>
      </c>
      <c r="H76" s="6">
        <v>-0.39447370171546903</v>
      </c>
      <c r="I76" s="6">
        <v>-0.12163972109556201</v>
      </c>
      <c r="J76" s="6">
        <v>0.42360806465148904</v>
      </c>
      <c r="K76" s="6">
        <v>-0.60707628726959206</v>
      </c>
      <c r="L76" s="6">
        <v>-0.72281217575073209</v>
      </c>
      <c r="M76" s="6">
        <v>-0.52597171068191506</v>
      </c>
      <c r="N76" s="6">
        <v>2.2312369382210959</v>
      </c>
      <c r="O76" s="6">
        <v>2.0093275570072819</v>
      </c>
      <c r="P76" s="6">
        <v>1.227043999257875</v>
      </c>
      <c r="Q76" s="6">
        <v>1.129919238195781</v>
      </c>
      <c r="R76" s="6">
        <v>14.232671235709676</v>
      </c>
      <c r="S76" s="6">
        <v>10.501160739946958</v>
      </c>
      <c r="T76" s="6">
        <v>9.8633127212524414</v>
      </c>
      <c r="U76" s="6">
        <f>_xll.BDP($A76,"TRAILING_12M_R&amp;D_%_SALES",$A$1,$A$2)</f>
        <v>16.625727699530515</v>
      </c>
      <c r="V76" s="6">
        <v>50</v>
      </c>
      <c r="W76" s="6">
        <v>502030</v>
      </c>
      <c r="X76" s="6">
        <v>50203010</v>
      </c>
      <c r="Y76" s="7" t="s">
        <v>311</v>
      </c>
      <c r="Z76" s="7" t="s">
        <v>312</v>
      </c>
      <c r="AA76" s="7" t="s">
        <v>312</v>
      </c>
      <c r="AB76" s="6">
        <v>46.182476043701172</v>
      </c>
      <c r="AC76" s="6">
        <v>0.98082390159824506</v>
      </c>
      <c r="AD76" s="6">
        <v>-5.2184317762521637</v>
      </c>
      <c r="AE76" s="6">
        <v>41300</v>
      </c>
      <c r="AF76" s="6">
        <v>39343</v>
      </c>
    </row>
    <row r="77" spans="1:32" s="4" customFormat="1" ht="12.75" x14ac:dyDescent="0.2">
      <c r="A77" s="7" t="s">
        <v>313</v>
      </c>
      <c r="B77" s="7" t="s">
        <v>314</v>
      </c>
      <c r="C77" s="7" t="s">
        <v>315</v>
      </c>
      <c r="D77" s="6">
        <v>0.45129537582397505</v>
      </c>
      <c r="E77" s="6">
        <v>-0.73091471195220903</v>
      </c>
      <c r="F77" s="6">
        <v>-0.15222688019275701</v>
      </c>
      <c r="G77" s="6">
        <v>-0.95354950428009011</v>
      </c>
      <c r="H77" s="6">
        <v>0.81944411993026711</v>
      </c>
      <c r="I77" s="6">
        <v>0.65695798397064209</v>
      </c>
      <c r="J77" s="6">
        <v>2.6048209667205811</v>
      </c>
      <c r="K77" s="6">
        <v>-0.77410703897476207</v>
      </c>
      <c r="L77" s="6">
        <v>3.0000102519989009</v>
      </c>
      <c r="M77" s="6">
        <v>-0.47517168521881104</v>
      </c>
      <c r="N77" s="6">
        <v>0.42506104077630902</v>
      </c>
      <c r="O77" s="6">
        <v>0.41481731079000306</v>
      </c>
      <c r="P77" s="6">
        <v>0.72814870787499208</v>
      </c>
      <c r="Q77" s="6">
        <v>0.66705336391695702</v>
      </c>
      <c r="R77" s="6">
        <v>5.8301407977328124</v>
      </c>
      <c r="S77" s="6">
        <v>6.214003884809415</v>
      </c>
      <c r="T77" s="6">
        <v>12.671168327331543</v>
      </c>
      <c r="U77" s="6">
        <f>_xll.BDP($A77,"TRAILING_12M_R&amp;D_%_SALES",$A$1,$A$2)</f>
        <v>6.1598581903150427</v>
      </c>
      <c r="V77" s="6">
        <v>25</v>
      </c>
      <c r="W77" s="6">
        <v>251020</v>
      </c>
      <c r="X77" s="6">
        <v>25102010</v>
      </c>
      <c r="Y77" s="7" t="s">
        <v>85</v>
      </c>
      <c r="Z77" s="7" t="s">
        <v>316</v>
      </c>
      <c r="AA77" s="7" t="s">
        <v>317</v>
      </c>
      <c r="AB77" s="6">
        <v>65.033699035644531</v>
      </c>
      <c r="AC77" s="6">
        <v>0.70749845842452408</v>
      </c>
      <c r="AD77" s="6">
        <v>35.537614600470448</v>
      </c>
      <c r="AE77" s="6">
        <v>149475</v>
      </c>
      <c r="AF77" s="6">
        <v>129932</v>
      </c>
    </row>
    <row r="78" spans="1:32" s="4" customFormat="1" ht="12.75" x14ac:dyDescent="0.2">
      <c r="A78" s="7" t="s">
        <v>318</v>
      </c>
      <c r="B78" s="7" t="s">
        <v>319</v>
      </c>
      <c r="C78" s="7" t="s">
        <v>320</v>
      </c>
      <c r="D78" s="6">
        <v>-0.16443784534931202</v>
      </c>
      <c r="E78" s="6">
        <v>-1.391207098960876</v>
      </c>
      <c r="F78" s="6">
        <v>0.20418974757194502</v>
      </c>
      <c r="G78" s="6">
        <v>-0.71469056606292702</v>
      </c>
      <c r="H78" s="6">
        <v>0.22075077891349801</v>
      </c>
      <c r="I78" s="6">
        <v>-7.6236300170422003E-2</v>
      </c>
      <c r="J78" s="6">
        <v>0.95977312326431308</v>
      </c>
      <c r="K78" s="6">
        <v>-1.0498660802841191</v>
      </c>
      <c r="L78" s="6">
        <v>2.9471771717071533</v>
      </c>
      <c r="M78" s="6">
        <v>-0.40337395668029802</v>
      </c>
      <c r="N78" s="6">
        <v>0.60312765145692704</v>
      </c>
      <c r="O78" s="6">
        <v>0.5968260667364651</v>
      </c>
      <c r="P78" s="6">
        <v>1.1202169478031549</v>
      </c>
      <c r="Q78" s="6">
        <v>1.11086550649053</v>
      </c>
      <c r="R78" s="6"/>
      <c r="S78" s="6">
        <v>12.491391629877068</v>
      </c>
      <c r="T78" s="6">
        <v>-7.0196127891540527</v>
      </c>
      <c r="U78" s="6">
        <f>_xll.BDP($A78,"TRAILING_12M_R&amp;D_%_SALES",$A$1,$A$2)</f>
        <v>3.2417195207892879</v>
      </c>
      <c r="V78" s="6">
        <v>15</v>
      </c>
      <c r="W78" s="6">
        <v>151010</v>
      </c>
      <c r="X78" s="6">
        <v>15101020</v>
      </c>
      <c r="Y78" s="7" t="s">
        <v>61</v>
      </c>
      <c r="Z78" s="7" t="s">
        <v>250</v>
      </c>
      <c r="AA78" s="7" t="s">
        <v>321</v>
      </c>
      <c r="AB78" s="6">
        <v>72.095359802246094</v>
      </c>
      <c r="AC78" s="6">
        <v>0.94687201363510909</v>
      </c>
      <c r="AD78" s="6">
        <v>16.060079210468594</v>
      </c>
      <c r="AE78" s="6">
        <v>111481</v>
      </c>
      <c r="AF78" s="6">
        <v>115490</v>
      </c>
    </row>
    <row r="79" spans="1:32" s="4" customFormat="1" ht="12.75" x14ac:dyDescent="0.2">
      <c r="A79" s="7" t="s">
        <v>322</v>
      </c>
      <c r="B79" s="7" t="s">
        <v>323</v>
      </c>
      <c r="C79" s="7" t="s">
        <v>324</v>
      </c>
      <c r="D79" s="6">
        <v>-0.11452598869800601</v>
      </c>
      <c r="E79" s="6">
        <v>-0.98566961288452104</v>
      </c>
      <c r="F79" s="6">
        <v>0.58527207374572809</v>
      </c>
      <c r="G79" s="6">
        <v>-0.83850318193435702</v>
      </c>
      <c r="H79" s="6">
        <v>0.82192414999008201</v>
      </c>
      <c r="I79" s="6">
        <v>-0.650568068027496</v>
      </c>
      <c r="J79" s="6">
        <v>0.87932115793228105</v>
      </c>
      <c r="K79" s="6">
        <v>-1.0292454957962041</v>
      </c>
      <c r="L79" s="6">
        <v>1.7266497611999512</v>
      </c>
      <c r="M79" s="6">
        <v>-0.62422746419906605</v>
      </c>
      <c r="N79" s="6">
        <v>0.6915496678009001</v>
      </c>
      <c r="O79" s="6">
        <v>0.67933734960723002</v>
      </c>
      <c r="P79" s="6">
        <v>0.98978198285062613</v>
      </c>
      <c r="Q79" s="6">
        <v>0.89620521924505203</v>
      </c>
      <c r="R79" s="6"/>
      <c r="S79" s="6">
        <v>5.6835107249130123</v>
      </c>
      <c r="T79" s="6">
        <v>-9.8242511749267578</v>
      </c>
      <c r="U79" s="6">
        <f>_xll.BDP($A79,"TRAILING_12M_R&amp;D_%_SALES",$A$1,$A$2)</f>
        <v>11.883009906074156</v>
      </c>
      <c r="V79" s="6">
        <v>35</v>
      </c>
      <c r="W79" s="6">
        <v>352020</v>
      </c>
      <c r="X79" s="6">
        <v>35202010</v>
      </c>
      <c r="Y79" s="7" t="s">
        <v>72</v>
      </c>
      <c r="Z79" s="7" t="s">
        <v>325</v>
      </c>
      <c r="AA79" s="7" t="s">
        <v>325</v>
      </c>
      <c r="AB79" s="6">
        <v>78.9256591796875</v>
      </c>
      <c r="AC79" s="6">
        <v>0.80127297972610201</v>
      </c>
      <c r="AD79" s="6">
        <v>-26.313025342042163</v>
      </c>
      <c r="AE79" s="6">
        <v>101369</v>
      </c>
      <c r="AF79" s="6">
        <v>99820</v>
      </c>
    </row>
    <row r="80" spans="1:32" s="4" customFormat="1" ht="12.75" x14ac:dyDescent="0.2">
      <c r="A80" s="7" t="s">
        <v>326</v>
      </c>
      <c r="B80" s="7" t="s">
        <v>327</v>
      </c>
      <c r="C80" s="7" t="s">
        <v>328</v>
      </c>
      <c r="D80" s="6">
        <v>-0.11452598869800601</v>
      </c>
      <c r="E80" s="6">
        <v>-0.98566961288452104</v>
      </c>
      <c r="F80" s="6">
        <v>0.58527207374572809</v>
      </c>
      <c r="G80" s="6">
        <v>-0.83850318193435702</v>
      </c>
      <c r="H80" s="6">
        <v>0.82192414999008201</v>
      </c>
      <c r="I80" s="6">
        <v>-0.650568068027496</v>
      </c>
      <c r="J80" s="6">
        <v>0.87932115793228105</v>
      </c>
      <c r="K80" s="6">
        <v>-1.0292454957962041</v>
      </c>
      <c r="L80" s="6">
        <v>1.7266497611999512</v>
      </c>
      <c r="M80" s="6">
        <v>-0.62422746419906605</v>
      </c>
      <c r="N80" s="6">
        <v>0.6915496678009001</v>
      </c>
      <c r="O80" s="6">
        <v>0.68559347835478901</v>
      </c>
      <c r="P80" s="6">
        <v>0.98978198285062613</v>
      </c>
      <c r="Q80" s="6">
        <v>0.91907619400592211</v>
      </c>
      <c r="R80" s="6"/>
      <c r="S80" s="6">
        <v>5.8285614874961151</v>
      </c>
      <c r="T80" s="6">
        <v>-9.8242511749267578</v>
      </c>
      <c r="U80" s="6">
        <f>_xll.BDP($A80,"TRAILING_12M_R&amp;D_%_SALES",$A$1,$A$2)</f>
        <v>11.883009906074156</v>
      </c>
      <c r="V80" s="6">
        <v>35</v>
      </c>
      <c r="W80" s="6">
        <v>352020</v>
      </c>
      <c r="X80" s="6">
        <v>35202010</v>
      </c>
      <c r="Y80" s="7" t="s">
        <v>72</v>
      </c>
      <c r="Z80" s="7" t="s">
        <v>325</v>
      </c>
      <c r="AA80" s="7" t="s">
        <v>325</v>
      </c>
      <c r="AB80" s="6">
        <v>78.9256591796875</v>
      </c>
      <c r="AC80" s="6">
        <v>0.72626010290492404</v>
      </c>
      <c r="AD80" s="6">
        <v>-26.136631749613581</v>
      </c>
      <c r="AE80" s="6">
        <v>101369</v>
      </c>
      <c r="AF80" s="6">
        <v>99820</v>
      </c>
    </row>
    <row r="81" spans="1:32" s="4" customFormat="1" ht="12.75" x14ac:dyDescent="0.2">
      <c r="A81" s="7" t="s">
        <v>329</v>
      </c>
      <c r="B81" s="7" t="s">
        <v>330</v>
      </c>
      <c r="C81" s="7" t="s">
        <v>331</v>
      </c>
      <c r="D81" s="6">
        <v>-1.9886742811650003E-3</v>
      </c>
      <c r="E81" s="6">
        <v>-1.0543655157089229</v>
      </c>
      <c r="F81" s="6">
        <v>-0.44985592365264904</v>
      </c>
      <c r="G81" s="6">
        <v>0.25088256597518904</v>
      </c>
      <c r="H81" s="6">
        <v>1.073121070861816</v>
      </c>
      <c r="I81" s="6">
        <v>-1.320506691932678</v>
      </c>
      <c r="J81" s="6">
        <v>0.82269239425659202</v>
      </c>
      <c r="K81" s="6">
        <v>-0.81796079874038707</v>
      </c>
      <c r="L81" s="6">
        <v>-7.1704305708408009E-2</v>
      </c>
      <c r="M81" s="6">
        <v>-0.87637400627136208</v>
      </c>
      <c r="N81" s="6">
        <v>0.71544325426127509</v>
      </c>
      <c r="O81" s="6">
        <v>1.3605838718045891</v>
      </c>
      <c r="P81" s="6">
        <v>1.0957918797183741</v>
      </c>
      <c r="Q81" s="6">
        <v>1.0376824578704029</v>
      </c>
      <c r="R81" s="6">
        <v>13.131497517440568</v>
      </c>
      <c r="S81" s="6">
        <v>7.7931054627436875</v>
      </c>
      <c r="T81" s="6">
        <v>8.450587272644043</v>
      </c>
      <c r="U81" s="6" t="str">
        <f>_xll.BDP($A81,"TRAILING_12M_R&amp;D_%_SALES",$A$1,$A$2)</f>
        <v>#N/A N/A</v>
      </c>
      <c r="V81" s="6">
        <v>40</v>
      </c>
      <c r="W81" s="6">
        <v>401010</v>
      </c>
      <c r="X81" s="6">
        <v>40101010</v>
      </c>
      <c r="Y81" s="7" t="s">
        <v>43</v>
      </c>
      <c r="Z81" s="7" t="s">
        <v>67</v>
      </c>
      <c r="AA81" s="7" t="s">
        <v>68</v>
      </c>
      <c r="AB81" s="6">
        <v>61.321800231933594</v>
      </c>
      <c r="AC81" s="6">
        <v>0.96755761452780209</v>
      </c>
      <c r="AD81" s="6">
        <v>33.458208944097436</v>
      </c>
      <c r="AE81" s="6">
        <v>88381</v>
      </c>
      <c r="AF81" s="6">
        <v>98808</v>
      </c>
    </row>
    <row r="82" spans="1:32" s="4" customFormat="1" ht="12.75" x14ac:dyDescent="0.2">
      <c r="A82" s="7" t="s">
        <v>332</v>
      </c>
      <c r="B82" s="7" t="s">
        <v>330</v>
      </c>
      <c r="C82" s="7" t="s">
        <v>333</v>
      </c>
      <c r="D82" s="6">
        <v>-1.9886742811650003E-3</v>
      </c>
      <c r="E82" s="6">
        <v>-1.0543655157089229</v>
      </c>
      <c r="F82" s="6">
        <v>-0.44985592365264904</v>
      </c>
      <c r="G82" s="6">
        <v>0.25088256597518904</v>
      </c>
      <c r="H82" s="6">
        <v>1.073121070861816</v>
      </c>
      <c r="I82" s="6">
        <v>-1.320506691932678</v>
      </c>
      <c r="J82" s="6">
        <v>0.82269239425659202</v>
      </c>
      <c r="K82" s="6">
        <v>-0.81796079874038707</v>
      </c>
      <c r="L82" s="6">
        <v>-7.1704305708408009E-2</v>
      </c>
      <c r="M82" s="6">
        <v>-0.87637400627136208</v>
      </c>
      <c r="N82" s="6">
        <v>0.71544325426127509</v>
      </c>
      <c r="O82" s="6"/>
      <c r="P82" s="6">
        <v>1.0957918797183741</v>
      </c>
      <c r="Q82" s="6"/>
      <c r="R82" s="6">
        <v>13.131497517440568</v>
      </c>
      <c r="S82" s="6"/>
      <c r="T82" s="6">
        <v>8.450587272644043</v>
      </c>
      <c r="U82" s="6" t="str">
        <f>_xll.BDP($A82,"TRAILING_12M_R&amp;D_%_SALES",$A$1,$A$2)</f>
        <v>#N/A N/A</v>
      </c>
      <c r="V82" s="6">
        <v>40</v>
      </c>
      <c r="W82" s="6">
        <v>401010</v>
      </c>
      <c r="X82" s="6">
        <v>40101010</v>
      </c>
      <c r="Y82" s="7" t="s">
        <v>43</v>
      </c>
      <c r="Z82" s="7" t="s">
        <v>67</v>
      </c>
      <c r="AA82" s="7" t="s">
        <v>68</v>
      </c>
      <c r="AB82" s="6">
        <v>61.321800231933594</v>
      </c>
      <c r="AC82" s="6">
        <v>1.128849482593878</v>
      </c>
      <c r="AD82" s="6">
        <v>36.765924102908201</v>
      </c>
      <c r="AE82" s="6">
        <v>88381</v>
      </c>
      <c r="AF82" s="6">
        <v>98808</v>
      </c>
    </row>
    <row r="83" spans="1:32" s="4" customFormat="1" ht="12.75" x14ac:dyDescent="0.2">
      <c r="A83" s="7" t="s">
        <v>334</v>
      </c>
      <c r="B83" s="7" t="s">
        <v>335</v>
      </c>
      <c r="C83" s="7" t="s">
        <v>336</v>
      </c>
      <c r="D83" s="6">
        <v>0.28606417775154103</v>
      </c>
      <c r="E83" s="6">
        <v>-0.90268689393997203</v>
      </c>
      <c r="F83" s="6">
        <v>-0.14592450857162501</v>
      </c>
      <c r="G83" s="6">
        <v>-0.76241171360015902</v>
      </c>
      <c r="H83" s="6">
        <v>1.374921917915344</v>
      </c>
      <c r="I83" s="6">
        <v>1.186011791229248</v>
      </c>
      <c r="J83" s="6">
        <v>1.012449383735657</v>
      </c>
      <c r="K83" s="6">
        <v>-1.197153687477112</v>
      </c>
      <c r="L83" s="6">
        <v>1.5406485795974731</v>
      </c>
      <c r="M83" s="6">
        <v>-0.70913946628570601</v>
      </c>
      <c r="N83" s="6">
        <v>1.703423337259498</v>
      </c>
      <c r="O83" s="6">
        <v>1.5565706814112441</v>
      </c>
      <c r="P83" s="6">
        <v>0.98637150184956413</v>
      </c>
      <c r="Q83" s="6">
        <v>0.90376971540809203</v>
      </c>
      <c r="R83" s="6">
        <v>6.7400373753635652</v>
      </c>
      <c r="S83" s="6">
        <v>6.3046312545376324</v>
      </c>
      <c r="T83" s="6">
        <v>15.023298263549805</v>
      </c>
      <c r="U83" s="6" t="str">
        <f>_xll.BDP($A83,"TRAILING_12M_R&amp;D_%_SALES",$A$1,$A$2)</f>
        <v>#N/A N/A</v>
      </c>
      <c r="V83" s="6">
        <v>40</v>
      </c>
      <c r="W83" s="6">
        <v>401010</v>
      </c>
      <c r="X83" s="6">
        <v>40101010</v>
      </c>
      <c r="Y83" s="7" t="s">
        <v>43</v>
      </c>
      <c r="Z83" s="7" t="s">
        <v>67</v>
      </c>
      <c r="AA83" s="7" t="s">
        <v>68</v>
      </c>
      <c r="AB83" s="6">
        <v>66.260940551757813</v>
      </c>
      <c r="AC83" s="6">
        <v>1.0565394059514239</v>
      </c>
      <c r="AD83" s="6">
        <v>61.382007236786308</v>
      </c>
      <c r="AE83" s="6">
        <v>115675</v>
      </c>
      <c r="AF83" s="6">
        <v>131856</v>
      </c>
    </row>
    <row r="84" spans="1:32" s="4" customFormat="1" ht="12.75" x14ac:dyDescent="0.2">
      <c r="A84" s="7" t="s">
        <v>337</v>
      </c>
      <c r="B84" s="7" t="s">
        <v>338</v>
      </c>
      <c r="C84" s="7" t="s">
        <v>339</v>
      </c>
      <c r="D84" s="6">
        <v>0.28606417775154103</v>
      </c>
      <c r="E84" s="6">
        <v>-0.90268689393997203</v>
      </c>
      <c r="F84" s="6">
        <v>-0.14592450857162501</v>
      </c>
      <c r="G84" s="6">
        <v>-0.76241171360015902</v>
      </c>
      <c r="H84" s="6">
        <v>1.374921917915344</v>
      </c>
      <c r="I84" s="6">
        <v>1.186011791229248</v>
      </c>
      <c r="J84" s="6">
        <v>1.012449383735657</v>
      </c>
      <c r="K84" s="6">
        <v>-1.197153687477112</v>
      </c>
      <c r="L84" s="6">
        <v>1.5406485795974731</v>
      </c>
      <c r="M84" s="6">
        <v>-0.70913946628570601</v>
      </c>
      <c r="N84" s="6">
        <v>1.703423337259498</v>
      </c>
      <c r="O84" s="6">
        <v>1.520689332957265</v>
      </c>
      <c r="P84" s="6">
        <v>0.98637150184956413</v>
      </c>
      <c r="Q84" s="6">
        <v>0.8829402376976131</v>
      </c>
      <c r="R84" s="6">
        <v>6.7400373753635652</v>
      </c>
      <c r="S84" s="6">
        <v>6.1593464921160308</v>
      </c>
      <c r="T84" s="6">
        <v>15.023298263549805</v>
      </c>
      <c r="U84" s="6" t="str">
        <f>_xll.BDP($A84,"TRAILING_12M_R&amp;D_%_SALES",$A$1,$A$2)</f>
        <v>#N/A N/A</v>
      </c>
      <c r="V84" s="6">
        <v>40</v>
      </c>
      <c r="W84" s="6">
        <v>401010</v>
      </c>
      <c r="X84" s="6">
        <v>40101010</v>
      </c>
      <c r="Y84" s="7" t="s">
        <v>43</v>
      </c>
      <c r="Z84" s="7" t="s">
        <v>67</v>
      </c>
      <c r="AA84" s="7" t="s">
        <v>68</v>
      </c>
      <c r="AB84" s="6">
        <v>66.260940551757813</v>
      </c>
      <c r="AC84" s="6">
        <v>0.60457415510102708</v>
      </c>
      <c r="AD84" s="6">
        <v>62.709297617112128</v>
      </c>
      <c r="AE84" s="6">
        <v>115675</v>
      </c>
      <c r="AF84" s="6">
        <v>131856</v>
      </c>
    </row>
    <row r="85" spans="1:32" s="4" customFormat="1" ht="12.75" x14ac:dyDescent="0.2">
      <c r="A85" s="7" t="s">
        <v>340</v>
      </c>
      <c r="B85" s="7" t="s">
        <v>341</v>
      </c>
      <c r="C85" s="7" t="s">
        <v>342</v>
      </c>
      <c r="D85" s="6">
        <v>0.90378218889236506</v>
      </c>
      <c r="E85" s="6">
        <v>-1.020632743835449</v>
      </c>
      <c r="F85" s="6">
        <v>0.19772115349769601</v>
      </c>
      <c r="G85" s="6">
        <v>-0.79982298612594604</v>
      </c>
      <c r="H85" s="6">
        <v>1.396833658218384</v>
      </c>
      <c r="I85" s="6">
        <v>0.7033195495605471</v>
      </c>
      <c r="J85" s="6">
        <v>2.8667666912078862</v>
      </c>
      <c r="K85" s="6">
        <v>-0.99885046482086204</v>
      </c>
      <c r="L85" s="6">
        <v>0.74205154180526711</v>
      </c>
      <c r="M85" s="6">
        <v>-0.78549301624298107</v>
      </c>
      <c r="N85" s="6">
        <v>0.536008670206781</v>
      </c>
      <c r="O85" s="6">
        <v>0.96951013847024603</v>
      </c>
      <c r="P85" s="6">
        <v>0.64904232473873302</v>
      </c>
      <c r="Q85" s="6">
        <v>0.57339788385200408</v>
      </c>
      <c r="R85" s="6">
        <v>6.1959016579056394</v>
      </c>
      <c r="S85" s="6">
        <v>5.2028588593017808</v>
      </c>
      <c r="T85" s="6">
        <v>11.264442443847656</v>
      </c>
      <c r="U85" s="6" t="str">
        <f>_xll.BDP($A85,"TRAILING_12M_R&amp;D_%_SALES",$A$1,$A$2)</f>
        <v>#N/A N/A</v>
      </c>
      <c r="V85" s="6">
        <v>40</v>
      </c>
      <c r="W85" s="6">
        <v>401010</v>
      </c>
      <c r="X85" s="6">
        <v>40101010</v>
      </c>
      <c r="Y85" s="7" t="s">
        <v>43</v>
      </c>
      <c r="Z85" s="7" t="s">
        <v>67</v>
      </c>
      <c r="AA85" s="7" t="s">
        <v>68</v>
      </c>
      <c r="AB85" s="6">
        <v>61.341915130615234</v>
      </c>
      <c r="AC85" s="6">
        <v>0.57349057682867599</v>
      </c>
      <c r="AD85" s="6">
        <v>39.617725471261323</v>
      </c>
      <c r="AE85" s="6">
        <v>206462</v>
      </c>
      <c r="AF85" s="6">
        <v>202251</v>
      </c>
    </row>
    <row r="86" spans="1:32" s="4" customFormat="1" ht="12.75" x14ac:dyDescent="0.2">
      <c r="A86" s="7" t="s">
        <v>343</v>
      </c>
      <c r="B86" s="7" t="s">
        <v>344</v>
      </c>
      <c r="C86" s="7" t="s">
        <v>345</v>
      </c>
      <c r="D86" s="6">
        <v>-0.71021229028701804</v>
      </c>
      <c r="E86" s="6">
        <v>-0.594829261302948</v>
      </c>
      <c r="F86" s="6">
        <v>-0.79213726520538308</v>
      </c>
      <c r="G86" s="6">
        <v>-0.56505447626113903</v>
      </c>
      <c r="H86" s="6">
        <v>1.2145650386810301</v>
      </c>
      <c r="I86" s="6">
        <v>-0.66084545850753806</v>
      </c>
      <c r="J86" s="6">
        <v>0.57719111442565907</v>
      </c>
      <c r="K86" s="6">
        <v>-1.0280665159225459</v>
      </c>
      <c r="L86" s="6">
        <v>2.775352954864502</v>
      </c>
      <c r="M86" s="6">
        <v>-1.027648448944092</v>
      </c>
      <c r="N86" s="6">
        <v>1.9313588890830891</v>
      </c>
      <c r="O86" s="6">
        <v>1.8767847839716021</v>
      </c>
      <c r="P86" s="6">
        <v>2.7626359155241831</v>
      </c>
      <c r="Q86" s="6">
        <v>2.4420314697514529</v>
      </c>
      <c r="R86" s="6">
        <v>16.173198079476986</v>
      </c>
      <c r="S86" s="6">
        <v>16.183327442882661</v>
      </c>
      <c r="T86" s="6">
        <v>12.349932670593262</v>
      </c>
      <c r="U86" s="6" t="str">
        <f>_xll.BDP($A86,"TRAILING_12M_R&amp;D_%_SALES",$A$1,$A$2)</f>
        <v>#N/A N/A</v>
      </c>
      <c r="V86" s="6">
        <v>50</v>
      </c>
      <c r="W86" s="6">
        <v>501010</v>
      </c>
      <c r="X86" s="6">
        <v>50101020</v>
      </c>
      <c r="Y86" s="7" t="s">
        <v>311</v>
      </c>
      <c r="Z86" s="7" t="s">
        <v>346</v>
      </c>
      <c r="AA86" s="7" t="s">
        <v>347</v>
      </c>
      <c r="AB86" s="6">
        <v>65.78814697265625</v>
      </c>
      <c r="AC86" s="6">
        <v>0.67706948003452405</v>
      </c>
      <c r="AD86" s="6">
        <v>-4.5290840370337149</v>
      </c>
      <c r="AE86" s="6">
        <v>44610</v>
      </c>
      <c r="AF86" s="6">
        <v>51679</v>
      </c>
    </row>
    <row r="87" spans="1:32" s="4" customFormat="1" ht="12.75" x14ac:dyDescent="0.2">
      <c r="A87" s="7" t="s">
        <v>348</v>
      </c>
      <c r="B87" s="7" t="s">
        <v>349</v>
      </c>
      <c r="C87" s="7" t="s">
        <v>350</v>
      </c>
      <c r="D87" s="6">
        <v>0.36377719044685403</v>
      </c>
      <c r="E87" s="6">
        <v>-1.0231781005859379</v>
      </c>
      <c r="F87" s="6">
        <v>0.604170382022858</v>
      </c>
      <c r="G87" s="6">
        <v>-0.88748216629028309</v>
      </c>
      <c r="H87" s="6">
        <v>1.1345933675765991</v>
      </c>
      <c r="I87" s="6">
        <v>-0.50411331653595004</v>
      </c>
      <c r="J87" s="6">
        <v>3.0000147819519039</v>
      </c>
      <c r="K87" s="6">
        <v>-0.96798557043075606</v>
      </c>
      <c r="L87" s="6">
        <v>1.5459837913513179</v>
      </c>
      <c r="M87" s="6">
        <v>-0.93818974494934104</v>
      </c>
      <c r="N87" s="6">
        <v>0.93967333604066106</v>
      </c>
      <c r="O87" s="6">
        <v>0.88646351251563404</v>
      </c>
      <c r="P87" s="6">
        <v>0.41507906966687103</v>
      </c>
      <c r="Q87" s="6">
        <v>0.37110355508926002</v>
      </c>
      <c r="R87" s="6">
        <v>4.4259091866049518</v>
      </c>
      <c r="S87" s="6">
        <v>4.8258262515678174</v>
      </c>
      <c r="T87" s="6">
        <v>9.8365116119384766</v>
      </c>
      <c r="U87" s="6" t="str">
        <f>_xll.BDP($A87,"TRAILING_12M_R&amp;D_%_SALES",$A$1,$A$2)</f>
        <v>#N/A N/A</v>
      </c>
      <c r="V87" s="6">
        <v>40</v>
      </c>
      <c r="W87" s="6">
        <v>401010</v>
      </c>
      <c r="X87" s="6">
        <v>40101010</v>
      </c>
      <c r="Y87" s="7" t="s">
        <v>43</v>
      </c>
      <c r="Z87" s="7" t="s">
        <v>67</v>
      </c>
      <c r="AA87" s="7" t="s">
        <v>68</v>
      </c>
      <c r="AB87" s="6">
        <v>59.169097900390625</v>
      </c>
      <c r="AC87" s="6">
        <v>1.0576101082267051</v>
      </c>
      <c r="AD87" s="6">
        <v>6.7480850158910144</v>
      </c>
      <c r="AE87" s="6">
        <v>87400</v>
      </c>
      <c r="AF87" s="6">
        <v>79900</v>
      </c>
    </row>
    <row r="88" spans="1:32" s="4" customFormat="1" ht="12.75" x14ac:dyDescent="0.2">
      <c r="A88" s="7" t="s">
        <v>351</v>
      </c>
      <c r="B88" s="7" t="s">
        <v>352</v>
      </c>
      <c r="C88" s="7" t="s">
        <v>353</v>
      </c>
      <c r="D88" s="6">
        <v>0.36377719044685403</v>
      </c>
      <c r="E88" s="6">
        <v>-1.0231781005859379</v>
      </c>
      <c r="F88" s="6">
        <v>0.604170382022858</v>
      </c>
      <c r="G88" s="6">
        <v>-0.88748216629028309</v>
      </c>
      <c r="H88" s="6">
        <v>1.1345933675765991</v>
      </c>
      <c r="I88" s="6">
        <v>-0.50411331653595004</v>
      </c>
      <c r="J88" s="6">
        <v>3.0000147819519039</v>
      </c>
      <c r="K88" s="6">
        <v>-0.96798557043075606</v>
      </c>
      <c r="L88" s="6">
        <v>1.5459837913513179</v>
      </c>
      <c r="M88" s="6">
        <v>-0.93818974494934104</v>
      </c>
      <c r="N88" s="6">
        <v>0.93967333604066106</v>
      </c>
      <c r="O88" s="6">
        <v>0.89739631250480911</v>
      </c>
      <c r="P88" s="6">
        <v>0.41507906966687103</v>
      </c>
      <c r="Q88" s="6">
        <v>0.37664157937426901</v>
      </c>
      <c r="R88" s="6">
        <v>4.4259091866049518</v>
      </c>
      <c r="S88" s="6">
        <v>4.8978226983734761</v>
      </c>
      <c r="T88" s="6">
        <v>9.8365116119384766</v>
      </c>
      <c r="U88" s="6" t="str">
        <f>_xll.BDP($A88,"TRAILING_12M_R&amp;D_%_SALES",$A$1,$A$2)</f>
        <v>#N/A N/A</v>
      </c>
      <c r="V88" s="6">
        <v>40</v>
      </c>
      <c r="W88" s="6">
        <v>401010</v>
      </c>
      <c r="X88" s="6">
        <v>40101010</v>
      </c>
      <c r="Y88" s="7" t="s">
        <v>43</v>
      </c>
      <c r="Z88" s="7" t="s">
        <v>67</v>
      </c>
      <c r="AA88" s="7" t="s">
        <v>68</v>
      </c>
      <c r="AB88" s="6">
        <v>59.169097900390625</v>
      </c>
      <c r="AC88" s="6">
        <v>1.155529741040066</v>
      </c>
      <c r="AD88" s="6">
        <v>5.8856870451554411</v>
      </c>
      <c r="AE88" s="6">
        <v>87400</v>
      </c>
      <c r="AF88" s="6">
        <v>79900</v>
      </c>
    </row>
    <row r="89" spans="1:32" s="4" customFormat="1" ht="12.75" x14ac:dyDescent="0.2">
      <c r="A89" s="7" t="s">
        <v>354</v>
      </c>
      <c r="B89" s="7" t="s">
        <v>355</v>
      </c>
      <c r="C89" s="7" t="s">
        <v>356</v>
      </c>
      <c r="D89" s="6">
        <v>6.2518768012523998E-2</v>
      </c>
      <c r="E89" s="6">
        <v>-0.74576288461685203</v>
      </c>
      <c r="F89" s="6">
        <v>7.8068971633911008E-2</v>
      </c>
      <c r="G89" s="6">
        <v>-0.42902794480323803</v>
      </c>
      <c r="H89" s="6">
        <v>0.10347507148981101</v>
      </c>
      <c r="I89" s="6">
        <v>0.10141450911760301</v>
      </c>
      <c r="J89" s="6">
        <v>3.0000147819519039</v>
      </c>
      <c r="K89" s="6">
        <v>-0.89946889877319303</v>
      </c>
      <c r="L89" s="6">
        <v>-0.15374845266342202</v>
      </c>
      <c r="M89" s="6">
        <v>-0.78688347339630105</v>
      </c>
      <c r="N89" s="6">
        <v>0.516142173033311</v>
      </c>
      <c r="O89" s="6">
        <v>1.138718351050807</v>
      </c>
      <c r="P89" s="6">
        <v>0.95403098399157105</v>
      </c>
      <c r="Q89" s="6">
        <v>0.8310980614936031</v>
      </c>
      <c r="R89" s="6">
        <v>4.9842396140585459</v>
      </c>
      <c r="S89" s="6">
        <v>4.2435139036322198</v>
      </c>
      <c r="T89" s="6">
        <v>19.96000862121582</v>
      </c>
      <c r="U89" s="6" t="str">
        <f>_xll.BDP($A89,"TRAILING_12M_R&amp;D_%_SALES",$A$1,$A$2)</f>
        <v>#N/A N/A</v>
      </c>
      <c r="V89" s="6">
        <v>40</v>
      </c>
      <c r="W89" s="6">
        <v>401010</v>
      </c>
      <c r="X89" s="6">
        <v>40101010</v>
      </c>
      <c r="Y89" s="7" t="s">
        <v>43</v>
      </c>
      <c r="Z89" s="7" t="s">
        <v>67</v>
      </c>
      <c r="AA89" s="7" t="s">
        <v>68</v>
      </c>
      <c r="AB89" s="6">
        <v>52.912181854248047</v>
      </c>
      <c r="AC89" s="6">
        <v>0.72999070317062209</v>
      </c>
      <c r="AD89" s="6">
        <v>87.302906568925039</v>
      </c>
      <c r="AE89" s="6">
        <v>85953</v>
      </c>
      <c r="AF89" s="6">
        <v>99161</v>
      </c>
    </row>
    <row r="90" spans="1:32" s="4" customFormat="1" ht="12.75" x14ac:dyDescent="0.2">
      <c r="A90" s="7" t="s">
        <v>357</v>
      </c>
      <c r="B90" s="7" t="s">
        <v>358</v>
      </c>
      <c r="C90" s="7" t="s">
        <v>359</v>
      </c>
      <c r="D90" s="6">
        <v>-0.42651912569999706</v>
      </c>
      <c r="E90" s="6">
        <v>-0.75442385673522905</v>
      </c>
      <c r="F90" s="6">
        <v>-0.56145286560058605</v>
      </c>
      <c r="G90" s="6">
        <v>-0.52607095241546609</v>
      </c>
      <c r="H90" s="6">
        <v>1.4273501001298001E-2</v>
      </c>
      <c r="I90" s="6">
        <v>-0.41941750049591103</v>
      </c>
      <c r="J90" s="6">
        <v>-0.174190178513527</v>
      </c>
      <c r="K90" s="6">
        <v>-0.88167220354080211</v>
      </c>
      <c r="L90" s="6">
        <v>-8.7359949946404003E-2</v>
      </c>
      <c r="M90" s="6">
        <v>-0.84071069955825806</v>
      </c>
      <c r="N90" s="6">
        <v>3.6040174415336321</v>
      </c>
      <c r="O90" s="6">
        <v>3.4433921743167533</v>
      </c>
      <c r="P90" s="6">
        <v>2.7448531565228222</v>
      </c>
      <c r="Q90" s="6">
        <v>2.7155386228949152</v>
      </c>
      <c r="R90" s="6">
        <v>19.911658188596345</v>
      </c>
      <c r="S90" s="6">
        <v>18.493187070905606</v>
      </c>
      <c r="T90" s="6">
        <v>5.8556060791015634</v>
      </c>
      <c r="U90" s="6">
        <f>_xll.BDP($A90,"TRAILING_12M_R&amp;D_%_SALES",$A$1,$A$2)</f>
        <v>6.0222868217054266</v>
      </c>
      <c r="V90" s="6">
        <v>35</v>
      </c>
      <c r="W90" s="6">
        <v>351010</v>
      </c>
      <c r="X90" s="6">
        <v>35101010</v>
      </c>
      <c r="Y90" s="7" t="s">
        <v>72</v>
      </c>
      <c r="Z90" s="7" t="s">
        <v>91</v>
      </c>
      <c r="AA90" s="7" t="s">
        <v>92</v>
      </c>
      <c r="AB90" s="6">
        <v>66.019515991210938</v>
      </c>
      <c r="AC90" s="6">
        <v>0.69148407979584403</v>
      </c>
      <c r="AD90" s="6">
        <v>-3.6519325997049883</v>
      </c>
      <c r="AE90" s="6">
        <v>73000</v>
      </c>
      <c r="AF90" s="6">
        <v>76032</v>
      </c>
    </row>
    <row r="91" spans="1:32" s="4" customFormat="1" ht="12.75" x14ac:dyDescent="0.2">
      <c r="A91" s="7" t="s">
        <v>360</v>
      </c>
      <c r="B91" s="7" t="s">
        <v>361</v>
      </c>
      <c r="C91" s="7" t="s">
        <v>362</v>
      </c>
      <c r="D91" s="6">
        <v>-0.16443784534931202</v>
      </c>
      <c r="E91" s="6">
        <v>-1.391207098960876</v>
      </c>
      <c r="F91" s="6">
        <v>0.20418974757194502</v>
      </c>
      <c r="G91" s="6">
        <v>-0.71469056606292702</v>
      </c>
      <c r="H91" s="6">
        <v>0.22075077891349801</v>
      </c>
      <c r="I91" s="6">
        <v>-7.6236300170422003E-2</v>
      </c>
      <c r="J91" s="6">
        <v>0.95977312326431308</v>
      </c>
      <c r="K91" s="6">
        <v>-1.0498660802841191</v>
      </c>
      <c r="L91" s="6">
        <v>2.9471771717071533</v>
      </c>
      <c r="M91" s="6">
        <v>-0.40337395668029802</v>
      </c>
      <c r="N91" s="6">
        <v>0.60312765145692704</v>
      </c>
      <c r="O91" s="6">
        <v>0.60170147626194603</v>
      </c>
      <c r="P91" s="6">
        <v>1.1202169478031549</v>
      </c>
      <c r="Q91" s="6">
        <v>1.11993722248905</v>
      </c>
      <c r="R91" s="6"/>
      <c r="S91" s="6">
        <v>12.593437355250311</v>
      </c>
      <c r="T91" s="6">
        <v>-7.0196127891540527</v>
      </c>
      <c r="U91" s="6">
        <f>_xll.BDP($A91,"TRAILING_12M_R&amp;D_%_SALES",$A$1,$A$2)</f>
        <v>3.2417195207892879</v>
      </c>
      <c r="V91" s="6">
        <v>15</v>
      </c>
      <c r="W91" s="6">
        <v>151010</v>
      </c>
      <c r="X91" s="6">
        <v>15101020</v>
      </c>
      <c r="Y91" s="7" t="s">
        <v>61</v>
      </c>
      <c r="Z91" s="7" t="s">
        <v>250</v>
      </c>
      <c r="AA91" s="7" t="s">
        <v>321</v>
      </c>
      <c r="AB91" s="6">
        <v>72.095359802246094</v>
      </c>
      <c r="AC91" s="6">
        <v>0.690331290274664</v>
      </c>
      <c r="AD91" s="6">
        <v>16.355148426866716</v>
      </c>
      <c r="AE91" s="6">
        <v>111481</v>
      </c>
      <c r="AF91" s="6">
        <v>115490</v>
      </c>
    </row>
    <row r="92" spans="1:32" s="4" customFormat="1" ht="12.75" x14ac:dyDescent="0.2">
      <c r="A92" s="7" t="s">
        <v>363</v>
      </c>
      <c r="B92" s="7" t="s">
        <v>364</v>
      </c>
      <c r="C92" s="7" t="s">
        <v>365</v>
      </c>
      <c r="D92" s="6">
        <v>0.19785562157630901</v>
      </c>
      <c r="E92" s="6">
        <v>0.17137895524501801</v>
      </c>
      <c r="F92" s="6">
        <v>0.21215905249118802</v>
      </c>
      <c r="G92" s="6">
        <v>-0.93636244535446211</v>
      </c>
      <c r="H92" s="6">
        <v>-0.57009768486022905</v>
      </c>
      <c r="I92" s="6">
        <v>0.11637147516012201</v>
      </c>
      <c r="J92" s="6">
        <v>0.85432559251785312</v>
      </c>
      <c r="K92" s="6">
        <v>-0.71238726377487205</v>
      </c>
      <c r="L92" s="6">
        <v>1.9908707141876221</v>
      </c>
      <c r="M92" s="6">
        <v>0.53695559501647905</v>
      </c>
      <c r="N92" s="6">
        <v>3.2421223095164309</v>
      </c>
      <c r="O92" s="6">
        <v>3.183579539671197</v>
      </c>
      <c r="P92" s="6">
        <v>3.9199822581110659</v>
      </c>
      <c r="Q92" s="6">
        <v>3.317153099265556</v>
      </c>
      <c r="R92" s="6">
        <v>13.504119709916356</v>
      </c>
      <c r="S92" s="6">
        <v>12.563409259612735</v>
      </c>
      <c r="T92" s="6">
        <v>28.888914108276367</v>
      </c>
      <c r="U92" s="6">
        <f>_xll.BDP($A92,"TRAILING_12M_R&amp;D_%_SALES",$A$1,$A$2)</f>
        <v>0</v>
      </c>
      <c r="V92" s="6">
        <v>15</v>
      </c>
      <c r="W92" s="6">
        <v>151040</v>
      </c>
      <c r="X92" s="6">
        <v>15104020</v>
      </c>
      <c r="Y92" s="7" t="s">
        <v>61</v>
      </c>
      <c r="Z92" s="7" t="s">
        <v>62</v>
      </c>
      <c r="AA92" s="7" t="s">
        <v>63</v>
      </c>
      <c r="AB92" s="6">
        <v>77.879486083984375</v>
      </c>
      <c r="AC92" s="6">
        <v>1.0756308095652971</v>
      </c>
      <c r="AD92" s="6">
        <v>16.269263630949116</v>
      </c>
      <c r="AE92" s="6">
        <v>83211</v>
      </c>
      <c r="AF92" s="6">
        <v>27161</v>
      </c>
    </row>
    <row r="93" spans="1:32" s="4" customFormat="1" ht="12.75" x14ac:dyDescent="0.2">
      <c r="A93" s="7" t="s">
        <v>366</v>
      </c>
      <c r="B93" s="7" t="s">
        <v>367</v>
      </c>
      <c r="C93" s="7" t="s">
        <v>368</v>
      </c>
      <c r="D93" s="6">
        <v>0.19785562157630901</v>
      </c>
      <c r="E93" s="6">
        <v>0.17137895524501801</v>
      </c>
      <c r="F93" s="6">
        <v>0.21215905249118802</v>
      </c>
      <c r="G93" s="6">
        <v>-0.93636244535446211</v>
      </c>
      <c r="H93" s="6">
        <v>-0.57009768486022905</v>
      </c>
      <c r="I93" s="6">
        <v>0.11637147516012201</v>
      </c>
      <c r="J93" s="6">
        <v>0.85432559251785312</v>
      </c>
      <c r="K93" s="6">
        <v>-0.71238726377487205</v>
      </c>
      <c r="L93" s="6">
        <v>1.9908707141876221</v>
      </c>
      <c r="M93" s="6">
        <v>0.53695559501647905</v>
      </c>
      <c r="N93" s="6">
        <v>3.2421223095164309</v>
      </c>
      <c r="O93" s="6">
        <v>3.2809837305188791</v>
      </c>
      <c r="P93" s="6">
        <v>3.9199822581110659</v>
      </c>
      <c r="Q93" s="6">
        <v>3.4186494546759691</v>
      </c>
      <c r="R93" s="6">
        <v>13.504119709916356</v>
      </c>
      <c r="S93" s="6">
        <v>12.947809550745841</v>
      </c>
      <c r="T93" s="6">
        <v>28.888914108276367</v>
      </c>
      <c r="U93" s="6">
        <f>_xll.BDP($A93,"TRAILING_12M_R&amp;D_%_SALES",$A$1,$A$2)</f>
        <v>0</v>
      </c>
      <c r="V93" s="6">
        <v>15</v>
      </c>
      <c r="W93" s="6">
        <v>151040</v>
      </c>
      <c r="X93" s="6">
        <v>15104020</v>
      </c>
      <c r="Y93" s="7" t="s">
        <v>61</v>
      </c>
      <c r="Z93" s="7" t="s">
        <v>62</v>
      </c>
      <c r="AA93" s="7" t="s">
        <v>63</v>
      </c>
      <c r="AB93" s="6">
        <v>77.879486083984375</v>
      </c>
      <c r="AC93" s="6">
        <v>0.91238914419097306</v>
      </c>
      <c r="AD93" s="6">
        <v>20.722587458428077</v>
      </c>
      <c r="AE93" s="6">
        <v>83211</v>
      </c>
      <c r="AF93" s="6">
        <v>27161</v>
      </c>
    </row>
    <row r="94" spans="1:32" s="4" customFormat="1" ht="12.75" x14ac:dyDescent="0.2">
      <c r="A94" s="7" t="s">
        <v>369</v>
      </c>
      <c r="B94" s="7" t="s">
        <v>370</v>
      </c>
      <c r="C94" s="7" t="s">
        <v>371</v>
      </c>
      <c r="D94" s="6">
        <v>-0.58295655250549305</v>
      </c>
      <c r="E94" s="6">
        <v>-0.88094967603683505</v>
      </c>
      <c r="F94" s="6">
        <v>1.888105154037476</v>
      </c>
      <c r="G94" s="6">
        <v>0.68205744028091408</v>
      </c>
      <c r="H94" s="6">
        <v>-0.39447370171546903</v>
      </c>
      <c r="I94" s="6">
        <v>-0.12163972109556201</v>
      </c>
      <c r="J94" s="6">
        <v>0.42360806465148904</v>
      </c>
      <c r="K94" s="6">
        <v>-0.60707628726959206</v>
      </c>
      <c r="L94" s="6">
        <v>-0.72281217575073209</v>
      </c>
      <c r="M94" s="6">
        <v>-0.52597171068191506</v>
      </c>
      <c r="N94" s="6">
        <v>2.2312369382210959</v>
      </c>
      <c r="O94" s="6">
        <v>2.01227913487143</v>
      </c>
      <c r="P94" s="6">
        <v>1.227043999257875</v>
      </c>
      <c r="Q94" s="6">
        <v>1.2052949058222271</v>
      </c>
      <c r="R94" s="6">
        <v>14.232671235709676</v>
      </c>
      <c r="S94" s="6">
        <v>11.201677706799879</v>
      </c>
      <c r="T94" s="6">
        <v>9.8633127212524414</v>
      </c>
      <c r="U94" s="6">
        <f>_xll.BDP($A94,"TRAILING_12M_R&amp;D_%_SALES",$A$1,$A$2)</f>
        <v>16.625727699530515</v>
      </c>
      <c r="V94" s="6">
        <v>50</v>
      </c>
      <c r="W94" s="6">
        <v>502030</v>
      </c>
      <c r="X94" s="6">
        <v>50203010</v>
      </c>
      <c r="Y94" s="7" t="s">
        <v>311</v>
      </c>
      <c r="Z94" s="7" t="s">
        <v>312</v>
      </c>
      <c r="AA94" s="7" t="s">
        <v>312</v>
      </c>
      <c r="AB94" s="6">
        <v>46.182476043701172</v>
      </c>
      <c r="AC94" s="6">
        <v>1.36914946347543</v>
      </c>
      <c r="AD94" s="6">
        <v>3.4665490153474199</v>
      </c>
      <c r="AE94" s="6">
        <v>41300</v>
      </c>
      <c r="AF94" s="6">
        <v>39343</v>
      </c>
    </row>
    <row r="95" spans="1:32" s="4" customFormat="1" ht="12.75" x14ac:dyDescent="0.2">
      <c r="A95" s="7" t="s">
        <v>372</v>
      </c>
      <c r="B95" s="7" t="s">
        <v>373</v>
      </c>
      <c r="C95" s="7" t="s">
        <v>374</v>
      </c>
      <c r="D95" s="6">
        <v>-4.7391057014465006E-2</v>
      </c>
      <c r="E95" s="6">
        <v>-1.081957936286926</v>
      </c>
      <c r="F95" s="6">
        <v>-0.22991372644901301</v>
      </c>
      <c r="G95" s="6">
        <v>-0.16690784692764302</v>
      </c>
      <c r="H95" s="6">
        <v>0.38049072027206404</v>
      </c>
      <c r="I95" s="6">
        <v>-0.43260636925697304</v>
      </c>
      <c r="J95" s="6">
        <v>1.716727614402771</v>
      </c>
      <c r="K95" s="6">
        <v>-1.1309922933578491</v>
      </c>
      <c r="L95" s="6">
        <v>1.1242328882217409</v>
      </c>
      <c r="M95" s="6">
        <v>-1.0106768608093259</v>
      </c>
      <c r="N95" s="6">
        <v>1.3448905523402499</v>
      </c>
      <c r="O95" s="6">
        <v>2.267284452269358</v>
      </c>
      <c r="P95" s="6">
        <v>1.1080121850039799</v>
      </c>
      <c r="Q95" s="6">
        <v>1.0190496618663729</v>
      </c>
      <c r="R95" s="6">
        <v>11.378929279356523</v>
      </c>
      <c r="S95" s="6">
        <v>10.300138682330086</v>
      </c>
      <c r="T95" s="6">
        <v>9.5822715759277344</v>
      </c>
      <c r="U95" s="6" t="str">
        <f>_xll.BDP($A95,"TRAILING_12M_R&amp;D_%_SALES",$A$1,$A$2)</f>
        <v>#N/A N/A</v>
      </c>
      <c r="V95" s="6">
        <v>40</v>
      </c>
      <c r="W95" s="6">
        <v>402030</v>
      </c>
      <c r="X95" s="6">
        <v>40203010</v>
      </c>
      <c r="Y95" s="7" t="s">
        <v>43</v>
      </c>
      <c r="Z95" s="7" t="s">
        <v>212</v>
      </c>
      <c r="AA95" s="7" t="s">
        <v>213</v>
      </c>
      <c r="AB95" s="6">
        <v>65.456192016601563</v>
      </c>
      <c r="AC95" s="6">
        <v>1.0190987724843681</v>
      </c>
      <c r="AD95" s="6">
        <v>18.10698274054765</v>
      </c>
      <c r="AE95" s="6">
        <v>51700</v>
      </c>
      <c r="AF95" s="6">
        <v>52500</v>
      </c>
    </row>
    <row r="96" spans="1:32" s="4" customFormat="1" ht="12.75" x14ac:dyDescent="0.2">
      <c r="A96" s="7" t="s">
        <v>375</v>
      </c>
      <c r="B96" s="7" t="s">
        <v>376</v>
      </c>
      <c r="C96" s="7" t="s">
        <v>377</v>
      </c>
      <c r="D96" s="6">
        <v>-0.87526953220367409</v>
      </c>
      <c r="E96" s="6">
        <v>-0.8353717923164371</v>
      </c>
      <c r="F96" s="6">
        <v>-1.1303092241287229</v>
      </c>
      <c r="G96" s="6">
        <v>-0.94290024042129505</v>
      </c>
      <c r="H96" s="6">
        <v>-5.1636353135109003E-2</v>
      </c>
      <c r="I96" s="6">
        <v>-0.41890349984169001</v>
      </c>
      <c r="J96" s="6">
        <v>1.485831022262573</v>
      </c>
      <c r="K96" s="6">
        <v>-0.88372224569320712</v>
      </c>
      <c r="L96" s="6">
        <v>1.127973079681396</v>
      </c>
      <c r="M96" s="6">
        <v>-0.89641177654266402</v>
      </c>
      <c r="N96" s="6">
        <v>1.2239475888058631</v>
      </c>
      <c r="O96" s="6">
        <v>2.0859897899877211</v>
      </c>
      <c r="P96" s="6">
        <v>0.88588766832123911</v>
      </c>
      <c r="Q96" s="6">
        <v>0.73278618632382408</v>
      </c>
      <c r="R96" s="6">
        <v>6.05272743918679</v>
      </c>
      <c r="S96" s="6">
        <v>6.3969146352256301</v>
      </c>
      <c r="T96" s="6">
        <v>15.419638633728027</v>
      </c>
      <c r="U96" s="6" t="str">
        <f>_xll.BDP($A96,"TRAILING_12M_R&amp;D_%_SALES",$A$1,$A$2)</f>
        <v>#N/A N/A</v>
      </c>
      <c r="V96" s="6">
        <v>40</v>
      </c>
      <c r="W96" s="6">
        <v>401010</v>
      </c>
      <c r="X96" s="6">
        <v>40101010</v>
      </c>
      <c r="Y96" s="7" t="s">
        <v>43</v>
      </c>
      <c r="Z96" s="7" t="s">
        <v>67</v>
      </c>
      <c r="AA96" s="7" t="s">
        <v>68</v>
      </c>
      <c r="AB96" s="6">
        <v>76.662307739257813</v>
      </c>
      <c r="AC96" s="6">
        <v>0.19944274855544</v>
      </c>
      <c r="AD96" s="6"/>
      <c r="AE96" s="6">
        <v>8383</v>
      </c>
      <c r="AF96" s="6">
        <v>9929</v>
      </c>
    </row>
    <row r="97" spans="1:32" s="4" customFormat="1" ht="12.75" x14ac:dyDescent="0.2">
      <c r="A97" s="7" t="s">
        <v>378</v>
      </c>
      <c r="B97" s="7" t="s">
        <v>379</v>
      </c>
      <c r="C97" s="7" t="s">
        <v>380</v>
      </c>
      <c r="D97" s="6">
        <v>-0.87206965684890703</v>
      </c>
      <c r="E97" s="6">
        <v>-0.87939029932022106</v>
      </c>
      <c r="F97" s="6">
        <v>-0.85731852054595903</v>
      </c>
      <c r="G97" s="6">
        <v>-0.94987756013870206</v>
      </c>
      <c r="H97" s="6">
        <v>-0.14939206838607802</v>
      </c>
      <c r="I97" s="6">
        <v>-0.37908613681793202</v>
      </c>
      <c r="J97" s="6">
        <v>2.0327625274658199</v>
      </c>
      <c r="K97" s="6">
        <v>-1.106254935264587</v>
      </c>
      <c r="L97" s="6">
        <v>2.3682658672332759</v>
      </c>
      <c r="M97" s="6">
        <v>-0.97754037380218506</v>
      </c>
      <c r="N97" s="6">
        <v>1.2239475888058631</v>
      </c>
      <c r="O97" s="6"/>
      <c r="P97" s="6">
        <v>0.88588766832123911</v>
      </c>
      <c r="Q97" s="6"/>
      <c r="R97" s="6">
        <v>6.05272743918679</v>
      </c>
      <c r="S97" s="6"/>
      <c r="T97" s="6">
        <v>15.419638633728027</v>
      </c>
      <c r="U97" s="6" t="str">
        <f>_xll.BDP($A97,"TRAILING_12M_R&amp;D_%_SALES",$A$1,$A$2)</f>
        <v>#N/A N/A</v>
      </c>
      <c r="V97" s="6">
        <v>40</v>
      </c>
      <c r="W97" s="6">
        <v>401010</v>
      </c>
      <c r="X97" s="6">
        <v>40101010</v>
      </c>
      <c r="Y97" s="7" t="s">
        <v>43</v>
      </c>
      <c r="Z97" s="7" t="s">
        <v>67</v>
      </c>
      <c r="AA97" s="7" t="s">
        <v>68</v>
      </c>
      <c r="AB97" s="6">
        <v>76.662307739257813</v>
      </c>
      <c r="AC97" s="6">
        <v>0.43852335327116704</v>
      </c>
      <c r="AD97" s="6">
        <v>3.0570332613714779</v>
      </c>
      <c r="AE97" s="6">
        <v>8383</v>
      </c>
      <c r="AF97" s="6">
        <v>9929</v>
      </c>
    </row>
    <row r="98" spans="1:32" s="4" customFormat="1" ht="12.75" x14ac:dyDescent="0.2">
      <c r="A98" s="7" t="s">
        <v>381</v>
      </c>
      <c r="B98" s="7" t="s">
        <v>382</v>
      </c>
      <c r="C98" s="7" t="s">
        <v>383</v>
      </c>
      <c r="D98" s="6">
        <v>-0.49315622448921204</v>
      </c>
      <c r="E98" s="6">
        <v>0.56453055143356301</v>
      </c>
      <c r="F98" s="6">
        <v>-0.87606930732727106</v>
      </c>
      <c r="G98" s="6">
        <v>0.40049085021019004</v>
      </c>
      <c r="H98" s="6">
        <v>1.1701288223266599</v>
      </c>
      <c r="I98" s="6">
        <v>0.91171783208847013</v>
      </c>
      <c r="J98" s="6">
        <v>-0.21188369393348702</v>
      </c>
      <c r="K98" s="6">
        <v>-0.33205860853195202</v>
      </c>
      <c r="L98" s="6">
        <v>-0.72281217575073209</v>
      </c>
      <c r="M98" s="6">
        <v>0.87438482046127308</v>
      </c>
      <c r="N98" s="6">
        <v>6.3249996255534917</v>
      </c>
      <c r="O98" s="6">
        <v>5.2372978348619084</v>
      </c>
      <c r="P98" s="6"/>
      <c r="Q98" s="6"/>
      <c r="R98" s="6">
        <v>25.795656686944685</v>
      </c>
      <c r="S98" s="6">
        <v>20.29987252687912</v>
      </c>
      <c r="T98" s="6"/>
      <c r="U98" s="6">
        <f>_xll.BDP($A98,"TRAILING_12M_R&amp;D_%_SALES",$A$1,$A$2)</f>
        <v>3.2478200429672692</v>
      </c>
      <c r="V98" s="6">
        <v>25</v>
      </c>
      <c r="W98" s="6">
        <v>253010</v>
      </c>
      <c r="X98" s="6">
        <v>25301020</v>
      </c>
      <c r="Y98" s="7" t="s">
        <v>85</v>
      </c>
      <c r="Z98" s="7" t="s">
        <v>86</v>
      </c>
      <c r="AA98" s="7" t="s">
        <v>87</v>
      </c>
      <c r="AB98" s="6">
        <v>44.804344177246094</v>
      </c>
      <c r="AC98" s="6">
        <v>1.0058141748354421</v>
      </c>
      <c r="AD98" s="6">
        <v>77.050274439012483</v>
      </c>
      <c r="AE98" s="6">
        <v>21384</v>
      </c>
      <c r="AF98" s="6">
        <v>22900</v>
      </c>
    </row>
    <row r="99" spans="1:32" s="4" customFormat="1" ht="12.75" x14ac:dyDescent="0.2">
      <c r="A99" s="7" t="s">
        <v>384</v>
      </c>
      <c r="B99" s="7" t="s">
        <v>385</v>
      </c>
      <c r="C99" s="7" t="s">
        <v>386</v>
      </c>
      <c r="D99" s="6">
        <v>-0.76242065429687511</v>
      </c>
      <c r="E99" s="6">
        <v>-0.88010418415069602</v>
      </c>
      <c r="F99" s="6">
        <v>-0.38852408528327903</v>
      </c>
      <c r="G99" s="6">
        <v>0.20907215774059301</v>
      </c>
      <c r="H99" s="6">
        <v>-0.41684153676033003</v>
      </c>
      <c r="I99" s="6">
        <v>0.76374322175979603</v>
      </c>
      <c r="J99" s="6">
        <v>0.17943297326564803</v>
      </c>
      <c r="K99" s="6">
        <v>-0.76227921247482311</v>
      </c>
      <c r="L99" s="6">
        <v>0.37170949578285201</v>
      </c>
      <c r="M99" s="6">
        <v>0.12451314926147501</v>
      </c>
      <c r="N99" s="6">
        <v>1.400897457355297</v>
      </c>
      <c r="O99" s="6">
        <v>1.221635634193414</v>
      </c>
      <c r="P99" s="6">
        <v>2.2547592978401561</v>
      </c>
      <c r="Q99" s="6">
        <v>2.1007989762450112</v>
      </c>
      <c r="R99" s="6">
        <v>23.119854731360544</v>
      </c>
      <c r="S99" s="6">
        <v>16.679679552035562</v>
      </c>
      <c r="T99" s="6">
        <v>11.471729278564453</v>
      </c>
      <c r="U99" s="6">
        <f>_xll.BDP($A99,"TRAILING_12M_R&amp;D_%_SALES",$A$1,$A$2)</f>
        <v>0</v>
      </c>
      <c r="V99" s="6">
        <v>10</v>
      </c>
      <c r="W99" s="6">
        <v>101010</v>
      </c>
      <c r="X99" s="6">
        <v>10101020</v>
      </c>
      <c r="Y99" s="7" t="s">
        <v>387</v>
      </c>
      <c r="Z99" s="7" t="s">
        <v>388</v>
      </c>
      <c r="AA99" s="7" t="s">
        <v>389</v>
      </c>
      <c r="AB99" s="6">
        <v>70.395332336425781</v>
      </c>
      <c r="AC99" s="6">
        <v>0.89266001726273103</v>
      </c>
      <c r="AD99" s="6">
        <v>19.992149692586537</v>
      </c>
      <c r="AE99" s="6">
        <v>55000</v>
      </c>
      <c r="AF99" s="6">
        <v>64000</v>
      </c>
    </row>
    <row r="100" spans="1:32" s="4" customFormat="1" ht="12.75" x14ac:dyDescent="0.2">
      <c r="A100" s="7" t="s">
        <v>390</v>
      </c>
      <c r="B100" s="7" t="s">
        <v>391</v>
      </c>
      <c r="C100" s="7" t="s">
        <v>392</v>
      </c>
      <c r="D100" s="6">
        <v>0.50258767604827903</v>
      </c>
      <c r="E100" s="6">
        <v>-1.037854790687561</v>
      </c>
      <c r="F100" s="6">
        <v>-1.341233015060425</v>
      </c>
      <c r="G100" s="6">
        <v>-0.46211114525795005</v>
      </c>
      <c r="H100" s="6">
        <v>-1.0355186462402339</v>
      </c>
      <c r="I100" s="6">
        <v>-0.570509374141693</v>
      </c>
      <c r="J100" s="6">
        <v>0.49535238742828402</v>
      </c>
      <c r="K100" s="6">
        <v>-0.63310432434082009</v>
      </c>
      <c r="L100" s="6">
        <v>1.6953510046005249</v>
      </c>
      <c r="M100" s="6">
        <v>-0.96694254875183105</v>
      </c>
      <c r="N100" s="6">
        <v>1.6365203913134629</v>
      </c>
      <c r="O100" s="6">
        <v>2.759175160298788</v>
      </c>
      <c r="P100" s="6">
        <v>1.363670089251539</v>
      </c>
      <c r="Q100" s="6">
        <v>1.253320366330035</v>
      </c>
      <c r="R100" s="6">
        <v>11.612619175211757</v>
      </c>
      <c r="S100" s="6">
        <v>10.616487956840217</v>
      </c>
      <c r="T100" s="6">
        <v>5.9370388984680176</v>
      </c>
      <c r="U100" s="6" t="str">
        <f>_xll.BDP($A100,"TRAILING_12M_R&amp;D_%_SALES",$A$1,$A$2)</f>
        <v>#N/A N/A</v>
      </c>
      <c r="V100" s="6">
        <v>40</v>
      </c>
      <c r="W100" s="6">
        <v>401010</v>
      </c>
      <c r="X100" s="6">
        <v>40101010</v>
      </c>
      <c r="Y100" s="7" t="s">
        <v>43</v>
      </c>
      <c r="Z100" s="7" t="s">
        <v>67</v>
      </c>
      <c r="AA100" s="7" t="s">
        <v>68</v>
      </c>
      <c r="AB100" s="6">
        <v>65.043754577636719</v>
      </c>
      <c r="AC100" s="6">
        <v>1.015014350137535</v>
      </c>
      <c r="AD100" s="6">
        <v>13.899615798630149</v>
      </c>
      <c r="AE100" s="6">
        <v>46722</v>
      </c>
      <c r="AF100" s="6">
        <v>45200</v>
      </c>
    </row>
    <row r="101" spans="1:32" s="4" customFormat="1" ht="12.75" x14ac:dyDescent="0.2">
      <c r="A101" s="7" t="s">
        <v>393</v>
      </c>
      <c r="B101" s="7" t="s">
        <v>394</v>
      </c>
      <c r="C101" s="7" t="s">
        <v>395</v>
      </c>
      <c r="D101" s="6">
        <v>0.45129537582397505</v>
      </c>
      <c r="E101" s="6">
        <v>-0.73091471195220903</v>
      </c>
      <c r="F101" s="6">
        <v>-0.15222688019275701</v>
      </c>
      <c r="G101" s="6">
        <v>-0.95354950428009011</v>
      </c>
      <c r="H101" s="6">
        <v>0.81944411993026711</v>
      </c>
      <c r="I101" s="6">
        <v>0.65695798397064209</v>
      </c>
      <c r="J101" s="6">
        <v>2.6048209667205811</v>
      </c>
      <c r="K101" s="6">
        <v>-0.77410703897476207</v>
      </c>
      <c r="L101" s="6">
        <v>3.0000102519989009</v>
      </c>
      <c r="M101" s="6">
        <v>-0.47517168521881104</v>
      </c>
      <c r="N101" s="6">
        <v>0.42506104077630902</v>
      </c>
      <c r="O101" s="6">
        <v>0.377485900099989</v>
      </c>
      <c r="P101" s="6">
        <v>0.72814870787499208</v>
      </c>
      <c r="Q101" s="6"/>
      <c r="R101" s="6">
        <v>5.8301407977328124</v>
      </c>
      <c r="S101" s="6">
        <v>5.5974434547318914</v>
      </c>
      <c r="T101" s="6">
        <v>12.671168327331543</v>
      </c>
      <c r="U101" s="6">
        <f>_xll.BDP($A101,"TRAILING_12M_R&amp;D_%_SALES",$A$1,$A$2)</f>
        <v>6.1598581903150427</v>
      </c>
      <c r="V101" s="6">
        <v>25</v>
      </c>
      <c r="W101" s="6">
        <v>251020</v>
      </c>
      <c r="X101" s="6">
        <v>25102010</v>
      </c>
      <c r="Y101" s="7" t="s">
        <v>85</v>
      </c>
      <c r="Z101" s="7" t="s">
        <v>316</v>
      </c>
      <c r="AA101" s="7" t="s">
        <v>317</v>
      </c>
      <c r="AB101" s="6">
        <v>65.033699035644531</v>
      </c>
      <c r="AC101" s="6">
        <v>0.92071227076471107</v>
      </c>
      <c r="AD101" s="6">
        <v>35.541251278990835</v>
      </c>
      <c r="AE101" s="6">
        <v>149475</v>
      </c>
      <c r="AF101" s="6">
        <v>129932</v>
      </c>
    </row>
    <row r="102" spans="1:32" s="4" customFormat="1" ht="12.75" x14ac:dyDescent="0.2">
      <c r="A102" s="7" t="s">
        <v>396</v>
      </c>
      <c r="B102" s="7" t="s">
        <v>397</v>
      </c>
      <c r="C102" s="7" t="s">
        <v>398</v>
      </c>
      <c r="D102" s="6">
        <v>7.928305119276001E-2</v>
      </c>
      <c r="E102" s="6">
        <v>7.7594429254531999E-2</v>
      </c>
      <c r="F102" s="6">
        <v>-0.52965557575225808</v>
      </c>
      <c r="G102" s="6">
        <v>-0.40873402357101402</v>
      </c>
      <c r="H102" s="6">
        <v>0.49236580729484603</v>
      </c>
      <c r="I102" s="6">
        <v>-1.080397486686707</v>
      </c>
      <c r="J102" s="6">
        <v>0.67447525262832608</v>
      </c>
      <c r="K102" s="6">
        <v>-0.53384548425674405</v>
      </c>
      <c r="L102" s="6">
        <v>1.1179378032684331</v>
      </c>
      <c r="M102" s="6">
        <v>0.36058875918388406</v>
      </c>
      <c r="N102" s="6">
        <v>2.385777366587317</v>
      </c>
      <c r="O102" s="6">
        <v>2.2758783440567019</v>
      </c>
      <c r="P102" s="6">
        <v>3.599025684842506</v>
      </c>
      <c r="Q102" s="6">
        <v>2.8676019884693513</v>
      </c>
      <c r="R102" s="6">
        <v>11.968042324911631</v>
      </c>
      <c r="S102" s="6">
        <v>6.9892255184555925</v>
      </c>
      <c r="T102" s="6">
        <v>26.869253158569336</v>
      </c>
      <c r="U102" s="6">
        <f>_xll.BDP($A102,"TRAILING_12M_R&amp;D_%_SALES",$A$1,$A$2)</f>
        <v>23.103519668737061</v>
      </c>
      <c r="V102" s="6">
        <v>35</v>
      </c>
      <c r="W102" s="6">
        <v>352020</v>
      </c>
      <c r="X102" s="6">
        <v>35202010</v>
      </c>
      <c r="Y102" s="7" t="s">
        <v>72</v>
      </c>
      <c r="Z102" s="7" t="s">
        <v>325</v>
      </c>
      <c r="AA102" s="7" t="s">
        <v>325</v>
      </c>
      <c r="AB102" s="6">
        <v>57.469066619873047</v>
      </c>
      <c r="AC102" s="6">
        <v>0.62626064786753299</v>
      </c>
      <c r="AD102" s="6">
        <v>-26.306221971607759</v>
      </c>
      <c r="AE102" s="6">
        <v>34300</v>
      </c>
      <c r="AF102" s="6">
        <v>23700</v>
      </c>
    </row>
    <row r="103" spans="1:32" s="4" customFormat="1" ht="12.75" x14ac:dyDescent="0.2">
      <c r="A103" s="7" t="s">
        <v>399</v>
      </c>
      <c r="B103" s="7" t="s">
        <v>400</v>
      </c>
      <c r="C103" s="7" t="s">
        <v>401</v>
      </c>
      <c r="D103" s="6">
        <v>0.40074115991592402</v>
      </c>
      <c r="E103" s="6">
        <v>-1.010535836219788</v>
      </c>
      <c r="F103" s="6">
        <v>7.093750685453401E-2</v>
      </c>
      <c r="G103" s="6">
        <v>-0.98772734403610207</v>
      </c>
      <c r="H103" s="6">
        <v>2.0834746360778809</v>
      </c>
      <c r="I103" s="6">
        <v>-0.73956465721130404</v>
      </c>
      <c r="J103" s="6">
        <v>0.570012867450714</v>
      </c>
      <c r="K103" s="6">
        <v>0.71810322999954201</v>
      </c>
      <c r="L103" s="6">
        <v>-0.31034260988235501</v>
      </c>
      <c r="M103" s="6">
        <v>-0.98138046264648404</v>
      </c>
      <c r="N103" s="6">
        <v>0.65985172016931604</v>
      </c>
      <c r="O103" s="6"/>
      <c r="P103" s="6">
        <v>1.553813806555691</v>
      </c>
      <c r="Q103" s="6">
        <v>1.4674469168972251</v>
      </c>
      <c r="R103" s="6">
        <v>48.000216103622165</v>
      </c>
      <c r="S103" s="6">
        <v>14.597954843323675</v>
      </c>
      <c r="T103" s="6">
        <v>-0.11885699629783601</v>
      </c>
      <c r="U103" s="6" t="str">
        <f>_xll.BDP($A103,"TRAILING_12M_R&amp;D_%_SALES",$A$1,$A$2)</f>
        <v>#N/A N/A</v>
      </c>
      <c r="V103" s="6">
        <v>40</v>
      </c>
      <c r="W103" s="6">
        <v>402030</v>
      </c>
      <c r="X103" s="6">
        <v>40203010</v>
      </c>
      <c r="Y103" s="7" t="s">
        <v>43</v>
      </c>
      <c r="Z103" s="7" t="s">
        <v>212</v>
      </c>
      <c r="AA103" s="7" t="s">
        <v>213</v>
      </c>
      <c r="AB103" s="6">
        <v>48.626899719238281</v>
      </c>
      <c r="AC103" s="6">
        <v>1.473438645465911</v>
      </c>
      <c r="AD103" s="6">
        <v>26.271772861974064</v>
      </c>
      <c r="AE103" s="6">
        <v>195000</v>
      </c>
      <c r="AF103" s="6">
        <v>81200</v>
      </c>
    </row>
    <row r="104" spans="1:32" s="4" customFormat="1" ht="12.75" x14ac:dyDescent="0.2">
      <c r="A104" s="7" t="s">
        <v>402</v>
      </c>
      <c r="B104" s="7" t="s">
        <v>403</v>
      </c>
      <c r="C104" s="7" t="s">
        <v>404</v>
      </c>
      <c r="D104" s="6">
        <v>-0.98626095056533802</v>
      </c>
      <c r="E104" s="6">
        <v>-1.1213499307632451</v>
      </c>
      <c r="F104" s="6">
        <v>0.70803171396255504</v>
      </c>
      <c r="G104" s="6">
        <v>-0.22609028220176702</v>
      </c>
      <c r="H104" s="6">
        <v>1.1612755060195921</v>
      </c>
      <c r="I104" s="6">
        <v>1.077951192855835</v>
      </c>
      <c r="J104" s="6">
        <v>1.9289953708648682</v>
      </c>
      <c r="K104" s="6">
        <v>-1.182371854782104</v>
      </c>
      <c r="L104" s="6">
        <v>0.62616318464279208</v>
      </c>
      <c r="M104" s="6">
        <v>-0.82938808202743508</v>
      </c>
      <c r="N104" s="6">
        <v>0.6783069934336271</v>
      </c>
      <c r="O104" s="6">
        <v>0.97397421710782406</v>
      </c>
      <c r="P104" s="6">
        <v>0.43988776326539103</v>
      </c>
      <c r="Q104" s="6">
        <v>0.402379502960163</v>
      </c>
      <c r="R104" s="6">
        <v>5.2281505335718199</v>
      </c>
      <c r="S104" s="6">
        <v>4.7136077204812761</v>
      </c>
      <c r="T104" s="6">
        <v>8.8077573776245117</v>
      </c>
      <c r="U104" s="6" t="str">
        <f>_xll.BDP($A104,"TRAILING_12M_R&amp;D_%_SALES",$A$1,$A$2)</f>
        <v>#N/A N/A</v>
      </c>
      <c r="V104" s="6">
        <v>40</v>
      </c>
      <c r="W104" s="6">
        <v>401010</v>
      </c>
      <c r="X104" s="6">
        <v>40101010</v>
      </c>
      <c r="Y104" s="7" t="s">
        <v>43</v>
      </c>
      <c r="Z104" s="7" t="s">
        <v>67</v>
      </c>
      <c r="AA104" s="7" t="s">
        <v>68</v>
      </c>
      <c r="AB104" s="6">
        <v>61.854942321777344</v>
      </c>
      <c r="AC104" s="6">
        <v>0.58461593865389305</v>
      </c>
      <c r="AD104" s="6">
        <v>38.534651134970503</v>
      </c>
      <c r="AE104" s="6">
        <v>18895</v>
      </c>
      <c r="AF104" s="6">
        <v>25845</v>
      </c>
    </row>
    <row r="105" spans="1:32" s="4" customFormat="1" ht="12.75" x14ac:dyDescent="0.2">
      <c r="A105" s="7" t="s">
        <v>405</v>
      </c>
      <c r="B105" s="7" t="s">
        <v>406</v>
      </c>
      <c r="C105" s="7" t="s">
        <v>407</v>
      </c>
      <c r="D105" s="6">
        <v>-0.98626095056533802</v>
      </c>
      <c r="E105" s="6">
        <v>-1.1213499307632451</v>
      </c>
      <c r="F105" s="6">
        <v>0.70803171396255504</v>
      </c>
      <c r="G105" s="6">
        <v>-0.22609028220176702</v>
      </c>
      <c r="H105" s="6">
        <v>1.1612755060195921</v>
      </c>
      <c r="I105" s="6">
        <v>1.077951192855835</v>
      </c>
      <c r="J105" s="6">
        <v>1.9289953708648682</v>
      </c>
      <c r="K105" s="6">
        <v>-1.182371854782104</v>
      </c>
      <c r="L105" s="6">
        <v>0.62616318464279208</v>
      </c>
      <c r="M105" s="6">
        <v>-0.82938808202743508</v>
      </c>
      <c r="N105" s="6">
        <v>0.6783069934336271</v>
      </c>
      <c r="O105" s="6"/>
      <c r="P105" s="6">
        <v>0.43988776326539103</v>
      </c>
      <c r="Q105" s="6"/>
      <c r="R105" s="6">
        <v>5.2281505335718199</v>
      </c>
      <c r="S105" s="6"/>
      <c r="T105" s="6">
        <v>8.8077573776245117</v>
      </c>
      <c r="U105" s="6" t="str">
        <f>_xll.BDP($A105,"TRAILING_12M_R&amp;D_%_SALES",$A$1,$A$2)</f>
        <v>#N/A N/A</v>
      </c>
      <c r="V105" s="6">
        <v>40</v>
      </c>
      <c r="W105" s="6">
        <v>401010</v>
      </c>
      <c r="X105" s="6">
        <v>40101010</v>
      </c>
      <c r="Y105" s="7" t="s">
        <v>43</v>
      </c>
      <c r="Z105" s="7" t="s">
        <v>67</v>
      </c>
      <c r="AA105" s="7" t="s">
        <v>68</v>
      </c>
      <c r="AB105" s="6">
        <v>61.854942321777344</v>
      </c>
      <c r="AC105" s="6">
        <v>0.65730823054876408</v>
      </c>
      <c r="AD105" s="6">
        <v>31.784645710578509</v>
      </c>
      <c r="AE105" s="6">
        <v>18895</v>
      </c>
      <c r="AF105" s="6">
        <v>25845</v>
      </c>
    </row>
    <row r="106" spans="1:32" s="4" customFormat="1" ht="12.75" x14ac:dyDescent="0.2">
      <c r="A106" s="7" t="s">
        <v>408</v>
      </c>
      <c r="B106" s="7" t="s">
        <v>409</v>
      </c>
      <c r="C106" s="7" t="s">
        <v>410</v>
      </c>
      <c r="D106" s="6">
        <v>0.8909082412719731</v>
      </c>
      <c r="E106" s="6">
        <v>-1.097933173179626</v>
      </c>
      <c r="F106" s="6">
        <v>-0.34514567255973805</v>
      </c>
      <c r="G106" s="6">
        <v>-0.81840503215789806</v>
      </c>
      <c r="H106" s="6">
        <v>1.2539670467376709</v>
      </c>
      <c r="I106" s="6">
        <v>0.45911377668380704</v>
      </c>
      <c r="J106" s="6">
        <v>0.58642202615737904</v>
      </c>
      <c r="K106" s="6">
        <v>-0.94823044538497903</v>
      </c>
      <c r="L106" s="6">
        <v>2.292675256729126</v>
      </c>
      <c r="M106" s="6">
        <v>-0.88208699226379406</v>
      </c>
      <c r="N106" s="6">
        <v>1.6830788880222651</v>
      </c>
      <c r="O106" s="6">
        <v>1.4833315077783331</v>
      </c>
      <c r="P106" s="6">
        <v>0.66172953159050407</v>
      </c>
      <c r="Q106" s="6">
        <v>0.62625454011146608</v>
      </c>
      <c r="R106" s="6">
        <v>9.8883963761485187</v>
      </c>
      <c r="S106" s="6">
        <v>6.8594259269571429</v>
      </c>
      <c r="T106" s="6">
        <v>8.9053478240966797</v>
      </c>
      <c r="U106" s="6" t="str">
        <f>_xll.BDP($A106,"TRAILING_12M_R&amp;D_%_SALES",$A$1,$A$2)</f>
        <v>#N/A N/A</v>
      </c>
      <c r="V106" s="6">
        <v>40</v>
      </c>
      <c r="W106" s="6">
        <v>401010</v>
      </c>
      <c r="X106" s="6">
        <v>40101010</v>
      </c>
      <c r="Y106" s="7" t="s">
        <v>43</v>
      </c>
      <c r="Z106" s="7" t="s">
        <v>67</v>
      </c>
      <c r="AA106" s="7" t="s">
        <v>68</v>
      </c>
      <c r="AB106" s="6">
        <v>57.770847320556641</v>
      </c>
      <c r="AC106" s="6">
        <v>0.82420073125530002</v>
      </c>
      <c r="AD106" s="6">
        <v>30.90658988821362</v>
      </c>
      <c r="AE106" s="6">
        <v>193122</v>
      </c>
      <c r="AF106" s="6">
        <v>196128</v>
      </c>
    </row>
    <row r="107" spans="1:32" s="4" customFormat="1" ht="12.75" x14ac:dyDescent="0.2">
      <c r="A107" s="7" t="s">
        <v>411</v>
      </c>
      <c r="B107" s="7" t="s">
        <v>412</v>
      </c>
      <c r="C107" s="7" t="s">
        <v>413</v>
      </c>
      <c r="D107" s="6">
        <v>0.8909082412719731</v>
      </c>
      <c r="E107" s="6">
        <v>-1.097933173179626</v>
      </c>
      <c r="F107" s="6">
        <v>-0.34514567255973805</v>
      </c>
      <c r="G107" s="6">
        <v>-0.81840503215789806</v>
      </c>
      <c r="H107" s="6">
        <v>1.2539670467376709</v>
      </c>
      <c r="I107" s="6">
        <v>0.45911377668380704</v>
      </c>
      <c r="J107" s="6">
        <v>0.58642202615737904</v>
      </c>
      <c r="K107" s="6">
        <v>-0.94823044538497903</v>
      </c>
      <c r="L107" s="6">
        <v>2.292675256729126</v>
      </c>
      <c r="M107" s="6">
        <v>-0.88208699226379406</v>
      </c>
      <c r="N107" s="6">
        <v>1.6830788880222651</v>
      </c>
      <c r="O107" s="6">
        <v>1.476615815517385</v>
      </c>
      <c r="P107" s="6">
        <v>0.66172953159050407</v>
      </c>
      <c r="Q107" s="6">
        <v>0.62341923079690509</v>
      </c>
      <c r="R107" s="6">
        <v>9.8883963761485187</v>
      </c>
      <c r="S107" s="6">
        <v>6.8283775934973949</v>
      </c>
      <c r="T107" s="6">
        <v>8.9053478240966797</v>
      </c>
      <c r="U107" s="6" t="str">
        <f>_xll.BDP($A107,"TRAILING_12M_R&amp;D_%_SALES",$A$1,$A$2)</f>
        <v>#N/A N/A</v>
      </c>
      <c r="V107" s="6">
        <v>40</v>
      </c>
      <c r="W107" s="6">
        <v>401010</v>
      </c>
      <c r="X107" s="6">
        <v>40101010</v>
      </c>
      <c r="Y107" s="7" t="s">
        <v>43</v>
      </c>
      <c r="Z107" s="7" t="s">
        <v>67</v>
      </c>
      <c r="AA107" s="7" t="s">
        <v>68</v>
      </c>
      <c r="AB107" s="6">
        <v>57.770847320556641</v>
      </c>
      <c r="AC107" s="6">
        <v>1.08470640274305</v>
      </c>
      <c r="AD107" s="6">
        <v>29.197893084000558</v>
      </c>
      <c r="AE107" s="6">
        <v>193122</v>
      </c>
      <c r="AF107" s="6">
        <v>196128</v>
      </c>
    </row>
    <row r="108" spans="1:32" s="4" customFormat="1" ht="12.75" x14ac:dyDescent="0.2">
      <c r="A108" s="7" t="s">
        <v>414</v>
      </c>
      <c r="B108" s="7" t="s">
        <v>415</v>
      </c>
      <c r="C108" s="7" t="s">
        <v>416</v>
      </c>
      <c r="D108" s="6">
        <v>1.7036865949630742</v>
      </c>
      <c r="E108" s="6">
        <v>-0.8384153246879581</v>
      </c>
      <c r="F108" s="6">
        <v>1.0172779560089109</v>
      </c>
      <c r="G108" s="6">
        <v>-0.67213803529739402</v>
      </c>
      <c r="H108" s="6">
        <v>1.706293940544128</v>
      </c>
      <c r="I108" s="6">
        <v>0.22315177321434002</v>
      </c>
      <c r="J108" s="6">
        <v>2.4925036430358891</v>
      </c>
      <c r="K108" s="6">
        <v>-0.78514212369918801</v>
      </c>
      <c r="L108" s="6">
        <v>0.36602243781089805</v>
      </c>
      <c r="M108" s="6">
        <v>-0.726665079593658</v>
      </c>
      <c r="N108" s="6">
        <v>1.6830788880222651</v>
      </c>
      <c r="O108" s="6"/>
      <c r="P108" s="6">
        <v>0.66172953159050407</v>
      </c>
      <c r="Q108" s="6"/>
      <c r="R108" s="6">
        <v>9.8883963761485187</v>
      </c>
      <c r="S108" s="6"/>
      <c r="T108" s="6">
        <v>8.9053478240966797</v>
      </c>
      <c r="U108" s="6" t="str">
        <f>_xll.BDP($A108,"TRAILING_12M_R&amp;D_%_SALES",$A$1,$A$2)</f>
        <v>#N/A N/A</v>
      </c>
      <c r="V108" s="6">
        <v>40</v>
      </c>
      <c r="W108" s="6">
        <v>401010</v>
      </c>
      <c r="X108" s="6">
        <v>40101010</v>
      </c>
      <c r="Y108" s="7" t="s">
        <v>43</v>
      </c>
      <c r="Z108" s="7" t="s">
        <v>67</v>
      </c>
      <c r="AA108" s="7" t="s">
        <v>68</v>
      </c>
      <c r="AB108" s="6">
        <v>57.770847320556641</v>
      </c>
      <c r="AC108" s="6"/>
      <c r="AD108" s="6"/>
      <c r="AE108" s="6">
        <v>193122</v>
      </c>
      <c r="AF108" s="6">
        <v>196128</v>
      </c>
    </row>
    <row r="109" spans="1:32" s="4" customFormat="1" ht="12.75" x14ac:dyDescent="0.2">
      <c r="A109" s="7" t="s">
        <v>417</v>
      </c>
      <c r="B109" s="7" t="s">
        <v>418</v>
      </c>
      <c r="C109" s="7" t="s">
        <v>419</v>
      </c>
      <c r="D109" s="6">
        <v>0.50119727849960305</v>
      </c>
      <c r="E109" s="6">
        <v>-1.0097440481185911</v>
      </c>
      <c r="F109" s="6">
        <v>-1.5635827779769902</v>
      </c>
      <c r="G109" s="6">
        <v>-0.35750624537468001</v>
      </c>
      <c r="H109" s="6">
        <v>-0.9601691961288451</v>
      </c>
      <c r="I109" s="6">
        <v>-0.62524771690368708</v>
      </c>
      <c r="J109" s="6">
        <v>0.48381829261779802</v>
      </c>
      <c r="K109" s="6">
        <v>-0.82115805149078402</v>
      </c>
      <c r="L109" s="6">
        <v>2.5289463996887211</v>
      </c>
      <c r="M109" s="6">
        <v>-0.89048242568969704</v>
      </c>
      <c r="N109" s="6">
        <v>1.0902416379034741</v>
      </c>
      <c r="O109" s="6">
        <v>2.299149469722412</v>
      </c>
      <c r="P109" s="6">
        <v>1.1372905140569149</v>
      </c>
      <c r="Q109" s="6">
        <v>1.0812909226424769</v>
      </c>
      <c r="R109" s="6">
        <v>10.958598463331947</v>
      </c>
      <c r="S109" s="6">
        <v>9.814938347254019</v>
      </c>
      <c r="T109" s="6">
        <v>10.43409538269043</v>
      </c>
      <c r="U109" s="6" t="str">
        <f>_xll.BDP($A109,"TRAILING_12M_R&amp;D_%_SALES",$A$1,$A$2)</f>
        <v>#N/A N/A</v>
      </c>
      <c r="V109" s="6">
        <v>40</v>
      </c>
      <c r="W109" s="6">
        <v>401010</v>
      </c>
      <c r="X109" s="6">
        <v>40101010</v>
      </c>
      <c r="Y109" s="7" t="s">
        <v>43</v>
      </c>
      <c r="Z109" s="7" t="s">
        <v>67</v>
      </c>
      <c r="AA109" s="7" t="s">
        <v>68</v>
      </c>
      <c r="AB109" s="6">
        <v>56.392715454101563</v>
      </c>
      <c r="AC109" s="6">
        <v>1.0214573629549251</v>
      </c>
      <c r="AD109" s="6">
        <v>5.5434092446934091</v>
      </c>
      <c r="AE109" s="6">
        <v>89483</v>
      </c>
      <c r="AF109" s="6">
        <v>97629</v>
      </c>
    </row>
    <row r="110" spans="1:32" s="4" customFormat="1" ht="12.75" x14ac:dyDescent="0.2">
      <c r="A110" s="7" t="s">
        <v>420</v>
      </c>
      <c r="B110" s="7" t="s">
        <v>421</v>
      </c>
      <c r="C110" s="7" t="s">
        <v>422</v>
      </c>
      <c r="D110" s="6">
        <v>-0.72828257083892811</v>
      </c>
      <c r="E110" s="6">
        <v>-0.97350972890853904</v>
      </c>
      <c r="F110" s="6">
        <v>6.3651382923125999E-2</v>
      </c>
      <c r="G110" s="6">
        <v>-0.80993932485580411</v>
      </c>
      <c r="H110" s="6">
        <v>0.82316678762435902</v>
      </c>
      <c r="I110" s="6">
        <v>2.9805678874254001E-2</v>
      </c>
      <c r="J110" s="6">
        <v>1.591605424880981</v>
      </c>
      <c r="K110" s="6">
        <v>-0.64501756429672208</v>
      </c>
      <c r="L110" s="6">
        <v>1.8228211402893071</v>
      </c>
      <c r="M110" s="6">
        <v>-0.64593440294265703</v>
      </c>
      <c r="N110" s="6">
        <v>0.23271930281255801</v>
      </c>
      <c r="O110" s="6">
        <v>0.23061595568694401</v>
      </c>
      <c r="P110" s="6">
        <v>1.0575327613533381</v>
      </c>
      <c r="Q110" s="6">
        <v>1.027505315407103</v>
      </c>
      <c r="R110" s="6">
        <v>11.660791380689455</v>
      </c>
      <c r="S110" s="6">
        <v>9.8315342026273971</v>
      </c>
      <c r="T110" s="6">
        <v>9.1278390884399414</v>
      </c>
      <c r="U110" s="6" t="str">
        <f>_xll.BDP($A110,"TRAILING_12M_R&amp;D_%_SALES",$A$1,$A$2)</f>
        <v>#N/A N/A</v>
      </c>
      <c r="V110" s="6">
        <v>20</v>
      </c>
      <c r="W110" s="6">
        <v>201030</v>
      </c>
      <c r="X110" s="6">
        <v>20103010</v>
      </c>
      <c r="Y110" s="7" t="s">
        <v>38</v>
      </c>
      <c r="Z110" s="7" t="s">
        <v>423</v>
      </c>
      <c r="AA110" s="7" t="s">
        <v>423</v>
      </c>
      <c r="AB110" s="6">
        <v>56.785030364990234</v>
      </c>
      <c r="AC110" s="6">
        <v>0.40944489572720805</v>
      </c>
      <c r="AD110" s="6">
        <v>33.266840997226986</v>
      </c>
      <c r="AE110" s="6">
        <v>147443</v>
      </c>
      <c r="AF110" s="6">
        <v>115530</v>
      </c>
    </row>
    <row r="111" spans="1:32" s="4" customFormat="1" ht="12.75" x14ac:dyDescent="0.2">
      <c r="A111" s="7" t="s">
        <v>424</v>
      </c>
      <c r="B111" s="7" t="s">
        <v>425</v>
      </c>
      <c r="C111" s="7" t="s">
        <v>426</v>
      </c>
      <c r="D111" s="6">
        <v>-0.72828257083892811</v>
      </c>
      <c r="E111" s="6">
        <v>-0.97350972890853904</v>
      </c>
      <c r="F111" s="6">
        <v>6.3651382923125999E-2</v>
      </c>
      <c r="G111" s="6">
        <v>-0.80993932485580411</v>
      </c>
      <c r="H111" s="6">
        <v>0.82316678762435902</v>
      </c>
      <c r="I111" s="6">
        <v>2.9805678874254001E-2</v>
      </c>
      <c r="J111" s="6">
        <v>1.591605424880981</v>
      </c>
      <c r="K111" s="6">
        <v>-0.64501756429672208</v>
      </c>
      <c r="L111" s="6">
        <v>1.8228211402893071</v>
      </c>
      <c r="M111" s="6">
        <v>-0.64593440294265703</v>
      </c>
      <c r="N111" s="6">
        <v>0.23271930281255801</v>
      </c>
      <c r="O111" s="6"/>
      <c r="P111" s="6">
        <v>1.0575327613533381</v>
      </c>
      <c r="Q111" s="6"/>
      <c r="R111" s="6">
        <v>11.660791380689455</v>
      </c>
      <c r="S111" s="6"/>
      <c r="T111" s="6">
        <v>9.1278390884399414</v>
      </c>
      <c r="U111" s="6" t="str">
        <f>_xll.BDP($A111,"TRAILING_12M_R&amp;D_%_SALES",$A$1,$A$2)</f>
        <v>#N/A N/A</v>
      </c>
      <c r="V111" s="6">
        <v>20</v>
      </c>
      <c r="W111" s="6">
        <v>201030</v>
      </c>
      <c r="X111" s="6">
        <v>20103010</v>
      </c>
      <c r="Y111" s="7" t="s">
        <v>38</v>
      </c>
      <c r="Z111" s="7" t="s">
        <v>423</v>
      </c>
      <c r="AA111" s="7" t="s">
        <v>423</v>
      </c>
      <c r="AB111" s="6">
        <v>56.785030364990234</v>
      </c>
      <c r="AC111" s="6">
        <v>0.81636740757423409</v>
      </c>
      <c r="AD111" s="6">
        <v>31.829812692444783</v>
      </c>
      <c r="AE111" s="6">
        <v>147443</v>
      </c>
      <c r="AF111" s="6">
        <v>115530</v>
      </c>
    </row>
    <row r="112" spans="1:32" s="4" customFormat="1" ht="12.75" x14ac:dyDescent="0.2">
      <c r="A112" s="7" t="s">
        <v>427</v>
      </c>
      <c r="B112" s="7" t="s">
        <v>428</v>
      </c>
      <c r="C112" s="7" t="s">
        <v>429</v>
      </c>
      <c r="D112" s="6">
        <v>-0.75607120990753207</v>
      </c>
      <c r="E112" s="6">
        <v>-0.65588164329528809</v>
      </c>
      <c r="F112" s="6">
        <v>-0.96963828802108809</v>
      </c>
      <c r="G112" s="6">
        <v>-0.84347170591354403</v>
      </c>
      <c r="H112" s="6">
        <v>-0.80805873870849609</v>
      </c>
      <c r="I112" s="6">
        <v>0.21515987813472701</v>
      </c>
      <c r="J112" s="6">
        <v>1.184916615486145</v>
      </c>
      <c r="K112" s="6">
        <v>-1.116537809371948</v>
      </c>
      <c r="L112" s="6">
        <v>0.88159549236297607</v>
      </c>
      <c r="M112" s="6">
        <v>-0.56250327825546309</v>
      </c>
      <c r="N112" s="6">
        <v>0.92339737757914908</v>
      </c>
      <c r="O112" s="6">
        <v>0.85468590318810611</v>
      </c>
      <c r="P112" s="6">
        <v>1.177392348512986</v>
      </c>
      <c r="Q112" s="6"/>
      <c r="R112" s="6">
        <v>11.299128875587261</v>
      </c>
      <c r="S112" s="6"/>
      <c r="T112" s="6">
        <v>11.74940299987793</v>
      </c>
      <c r="U112" s="6">
        <f>_xll.BDP($A112,"TRAILING_12M_R&amp;D_%_SALES",$A$1,$A$2)</f>
        <v>2.847996973429018</v>
      </c>
      <c r="V112" s="6">
        <v>25</v>
      </c>
      <c r="W112" s="6">
        <v>251010</v>
      </c>
      <c r="X112" s="6">
        <v>25101020</v>
      </c>
      <c r="Y112" s="7" t="s">
        <v>85</v>
      </c>
      <c r="Z112" s="7" t="s">
        <v>430</v>
      </c>
      <c r="AA112" s="7" t="s">
        <v>431</v>
      </c>
      <c r="AB112" s="6">
        <v>66.462127685546875</v>
      </c>
      <c r="AC112" s="6">
        <v>0.31949083344140605</v>
      </c>
      <c r="AD112" s="6">
        <v>5.3352871549916081</v>
      </c>
      <c r="AE112" s="6">
        <v>129262</v>
      </c>
      <c r="AF112" s="6">
        <v>142669</v>
      </c>
    </row>
    <row r="113" spans="1:32" s="4" customFormat="1" ht="12.75" x14ac:dyDescent="0.2">
      <c r="A113" s="7" t="s">
        <v>432</v>
      </c>
      <c r="B113" s="7" t="s">
        <v>433</v>
      </c>
      <c r="C113" s="7" t="s">
        <v>434</v>
      </c>
      <c r="D113" s="6">
        <v>-0.75607120990753207</v>
      </c>
      <c r="E113" s="6">
        <v>-0.65588164329528809</v>
      </c>
      <c r="F113" s="6">
        <v>-0.96963828802108809</v>
      </c>
      <c r="G113" s="6">
        <v>-0.84347170591354403</v>
      </c>
      <c r="H113" s="6">
        <v>-0.80805873870849609</v>
      </c>
      <c r="I113" s="6">
        <v>0.21515987813472701</v>
      </c>
      <c r="J113" s="6">
        <v>1.184916615486145</v>
      </c>
      <c r="K113" s="6">
        <v>-1.116537809371948</v>
      </c>
      <c r="L113" s="6">
        <v>0.88159549236297607</v>
      </c>
      <c r="M113" s="6">
        <v>-0.56250327825546309</v>
      </c>
      <c r="N113" s="6">
        <v>0.92339737757914908</v>
      </c>
      <c r="O113" s="6"/>
      <c r="P113" s="6">
        <v>1.177392348512986</v>
      </c>
      <c r="Q113" s="6"/>
      <c r="R113" s="6">
        <v>11.299128875587261</v>
      </c>
      <c r="S113" s="6"/>
      <c r="T113" s="6">
        <v>11.74940299987793</v>
      </c>
      <c r="U113" s="6">
        <f>_xll.BDP($A113,"TRAILING_12M_R&amp;D_%_SALES",$A$1,$A$2)</f>
        <v>2.847996973429018</v>
      </c>
      <c r="V113" s="6">
        <v>25</v>
      </c>
      <c r="W113" s="6">
        <v>251010</v>
      </c>
      <c r="X113" s="6">
        <v>25101020</v>
      </c>
      <c r="Y113" s="7" t="s">
        <v>85</v>
      </c>
      <c r="Z113" s="7" t="s">
        <v>430</v>
      </c>
      <c r="AA113" s="7" t="s">
        <v>431</v>
      </c>
      <c r="AB113" s="6">
        <v>66.462127685546875</v>
      </c>
      <c r="AC113" s="6">
        <v>0.62235549641906607</v>
      </c>
      <c r="AD113" s="6">
        <v>19.40761438523484</v>
      </c>
      <c r="AE113" s="6">
        <v>129262</v>
      </c>
      <c r="AF113" s="6">
        <v>142669</v>
      </c>
    </row>
    <row r="114" spans="1:32" s="4" customFormat="1" ht="12.75" x14ac:dyDescent="0.2">
      <c r="A114" s="7" t="s">
        <v>435</v>
      </c>
      <c r="B114" s="7" t="s">
        <v>436</v>
      </c>
      <c r="C114" s="7" t="s">
        <v>437</v>
      </c>
      <c r="D114" s="6">
        <v>1.8676120042800901</v>
      </c>
      <c r="E114" s="6">
        <v>-0.42794698476791404</v>
      </c>
      <c r="F114" s="6">
        <v>-0.59548717737197909</v>
      </c>
      <c r="G114" s="6">
        <v>0.32008174061775202</v>
      </c>
      <c r="H114" s="6">
        <v>-0.8570199012756351</v>
      </c>
      <c r="I114" s="6">
        <v>0.29513323307037403</v>
      </c>
      <c r="J114" s="6">
        <v>0.67254149913787808</v>
      </c>
      <c r="K114" s="6">
        <v>-0.52557396888732899</v>
      </c>
      <c r="L114" s="6">
        <v>-0.72281217575073209</v>
      </c>
      <c r="M114" s="6">
        <v>-0.55426901578903209</v>
      </c>
      <c r="N114" s="6">
        <v>1.9642039275000722</v>
      </c>
      <c r="O114" s="6">
        <v>2.2916216165536722</v>
      </c>
      <c r="P114" s="6">
        <v>1.493136550708384</v>
      </c>
      <c r="Q114" s="6">
        <v>1.345929655719813</v>
      </c>
      <c r="R114" s="6">
        <v>22.020583781588471</v>
      </c>
      <c r="S114" s="6">
        <v>26.111970260865938</v>
      </c>
      <c r="T114" s="6">
        <v>15.646844863891602</v>
      </c>
      <c r="U114" s="6" t="str">
        <f>_xll.BDP($A114,"TRAILING_12M_R&amp;D_%_SALES",$A$1,$A$2)</f>
        <v>#N/A N/A</v>
      </c>
      <c r="V114" s="6">
        <v>40</v>
      </c>
      <c r="W114" s="6">
        <v>402010</v>
      </c>
      <c r="X114" s="6">
        <v>40201030</v>
      </c>
      <c r="Y114" s="7" t="s">
        <v>43</v>
      </c>
      <c r="Z114" s="7" t="s">
        <v>255</v>
      </c>
      <c r="AA114" s="7" t="s">
        <v>438</v>
      </c>
      <c r="AB114" s="6">
        <v>34.372798919677734</v>
      </c>
      <c r="AC114" s="6">
        <v>0.80276404927403111</v>
      </c>
      <c r="AD114" s="6">
        <v>15.766174195957117</v>
      </c>
      <c r="AE114" s="6">
        <v>382651</v>
      </c>
      <c r="AF114" s="6">
        <v>377000</v>
      </c>
    </row>
    <row r="115" spans="1:32" s="4" customFormat="1" ht="12.75" x14ac:dyDescent="0.2">
      <c r="A115" s="7" t="s">
        <v>439</v>
      </c>
      <c r="B115" s="7" t="s">
        <v>440</v>
      </c>
      <c r="C115" s="7" t="s">
        <v>441</v>
      </c>
      <c r="D115" s="6">
        <v>1.8676120042800901</v>
      </c>
      <c r="E115" s="6">
        <v>-0.42794698476791404</v>
      </c>
      <c r="F115" s="6">
        <v>-0.59548717737197909</v>
      </c>
      <c r="G115" s="6">
        <v>0.32008174061775202</v>
      </c>
      <c r="H115" s="6">
        <v>-0.8570199012756351</v>
      </c>
      <c r="I115" s="6">
        <v>0.29513323307037403</v>
      </c>
      <c r="J115" s="6">
        <v>0.67254149913787808</v>
      </c>
      <c r="K115" s="6">
        <v>-0.52557396888732899</v>
      </c>
      <c r="L115" s="6">
        <v>-0.72281217575073209</v>
      </c>
      <c r="M115" s="6">
        <v>-0.55426901578903209</v>
      </c>
      <c r="N115" s="6">
        <v>1.9642039275000722</v>
      </c>
      <c r="O115" s="6">
        <v>2.2916216165536722</v>
      </c>
      <c r="P115" s="6">
        <v>1.493136550708384</v>
      </c>
      <c r="Q115" s="6">
        <v>1.3269933737958941</v>
      </c>
      <c r="R115" s="6">
        <v>22.020583781588471</v>
      </c>
      <c r="S115" s="6">
        <v>25.74456165799371</v>
      </c>
      <c r="T115" s="6">
        <v>15.646844863891602</v>
      </c>
      <c r="U115" s="6" t="str">
        <f>_xll.BDP($A115,"TRAILING_12M_R&amp;D_%_SALES",$A$1,$A$2)</f>
        <v>#N/A N/A</v>
      </c>
      <c r="V115" s="6">
        <v>40</v>
      </c>
      <c r="W115" s="6">
        <v>402010</v>
      </c>
      <c r="X115" s="6">
        <v>40201030</v>
      </c>
      <c r="Y115" s="7" t="s">
        <v>43</v>
      </c>
      <c r="Z115" s="7" t="s">
        <v>255</v>
      </c>
      <c r="AA115" s="7" t="s">
        <v>438</v>
      </c>
      <c r="AB115" s="6">
        <v>34.372798919677734</v>
      </c>
      <c r="AC115" s="6">
        <v>0.80931065605977404</v>
      </c>
      <c r="AD115" s="6">
        <v>15.401542250543532</v>
      </c>
      <c r="AE115" s="6">
        <v>382651</v>
      </c>
      <c r="AF115" s="6">
        <v>377000</v>
      </c>
    </row>
    <row r="116" spans="1:32" s="4" customFormat="1" ht="12.75" x14ac:dyDescent="0.2">
      <c r="A116" s="7" t="s">
        <v>442</v>
      </c>
      <c r="B116" s="7" t="s">
        <v>443</v>
      </c>
      <c r="C116" s="7" t="s">
        <v>444</v>
      </c>
      <c r="D116" s="6">
        <v>-0.9329586029052731</v>
      </c>
      <c r="E116" s="6">
        <v>-1.413630604743958</v>
      </c>
      <c r="F116" s="6">
        <v>-6.6629417240620006E-2</v>
      </c>
      <c r="G116" s="6">
        <v>3.0002281665802002</v>
      </c>
      <c r="H116" s="6">
        <v>-0.56633245944976807</v>
      </c>
      <c r="I116" s="6">
        <v>-1.311342716217041</v>
      </c>
      <c r="J116" s="6">
        <v>-0.24953024089336401</v>
      </c>
      <c r="K116" s="6">
        <v>1.817979097366333</v>
      </c>
      <c r="L116" s="6">
        <v>-0.72281217575073209</v>
      </c>
      <c r="M116" s="6">
        <v>0.57009458541870106</v>
      </c>
      <c r="N116" s="6">
        <v>2.2334613000749779</v>
      </c>
      <c r="O116" s="6"/>
      <c r="P116" s="6">
        <v>2.6612112079136923</v>
      </c>
      <c r="Q116" s="6"/>
      <c r="R116" s="6"/>
      <c r="S116" s="6"/>
      <c r="T116" s="6">
        <v>-0.97327601909637507</v>
      </c>
      <c r="U116" s="6">
        <f>_xll.BDP($A116,"TRAILING_12M_R&amp;D_%_SALES",$A$1,$A$2)</f>
        <v>12.082453448446051</v>
      </c>
      <c r="V116" s="6">
        <v>40</v>
      </c>
      <c r="W116" s="6">
        <v>402010</v>
      </c>
      <c r="X116" s="6">
        <v>40201060</v>
      </c>
      <c r="Y116" s="7" t="s">
        <v>43</v>
      </c>
      <c r="Z116" s="7" t="s">
        <v>255</v>
      </c>
      <c r="AA116" s="7" t="s">
        <v>445</v>
      </c>
      <c r="AB116" s="6">
        <v>45.991348266601563</v>
      </c>
      <c r="AC116" s="6">
        <v>0.39226087531521803</v>
      </c>
      <c r="AD116" s="6">
        <v>21.85484363186745</v>
      </c>
      <c r="AE116" s="6">
        <v>12428</v>
      </c>
      <c r="AF116" s="6">
        <v>2338</v>
      </c>
    </row>
    <row r="117" spans="1:32" s="4" customFormat="1" ht="12.75" x14ac:dyDescent="0.2">
      <c r="A117" s="7" t="s">
        <v>446</v>
      </c>
      <c r="B117" s="7" t="s">
        <v>447</v>
      </c>
      <c r="C117" s="7" t="s">
        <v>448</v>
      </c>
      <c r="D117" s="6">
        <v>-0.63275825977325406</v>
      </c>
      <c r="E117" s="6">
        <v>-0.79142284393310502</v>
      </c>
      <c r="F117" s="6">
        <v>-1.4175010919570921</v>
      </c>
      <c r="G117" s="6">
        <v>-0.27268898487091103</v>
      </c>
      <c r="H117" s="6">
        <v>-0.23431181907653803</v>
      </c>
      <c r="I117" s="6">
        <v>0.20718161761760701</v>
      </c>
      <c r="J117" s="6">
        <v>-0.36798056960105902</v>
      </c>
      <c r="K117" s="6">
        <v>-0.7017076015472411</v>
      </c>
      <c r="L117" s="6">
        <v>-0.72281217575073209</v>
      </c>
      <c r="M117" s="6">
        <v>-0.51792675256729104</v>
      </c>
      <c r="N117" s="6">
        <v>6.0723910955658216</v>
      </c>
      <c r="O117" s="6">
        <v>5.5328057974977929</v>
      </c>
      <c r="P117" s="6">
        <v>4.483959672739525</v>
      </c>
      <c r="Q117" s="6">
        <v>3.8955526131318639</v>
      </c>
      <c r="R117" s="6">
        <v>40.102084104110439</v>
      </c>
      <c r="S117" s="6">
        <v>25.774668548305144</v>
      </c>
      <c r="T117" s="6">
        <v>6.5213818550109863</v>
      </c>
      <c r="U117" s="6">
        <f>_xll.BDP($A117,"TRAILING_12M_R&amp;D_%_SALES",$A$1,$A$2)</f>
        <v>9.6500656873283166</v>
      </c>
      <c r="V117" s="6">
        <v>35</v>
      </c>
      <c r="W117" s="6">
        <v>351010</v>
      </c>
      <c r="X117" s="6">
        <v>35101010</v>
      </c>
      <c r="Y117" s="7" t="s">
        <v>72</v>
      </c>
      <c r="Z117" s="7" t="s">
        <v>91</v>
      </c>
      <c r="AA117" s="7" t="s">
        <v>92</v>
      </c>
      <c r="AB117" s="6">
        <v>70.928474426269531</v>
      </c>
      <c r="AC117" s="6">
        <v>0.69262361249304405</v>
      </c>
      <c r="AD117" s="6">
        <v>24.724926162766671</v>
      </c>
      <c r="AE117" s="6">
        <v>45000</v>
      </c>
      <c r="AF117" s="6">
        <v>29000</v>
      </c>
    </row>
    <row r="118" spans="1:32" s="4" customFormat="1" ht="12.75" x14ac:dyDescent="0.2">
      <c r="A118" s="7" t="s">
        <v>449</v>
      </c>
      <c r="B118" s="7" t="s">
        <v>450</v>
      </c>
      <c r="C118" s="7" t="s">
        <v>451</v>
      </c>
      <c r="D118" s="6">
        <v>-0.54582613706588701</v>
      </c>
      <c r="E118" s="6">
        <v>-8.8775232434273002E-2</v>
      </c>
      <c r="F118" s="6">
        <v>0.180619552731514</v>
      </c>
      <c r="G118" s="6">
        <v>-6.3056811690331005E-2</v>
      </c>
      <c r="H118" s="6">
        <v>0.28302314877510104</v>
      </c>
      <c r="I118" s="6">
        <v>0.26448869705200201</v>
      </c>
      <c r="J118" s="6">
        <v>-0.49489873647689803</v>
      </c>
      <c r="K118" s="6">
        <v>0.93368119001388505</v>
      </c>
      <c r="L118" s="6">
        <v>0.65167146921157804</v>
      </c>
      <c r="M118" s="6">
        <v>9.6675693988800007E-2</v>
      </c>
      <c r="N118" s="6">
        <v>11.678627830073516</v>
      </c>
      <c r="O118" s="6">
        <v>11.979316110392576</v>
      </c>
      <c r="P118" s="6">
        <v>22.345459977646332</v>
      </c>
      <c r="Q118" s="6">
        <v>10.951982013419093</v>
      </c>
      <c r="R118" s="6">
        <v>54.573374726786597</v>
      </c>
      <c r="S118" s="6">
        <v>24.93282174392996</v>
      </c>
      <c r="T118" s="6">
        <v>24.417354583740234</v>
      </c>
      <c r="U118" s="6" t="str">
        <f>_xll.BDP($A118,"TRAILING_12M_R&amp;D_%_SALES",$A$1,$A$2)</f>
        <v>#N/A N/A</v>
      </c>
      <c r="V118" s="6">
        <v>40</v>
      </c>
      <c r="W118" s="6">
        <v>402030</v>
      </c>
      <c r="X118" s="6">
        <v>40203010</v>
      </c>
      <c r="Y118" s="7" t="s">
        <v>43</v>
      </c>
      <c r="Z118" s="7" t="s">
        <v>212</v>
      </c>
      <c r="AA118" s="7" t="s">
        <v>213</v>
      </c>
      <c r="AB118" s="6">
        <v>27.643093109130859</v>
      </c>
      <c r="AC118" s="6">
        <v>1.5426518888378811</v>
      </c>
      <c r="AD118" s="6">
        <v>81.353887120377607</v>
      </c>
      <c r="AE118" s="6">
        <v>4695</v>
      </c>
      <c r="AF118" s="6">
        <v>2360</v>
      </c>
    </row>
    <row r="119" spans="1:32" s="4" customFormat="1" ht="12.75" x14ac:dyDescent="0.2">
      <c r="A119" s="7" t="s">
        <v>452</v>
      </c>
      <c r="B119" s="7" t="s">
        <v>453</v>
      </c>
      <c r="C119" s="7" t="s">
        <v>454</v>
      </c>
      <c r="D119" s="6">
        <v>7.1169570088387007E-2</v>
      </c>
      <c r="E119" s="6">
        <v>-0.62320369482040405</v>
      </c>
      <c r="F119" s="6">
        <v>-0.95466053485870406</v>
      </c>
      <c r="G119" s="6">
        <v>-3.2911527901888005E-2</v>
      </c>
      <c r="H119" s="6">
        <v>-1.203293561935425</v>
      </c>
      <c r="I119" s="6">
        <v>-7.3739290237427008E-2</v>
      </c>
      <c r="J119" s="6">
        <v>0.55523931980133101</v>
      </c>
      <c r="K119" s="6">
        <v>2.407351970672607</v>
      </c>
      <c r="L119" s="6">
        <v>-0.47758606076240506</v>
      </c>
      <c r="M119" s="6">
        <v>2.385557889938354</v>
      </c>
      <c r="N119" s="6">
        <v>0.9792144738138141</v>
      </c>
      <c r="O119" s="6">
        <v>0.72828790691537904</v>
      </c>
      <c r="P119" s="6">
        <v>4.3699300933730321</v>
      </c>
      <c r="Q119" s="6">
        <v>3.150560033650931</v>
      </c>
      <c r="R119" s="6">
        <v>19.767651031257909</v>
      </c>
      <c r="S119" s="6">
        <v>13.904144465206393</v>
      </c>
      <c r="T119" s="6">
        <v>24.677587509155273</v>
      </c>
      <c r="U119" s="6">
        <f>_xll.BDP($A119,"TRAILING_12M_R&amp;D_%_SALES",$A$1,$A$2)</f>
        <v>7.0788730009529015</v>
      </c>
      <c r="V119" s="6">
        <v>25</v>
      </c>
      <c r="W119" s="6">
        <v>251020</v>
      </c>
      <c r="X119" s="6">
        <v>25102010</v>
      </c>
      <c r="Y119" s="7" t="s">
        <v>85</v>
      </c>
      <c r="Z119" s="7" t="s">
        <v>316</v>
      </c>
      <c r="AA119" s="7" t="s">
        <v>317</v>
      </c>
      <c r="AB119" s="6">
        <v>62.307613372802734</v>
      </c>
      <c r="AC119" s="6">
        <v>0.96469242402503108</v>
      </c>
      <c r="AD119" s="6">
        <v>12.159469362820396</v>
      </c>
      <c r="AE119" s="6">
        <v>570060</v>
      </c>
      <c r="AF119" s="6">
        <v>201000</v>
      </c>
    </row>
    <row r="120" spans="1:32" s="4" customFormat="1" ht="12.75" x14ac:dyDescent="0.2">
      <c r="A120" s="7" t="s">
        <v>455</v>
      </c>
      <c r="B120" s="7" t="s">
        <v>456</v>
      </c>
      <c r="C120" s="7" t="s">
        <v>457</v>
      </c>
      <c r="D120" s="6">
        <v>7.1169570088387007E-2</v>
      </c>
      <c r="E120" s="6">
        <v>-0.62320369482040405</v>
      </c>
      <c r="F120" s="6">
        <v>-0.95466053485870406</v>
      </c>
      <c r="G120" s="6">
        <v>-3.2911527901888005E-2</v>
      </c>
      <c r="H120" s="6">
        <v>-1.203293561935425</v>
      </c>
      <c r="I120" s="6">
        <v>-7.3739290237427008E-2</v>
      </c>
      <c r="J120" s="6">
        <v>0.55523931980133101</v>
      </c>
      <c r="K120" s="6">
        <v>2.407351970672607</v>
      </c>
      <c r="L120" s="6">
        <v>-0.47758606076240506</v>
      </c>
      <c r="M120" s="6">
        <v>2.385557889938354</v>
      </c>
      <c r="N120" s="6">
        <v>0.9792144738138141</v>
      </c>
      <c r="O120" s="6"/>
      <c r="P120" s="6">
        <v>4.3699300933730321</v>
      </c>
      <c r="Q120" s="6"/>
      <c r="R120" s="6">
        <v>19.767651031257909</v>
      </c>
      <c r="S120" s="6"/>
      <c r="T120" s="6">
        <v>24.677587509155273</v>
      </c>
      <c r="U120" s="6">
        <f>_xll.BDP($A120,"TRAILING_12M_R&amp;D_%_SALES",$A$1,$A$2)</f>
        <v>7.0788730009529015</v>
      </c>
      <c r="V120" s="6">
        <v>25</v>
      </c>
      <c r="W120" s="6">
        <v>251020</v>
      </c>
      <c r="X120" s="6">
        <v>25102010</v>
      </c>
      <c r="Y120" s="7" t="s">
        <v>85</v>
      </c>
      <c r="Z120" s="7" t="s">
        <v>316</v>
      </c>
      <c r="AA120" s="7" t="s">
        <v>317</v>
      </c>
      <c r="AB120" s="6">
        <v>62.307613372802734</v>
      </c>
      <c r="AC120" s="6">
        <v>0.98352640645705303</v>
      </c>
      <c r="AD120" s="6">
        <v>11.086849731845705</v>
      </c>
      <c r="AE120" s="6">
        <v>570060</v>
      </c>
      <c r="AF120" s="6">
        <v>201000</v>
      </c>
    </row>
    <row r="121" spans="1:32" s="4" customFormat="1" ht="12.75" x14ac:dyDescent="0.2">
      <c r="A121" s="7" t="s">
        <v>458</v>
      </c>
      <c r="B121" s="7" t="s">
        <v>459</v>
      </c>
      <c r="C121" s="7" t="s">
        <v>460</v>
      </c>
      <c r="D121" s="6">
        <v>0.46060538291931202</v>
      </c>
      <c r="E121" s="6">
        <v>-0.68729335069656405</v>
      </c>
      <c r="F121" s="6">
        <v>-0.21811789274215701</v>
      </c>
      <c r="G121" s="6">
        <v>-0.96254295110702504</v>
      </c>
      <c r="H121" s="6">
        <v>0.83037948608398404</v>
      </c>
      <c r="I121" s="6">
        <v>0.77446538209915206</v>
      </c>
      <c r="J121" s="6">
        <v>2.7208070755004883</v>
      </c>
      <c r="K121" s="6">
        <v>-0.72709381580352805</v>
      </c>
      <c r="L121" s="6">
        <v>3.0000069141387939</v>
      </c>
      <c r="M121" s="6">
        <v>-0.45578786730766302</v>
      </c>
      <c r="N121" s="6">
        <v>0.42506104077630902</v>
      </c>
      <c r="O121" s="6">
        <v>0.41481731079000306</v>
      </c>
      <c r="P121" s="6">
        <v>0.72814870787499208</v>
      </c>
      <c r="Q121" s="6"/>
      <c r="R121" s="6">
        <v>5.8301407977328124</v>
      </c>
      <c r="S121" s="6"/>
      <c r="T121" s="6">
        <v>12.671168327331543</v>
      </c>
      <c r="U121" s="6">
        <f>_xll.BDP($A121,"TRAILING_12M_R&amp;D_%_SALES",$A$1,$A$2)</f>
        <v>6.1598581903150427</v>
      </c>
      <c r="V121" s="6">
        <v>25</v>
      </c>
      <c r="W121" s="6">
        <v>251020</v>
      </c>
      <c r="X121" s="6">
        <v>25102010</v>
      </c>
      <c r="Y121" s="7" t="s">
        <v>85</v>
      </c>
      <c r="Z121" s="7" t="s">
        <v>316</v>
      </c>
      <c r="AA121" s="7" t="s">
        <v>317</v>
      </c>
      <c r="AB121" s="6">
        <v>65.033699035644531</v>
      </c>
      <c r="AC121" s="6">
        <v>0.51750996490930301</v>
      </c>
      <c r="AD121" s="6"/>
      <c r="AE121" s="6">
        <v>149475</v>
      </c>
      <c r="AF121" s="6">
        <v>129932</v>
      </c>
    </row>
    <row r="122" spans="1:32" s="4" customFormat="1" ht="12.75" x14ac:dyDescent="0.2">
      <c r="A122" s="7" t="s">
        <v>461</v>
      </c>
      <c r="B122" s="7" t="s">
        <v>462</v>
      </c>
      <c r="C122" s="7" t="s">
        <v>463</v>
      </c>
      <c r="D122" s="6">
        <v>1.0855791568756099</v>
      </c>
      <c r="E122" s="6">
        <v>-0.47830793261528004</v>
      </c>
      <c r="F122" s="6">
        <v>-1.0352326631546021</v>
      </c>
      <c r="G122" s="6">
        <v>0.54041057825088501</v>
      </c>
      <c r="H122" s="6">
        <v>1.078535676002502</v>
      </c>
      <c r="I122" s="6">
        <v>-0.8114182353019711</v>
      </c>
      <c r="J122" s="6">
        <v>1.059454083442688</v>
      </c>
      <c r="K122" s="6">
        <v>-1.1044467687606809</v>
      </c>
      <c r="L122" s="6">
        <v>1.6917062997817991</v>
      </c>
      <c r="M122" s="6">
        <v>-0.9747011065483091</v>
      </c>
      <c r="N122" s="6">
        <v>0.67643495355722305</v>
      </c>
      <c r="O122" s="6">
        <v>1.22649283795996</v>
      </c>
      <c r="P122" s="6">
        <v>0.51813650502994102</v>
      </c>
      <c r="Q122" s="6">
        <v>0.48824007471966402</v>
      </c>
      <c r="R122" s="6">
        <v>10.15977313363017</v>
      </c>
      <c r="S122" s="6">
        <v>8.8011812849647644</v>
      </c>
      <c r="T122" s="6">
        <v>6.6563301086425781</v>
      </c>
      <c r="U122" s="6" t="str">
        <f>_xll.BDP($A122,"TRAILING_12M_R&amp;D_%_SALES",$A$1,$A$2)</f>
        <v>#N/A N/A</v>
      </c>
      <c r="V122" s="6">
        <v>40</v>
      </c>
      <c r="W122" s="6">
        <v>401010</v>
      </c>
      <c r="X122" s="6">
        <v>40101010</v>
      </c>
      <c r="Y122" s="7" t="s">
        <v>43</v>
      </c>
      <c r="Z122" s="7" t="s">
        <v>67</v>
      </c>
      <c r="AA122" s="7" t="s">
        <v>68</v>
      </c>
      <c r="AB122" s="6">
        <v>60.074440002441406</v>
      </c>
      <c r="AC122" s="6">
        <v>1.0734552827416119</v>
      </c>
      <c r="AD122" s="6">
        <v>19.116584054578833</v>
      </c>
      <c r="AE122" s="6">
        <v>240000</v>
      </c>
      <c r="AF122" s="6">
        <v>209000</v>
      </c>
    </row>
    <row r="123" spans="1:32" s="4" customFormat="1" ht="12.75" x14ac:dyDescent="0.2">
      <c r="A123" s="7" t="s">
        <v>464</v>
      </c>
      <c r="B123" s="7" t="s">
        <v>465</v>
      </c>
      <c r="C123" s="7" t="s">
        <v>466</v>
      </c>
      <c r="D123" s="6">
        <v>-0.36456102132797202</v>
      </c>
      <c r="E123" s="6">
        <v>-1.1824817657470701</v>
      </c>
      <c r="F123" s="6">
        <v>-2.065424919128418</v>
      </c>
      <c r="G123" s="6">
        <v>0.55700522661209106</v>
      </c>
      <c r="H123" s="6">
        <v>0.53616446256637607</v>
      </c>
      <c r="I123" s="6">
        <v>0.44637519121170005</v>
      </c>
      <c r="J123" s="6">
        <v>9.4258956611156006E-2</v>
      </c>
      <c r="K123" s="6">
        <v>0.92219972610473611</v>
      </c>
      <c r="L123" s="6">
        <v>0.29833206534385703</v>
      </c>
      <c r="M123" s="6">
        <v>0.79116690158844005</v>
      </c>
      <c r="N123" s="6">
        <v>0.12221282761741702</v>
      </c>
      <c r="O123" s="6">
        <v>0.10522308245836101</v>
      </c>
      <c r="P123" s="6"/>
      <c r="Q123" s="6"/>
      <c r="R123" s="6">
        <v>12.609689206096876</v>
      </c>
      <c r="S123" s="6">
        <v>13.704304239198795</v>
      </c>
      <c r="T123" s="6"/>
      <c r="U123" s="6">
        <f>_xll.BDP($A123,"TRAILING_12M_R&amp;D_%_SALES",$A$1,$A$2)</f>
        <v>0</v>
      </c>
      <c r="V123" s="6">
        <v>35</v>
      </c>
      <c r="W123" s="6">
        <v>351020</v>
      </c>
      <c r="X123" s="6">
        <v>35102010</v>
      </c>
      <c r="Y123" s="7" t="s">
        <v>72</v>
      </c>
      <c r="Z123" s="7" t="s">
        <v>467</v>
      </c>
      <c r="AA123" s="7" t="s">
        <v>468</v>
      </c>
      <c r="AB123" s="6">
        <v>59.561412811279297</v>
      </c>
      <c r="AC123" s="6">
        <v>0.65977265514227801</v>
      </c>
      <c r="AD123" s="6">
        <v>33.51047747470264</v>
      </c>
      <c r="AE123" s="6">
        <v>47040</v>
      </c>
      <c r="AF123" s="6">
        <v>50200</v>
      </c>
    </row>
    <row r="124" spans="1:32" s="4" customFormat="1" ht="12.75" x14ac:dyDescent="0.2">
      <c r="A124" s="7" t="s">
        <v>469</v>
      </c>
      <c r="B124" s="7" t="s">
        <v>470</v>
      </c>
      <c r="C124" s="7" t="s">
        <v>471</v>
      </c>
      <c r="D124" s="6">
        <v>-0.71299380064010609</v>
      </c>
      <c r="E124" s="6">
        <v>-0.77122050523757901</v>
      </c>
      <c r="F124" s="6">
        <v>-0.44000980257988004</v>
      </c>
      <c r="G124" s="6">
        <v>-0.79983484745025601</v>
      </c>
      <c r="H124" s="6">
        <v>-1.2466220855712891</v>
      </c>
      <c r="I124" s="6">
        <v>4.4225290417671002E-2</v>
      </c>
      <c r="J124" s="6">
        <v>0.72917789220809903</v>
      </c>
      <c r="K124" s="6">
        <v>-1.321179986000061</v>
      </c>
      <c r="L124" s="6">
        <v>1.1213710308074951</v>
      </c>
      <c r="M124" s="6">
        <v>-0.77132630348205611</v>
      </c>
      <c r="N124" s="6">
        <v>0.87454583875475611</v>
      </c>
      <c r="O124" s="6">
        <v>1.085892082355491</v>
      </c>
      <c r="P124" s="6">
        <v>1.086482179518049</v>
      </c>
      <c r="Q124" s="6">
        <v>1.0596154217081131</v>
      </c>
      <c r="R124" s="6">
        <v>13.593027767076473</v>
      </c>
      <c r="S124" s="6">
        <v>11.809746269401987</v>
      </c>
      <c r="T124" s="6">
        <v>8.3815698623657227</v>
      </c>
      <c r="U124" s="6">
        <f>_xll.BDP($A124,"TRAILING_12M_R&amp;D_%_SALES",$A$1,$A$2)</f>
        <v>7.4802968898322124</v>
      </c>
      <c r="V124" s="6">
        <v>45</v>
      </c>
      <c r="W124" s="6">
        <v>452020</v>
      </c>
      <c r="X124" s="6">
        <v>45202030</v>
      </c>
      <c r="Y124" s="7" t="s">
        <v>56</v>
      </c>
      <c r="Z124" s="7" t="s">
        <v>57</v>
      </c>
      <c r="AA124" s="7" t="s">
        <v>57</v>
      </c>
      <c r="AB124" s="6">
        <v>57.660194396972656</v>
      </c>
      <c r="AC124" s="6">
        <v>0.46399693321515306</v>
      </c>
      <c r="AD124" s="6">
        <v>16.032673069394733</v>
      </c>
      <c r="AE124" s="6">
        <v>180775</v>
      </c>
      <c r="AF124" s="6">
        <v>197776</v>
      </c>
    </row>
    <row r="125" spans="1:32" s="4" customFormat="1" ht="12.75" x14ac:dyDescent="0.2">
      <c r="A125" s="7" t="s">
        <v>472</v>
      </c>
      <c r="B125" s="7" t="s">
        <v>473</v>
      </c>
      <c r="C125" s="7" t="s">
        <v>474</v>
      </c>
      <c r="D125" s="6">
        <v>-0.71299380064010609</v>
      </c>
      <c r="E125" s="6">
        <v>-0.77122050523757901</v>
      </c>
      <c r="F125" s="6">
        <v>-0.44000980257988004</v>
      </c>
      <c r="G125" s="6">
        <v>-0.79983484745025601</v>
      </c>
      <c r="H125" s="6">
        <v>-1.2466220855712891</v>
      </c>
      <c r="I125" s="6">
        <v>4.4225290417671002E-2</v>
      </c>
      <c r="J125" s="6">
        <v>0.72917789220809903</v>
      </c>
      <c r="K125" s="6">
        <v>-1.321179986000061</v>
      </c>
      <c r="L125" s="6">
        <v>1.1213710308074951</v>
      </c>
      <c r="M125" s="6">
        <v>-0.77132630348205611</v>
      </c>
      <c r="N125" s="6">
        <v>0.87454583875475611</v>
      </c>
      <c r="O125" s="6"/>
      <c r="P125" s="6">
        <v>1.086482179518049</v>
      </c>
      <c r="Q125" s="6"/>
      <c r="R125" s="6">
        <v>13.593027767076473</v>
      </c>
      <c r="S125" s="6"/>
      <c r="T125" s="6">
        <v>8.3815698623657227</v>
      </c>
      <c r="U125" s="6">
        <f>_xll.BDP($A125,"TRAILING_12M_R&amp;D_%_SALES",$A$1,$A$2)</f>
        <v>7.4802968898322124</v>
      </c>
      <c r="V125" s="6">
        <v>45</v>
      </c>
      <c r="W125" s="6">
        <v>452020</v>
      </c>
      <c r="X125" s="6">
        <v>45202030</v>
      </c>
      <c r="Y125" s="7" t="s">
        <v>56</v>
      </c>
      <c r="Z125" s="7" t="s">
        <v>57</v>
      </c>
      <c r="AA125" s="7" t="s">
        <v>57</v>
      </c>
      <c r="AB125" s="6">
        <v>57.660194396972656</v>
      </c>
      <c r="AC125" s="6">
        <v>0.72086561206094202</v>
      </c>
      <c r="AD125" s="6">
        <v>22.941431276070645</v>
      </c>
      <c r="AE125" s="6">
        <v>180775</v>
      </c>
      <c r="AF125" s="6">
        <v>197776</v>
      </c>
    </row>
    <row r="126" spans="1:32" s="4" customFormat="1" ht="12.75" x14ac:dyDescent="0.2">
      <c r="A126" s="7" t="s">
        <v>475</v>
      </c>
      <c r="B126" s="7" t="s">
        <v>476</v>
      </c>
      <c r="C126" s="7" t="s">
        <v>477</v>
      </c>
      <c r="D126" s="6">
        <v>-0.50838738679885909</v>
      </c>
      <c r="E126" s="6">
        <v>-0.93119847774505604</v>
      </c>
      <c r="F126" s="6">
        <v>2.297421932220459</v>
      </c>
      <c r="G126" s="6">
        <v>-0.97340267896652211</v>
      </c>
      <c r="H126" s="6">
        <v>0.77390408515930209</v>
      </c>
      <c r="I126" s="6">
        <v>-1.171638965606689</v>
      </c>
      <c r="J126" s="6">
        <v>1.065902948379517</v>
      </c>
      <c r="K126" s="6">
        <v>-0.59128534793853804</v>
      </c>
      <c r="L126" s="6">
        <v>1.4403824806213381</v>
      </c>
      <c r="M126" s="6">
        <v>-0.79372167587280307</v>
      </c>
      <c r="N126" s="6">
        <v>0.8263709894245721</v>
      </c>
      <c r="O126" s="6">
        <v>0.5977980380205421</v>
      </c>
      <c r="P126" s="6">
        <v>0.37627203917514701</v>
      </c>
      <c r="Q126" s="6">
        <v>0.32803401391625003</v>
      </c>
      <c r="R126" s="6">
        <v>6.851635841492282</v>
      </c>
      <c r="S126" s="6">
        <v>4.726083967876181</v>
      </c>
      <c r="T126" s="6">
        <v>5.584352970123291</v>
      </c>
      <c r="U126" s="6">
        <f>_xll.BDP($A126,"TRAILING_12M_R&amp;D_%_SALES",$A$1,$A$2)</f>
        <v>0</v>
      </c>
      <c r="V126" s="6">
        <v>60</v>
      </c>
      <c r="W126" s="6">
        <v>602010</v>
      </c>
      <c r="X126" s="6">
        <v>60201030</v>
      </c>
      <c r="Y126" s="7" t="s">
        <v>221</v>
      </c>
      <c r="Z126" s="7" t="s">
        <v>478</v>
      </c>
      <c r="AA126" s="7" t="s">
        <v>479</v>
      </c>
      <c r="AB126" s="6">
        <v>58.736545562744141</v>
      </c>
      <c r="AC126" s="6">
        <v>0.24184015771320602</v>
      </c>
      <c r="AD126" s="6">
        <v>-32.05050337594939</v>
      </c>
      <c r="AE126" s="6">
        <v>4351</v>
      </c>
      <c r="AF126" s="6">
        <v>5600</v>
      </c>
    </row>
    <row r="127" spans="1:32" s="4" customFormat="1" ht="12.75" x14ac:dyDescent="0.2">
      <c r="A127" s="7" t="s">
        <v>480</v>
      </c>
      <c r="B127" s="7" t="s">
        <v>481</v>
      </c>
      <c r="C127" s="7" t="s">
        <v>482</v>
      </c>
      <c r="D127" s="6">
        <v>-0.50838738679885909</v>
      </c>
      <c r="E127" s="6">
        <v>-0.93119847774505604</v>
      </c>
      <c r="F127" s="6">
        <v>2.297421932220459</v>
      </c>
      <c r="G127" s="6">
        <v>-0.97340267896652211</v>
      </c>
      <c r="H127" s="6">
        <v>0.77390408515930209</v>
      </c>
      <c r="I127" s="6">
        <v>-1.171638965606689</v>
      </c>
      <c r="J127" s="6">
        <v>1.065902948379517</v>
      </c>
      <c r="K127" s="6">
        <v>-0.59128534793853804</v>
      </c>
      <c r="L127" s="6">
        <v>1.4403824806213381</v>
      </c>
      <c r="M127" s="6">
        <v>-0.79372167587280307</v>
      </c>
      <c r="N127" s="6">
        <v>0.8263709894245721</v>
      </c>
      <c r="O127" s="6"/>
      <c r="P127" s="6">
        <v>0.37627203917514701</v>
      </c>
      <c r="Q127" s="6"/>
      <c r="R127" s="6">
        <v>6.851635841492282</v>
      </c>
      <c r="S127" s="6"/>
      <c r="T127" s="6">
        <v>5.584352970123291</v>
      </c>
      <c r="U127" s="6">
        <f>_xll.BDP($A127,"TRAILING_12M_R&amp;D_%_SALES",$A$1,$A$2)</f>
        <v>0</v>
      </c>
      <c r="V127" s="6">
        <v>60</v>
      </c>
      <c r="W127" s="6">
        <v>602010</v>
      </c>
      <c r="X127" s="6">
        <v>60201030</v>
      </c>
      <c r="Y127" s="7" t="s">
        <v>221</v>
      </c>
      <c r="Z127" s="7" t="s">
        <v>478</v>
      </c>
      <c r="AA127" s="7" t="s">
        <v>479</v>
      </c>
      <c r="AB127" s="6">
        <v>58.736545562744141</v>
      </c>
      <c r="AC127" s="6">
        <v>0.64857961723685909</v>
      </c>
      <c r="AD127" s="6">
        <v>-29.182817237692639</v>
      </c>
      <c r="AE127" s="6">
        <v>4351</v>
      </c>
      <c r="AF127" s="6">
        <v>5600</v>
      </c>
    </row>
    <row r="128" spans="1:32" s="4" customFormat="1" ht="12.75" x14ac:dyDescent="0.2">
      <c r="A128" s="7" t="s">
        <v>483</v>
      </c>
      <c r="B128" s="7" t="s">
        <v>484</v>
      </c>
      <c r="C128" s="7" t="s">
        <v>485</v>
      </c>
      <c r="D128" s="6">
        <v>-0.87533640861511208</v>
      </c>
      <c r="E128" s="6">
        <v>-0.44727668166160606</v>
      </c>
      <c r="F128" s="6">
        <v>-0.13972501456737502</v>
      </c>
      <c r="G128" s="6">
        <v>-0.92751669883728005</v>
      </c>
      <c r="H128" s="6">
        <v>-5.6966733187437002E-2</v>
      </c>
      <c r="I128" s="6">
        <v>-0.564375340938568</v>
      </c>
      <c r="J128" s="6">
        <v>0.31388586759567305</v>
      </c>
      <c r="K128" s="6">
        <v>-0.26052394509315502</v>
      </c>
      <c r="L128" s="6">
        <v>0.172429755330086</v>
      </c>
      <c r="M128" s="6">
        <v>-0.547205209732056</v>
      </c>
      <c r="N128" s="6">
        <v>1.4193263239348162</v>
      </c>
      <c r="O128" s="6">
        <v>1.3765009792828351</v>
      </c>
      <c r="P128" s="6">
        <v>3.2558504352128952</v>
      </c>
      <c r="Q128" s="6">
        <v>2.693552837536604</v>
      </c>
      <c r="R128" s="6">
        <v>19.107567894116048</v>
      </c>
      <c r="S128" s="6">
        <v>15.198229370425366</v>
      </c>
      <c r="T128" s="6">
        <v>17.778011322021484</v>
      </c>
      <c r="U128" s="6" t="str">
        <f>_xll.BDP($A128,"TRAILING_12M_R&amp;D_%_SALES",$A$1,$A$2)</f>
        <v>#N/A N/A</v>
      </c>
      <c r="V128" s="6">
        <v>45</v>
      </c>
      <c r="W128" s="6">
        <v>451020</v>
      </c>
      <c r="X128" s="6">
        <v>45102010</v>
      </c>
      <c r="Y128" s="7" t="s">
        <v>56</v>
      </c>
      <c r="Z128" s="7" t="s">
        <v>112</v>
      </c>
      <c r="AA128" s="7" t="s">
        <v>113</v>
      </c>
      <c r="AB128" s="6">
        <v>60.869129180908203</v>
      </c>
      <c r="AC128" s="6">
        <v>0.70199169982978005</v>
      </c>
      <c r="AD128" s="6">
        <v>27.659465956767406</v>
      </c>
      <c r="AE128" s="6">
        <v>359600</v>
      </c>
      <c r="AF128" s="6">
        <v>199698</v>
      </c>
    </row>
    <row r="129" spans="1:32" s="4" customFormat="1" ht="12.75" x14ac:dyDescent="0.2">
      <c r="A129" s="7" t="s">
        <v>486</v>
      </c>
      <c r="B129" s="7" t="s">
        <v>487</v>
      </c>
      <c r="C129" s="7" t="s">
        <v>488</v>
      </c>
      <c r="D129" s="6">
        <v>-0.76070970296859708</v>
      </c>
      <c r="E129" s="6">
        <v>-0.25721013545990001</v>
      </c>
      <c r="F129" s="6">
        <v>0.73859149217605602</v>
      </c>
      <c r="G129" s="6">
        <v>-0.22654342651367201</v>
      </c>
      <c r="H129" s="6">
        <v>0.30822557210922202</v>
      </c>
      <c r="I129" s="6">
        <v>0.52454084157943703</v>
      </c>
      <c r="J129" s="6">
        <v>-7.3881052434444011E-2</v>
      </c>
      <c r="K129" s="6">
        <v>-0.78570812940597501</v>
      </c>
      <c r="L129" s="6">
        <v>-0.10841891169548001</v>
      </c>
      <c r="M129" s="6">
        <v>-0.59924799203872703</v>
      </c>
      <c r="N129" s="6">
        <v>2.174076806609464</v>
      </c>
      <c r="O129" s="6">
        <v>2.0525811041262689</v>
      </c>
      <c r="P129" s="6">
        <v>5.8899347705039284</v>
      </c>
      <c r="Q129" s="6">
        <v>4.8976984658932565</v>
      </c>
      <c r="R129" s="6">
        <v>21.357051773349031</v>
      </c>
      <c r="S129" s="6">
        <v>19.773184420163524</v>
      </c>
      <c r="T129" s="6">
        <v>15.636410713195801</v>
      </c>
      <c r="U129" s="6">
        <f>_xll.BDP($A129,"TRAILING_12M_R&amp;D_%_SALES",$A$1,$A$2)</f>
        <v>3.1037786943298751</v>
      </c>
      <c r="V129" s="6">
        <v>20</v>
      </c>
      <c r="W129" s="6">
        <v>201020</v>
      </c>
      <c r="X129" s="6">
        <v>20102010</v>
      </c>
      <c r="Y129" s="7" t="s">
        <v>38</v>
      </c>
      <c r="Z129" s="7" t="s">
        <v>489</v>
      </c>
      <c r="AA129" s="7" t="s">
        <v>489</v>
      </c>
      <c r="AB129" s="6">
        <v>62.19696044921875</v>
      </c>
      <c r="AC129" s="6">
        <v>1.177749346729938</v>
      </c>
      <c r="AD129" s="6">
        <v>39.450371840237629</v>
      </c>
      <c r="AE129" s="6">
        <v>52000</v>
      </c>
      <c r="AF129" s="6">
        <v>54998</v>
      </c>
    </row>
    <row r="130" spans="1:32" s="4" customFormat="1" ht="12.75" x14ac:dyDescent="0.2">
      <c r="A130" s="7" t="s">
        <v>490</v>
      </c>
      <c r="B130" s="7" t="s">
        <v>491</v>
      </c>
      <c r="C130" s="7" t="s">
        <v>492</v>
      </c>
      <c r="D130" s="6">
        <v>0.17935609817504902</v>
      </c>
      <c r="E130" s="6">
        <v>5.9134449809790005E-2</v>
      </c>
      <c r="F130" s="6">
        <v>0.18214385211467701</v>
      </c>
      <c r="G130" s="6">
        <v>-0.21567195653915402</v>
      </c>
      <c r="H130" s="6">
        <v>0.48150074481964106</v>
      </c>
      <c r="I130" s="6">
        <v>0.89352220296859708</v>
      </c>
      <c r="J130" s="6">
        <v>0.16074518859386402</v>
      </c>
      <c r="K130" s="6">
        <v>-0.78779149055481001</v>
      </c>
      <c r="L130" s="6">
        <v>0.16678866744041401</v>
      </c>
      <c r="M130" s="6">
        <v>-0.51695257425308205</v>
      </c>
      <c r="N130" s="6">
        <v>2.282378668467564</v>
      </c>
      <c r="O130" s="6">
        <v>2.2600628307876889</v>
      </c>
      <c r="P130" s="6">
        <v>7.3464341443168113</v>
      </c>
      <c r="Q130" s="6">
        <v>6.6106962824400846</v>
      </c>
      <c r="R130" s="6">
        <v>14.004917740795317</v>
      </c>
      <c r="S130" s="6">
        <v>14.409642554671661</v>
      </c>
      <c r="T130" s="6">
        <v>50.515522003173828</v>
      </c>
      <c r="U130" s="6">
        <f>_xll.BDP($A130,"TRAILING_12M_R&amp;D_%_SALES",$A$1,$A$2)</f>
        <v>3.2510916693669087</v>
      </c>
      <c r="V130" s="6">
        <v>20</v>
      </c>
      <c r="W130" s="6">
        <v>201060</v>
      </c>
      <c r="X130" s="6">
        <v>20106010</v>
      </c>
      <c r="Y130" s="7" t="s">
        <v>38</v>
      </c>
      <c r="Z130" s="7" t="s">
        <v>493</v>
      </c>
      <c r="AA130" s="7" t="s">
        <v>494</v>
      </c>
      <c r="AB130" s="6">
        <v>59.390403747558594</v>
      </c>
      <c r="AC130" s="6">
        <v>1.07252821409295</v>
      </c>
      <c r="AD130" s="6">
        <v>25.635527599995566</v>
      </c>
      <c r="AE130" s="6">
        <v>109100</v>
      </c>
      <c r="AF130" s="6">
        <v>98400</v>
      </c>
    </row>
    <row r="131" spans="1:32" s="4" customFormat="1" ht="12.75" x14ac:dyDescent="0.2">
      <c r="A131" s="7" t="s">
        <v>495</v>
      </c>
      <c r="B131" s="7" t="s">
        <v>496</v>
      </c>
      <c r="C131" s="7" t="s">
        <v>497</v>
      </c>
      <c r="D131" s="6">
        <v>0.19583831727504702</v>
      </c>
      <c r="E131" s="6">
        <v>-0.87472069263458307</v>
      </c>
      <c r="F131" s="6">
        <v>-8.5125669836998E-2</v>
      </c>
      <c r="G131" s="6">
        <v>-0.52295219898223899</v>
      </c>
      <c r="H131" s="6">
        <v>-0.69151413440704301</v>
      </c>
      <c r="I131" s="6">
        <v>-0.18256609141826602</v>
      </c>
      <c r="J131" s="6">
        <v>0.82906949520111106</v>
      </c>
      <c r="K131" s="6">
        <v>-0.83134531974792503</v>
      </c>
      <c r="L131" s="6">
        <v>2.8242519125342001E-2</v>
      </c>
      <c r="M131" s="6">
        <v>-0.82294315099716209</v>
      </c>
      <c r="N131" s="6">
        <v>1.934056758938919</v>
      </c>
      <c r="O131" s="6">
        <v>1.8292427098567772</v>
      </c>
      <c r="P131" s="6">
        <v>1.7605343435957121</v>
      </c>
      <c r="Q131" s="6">
        <v>1.5097970258566291</v>
      </c>
      <c r="R131" s="6">
        <v>12.594349452573656</v>
      </c>
      <c r="S131" s="6">
        <v>10.626743024828958</v>
      </c>
      <c r="T131" s="6">
        <v>14.076311111450195</v>
      </c>
      <c r="U131" s="6" t="str">
        <f>_xll.BDP($A131,"TRAILING_12M_R&amp;D_%_SALES",$A$1,$A$2)</f>
        <v>#N/A N/A</v>
      </c>
      <c r="V131" s="6">
        <v>40</v>
      </c>
      <c r="W131" s="6">
        <v>403010</v>
      </c>
      <c r="X131" s="6">
        <v>40301040</v>
      </c>
      <c r="Y131" s="7" t="s">
        <v>43</v>
      </c>
      <c r="Z131" s="7" t="s">
        <v>44</v>
      </c>
      <c r="AA131" s="7" t="s">
        <v>102</v>
      </c>
      <c r="AB131" s="6">
        <v>40.961673736572266</v>
      </c>
      <c r="AC131" s="6">
        <v>0.63148020800485605</v>
      </c>
      <c r="AD131" s="6">
        <v>3.4834713729100302</v>
      </c>
      <c r="AE131" s="6">
        <v>34000</v>
      </c>
      <c r="AF131" s="6">
        <v>31000</v>
      </c>
    </row>
    <row r="132" spans="1:32" s="4" customFormat="1" ht="12.75" x14ac:dyDescent="0.2">
      <c r="A132" s="7" t="s">
        <v>498</v>
      </c>
      <c r="B132" s="7" t="s">
        <v>499</v>
      </c>
      <c r="C132" s="7" t="s">
        <v>500</v>
      </c>
      <c r="D132" s="6">
        <v>-0.98198300600051902</v>
      </c>
      <c r="E132" s="6">
        <v>-0.76023876667022705</v>
      </c>
      <c r="F132" s="6">
        <v>-0.36651989817619302</v>
      </c>
      <c r="G132" s="6">
        <v>-0.286781966686249</v>
      </c>
      <c r="H132" s="6">
        <v>-0.24765060842037201</v>
      </c>
      <c r="I132" s="6">
        <v>-0.51361066102981601</v>
      </c>
      <c r="J132" s="6">
        <v>8.2478329539299011E-2</v>
      </c>
      <c r="K132" s="6">
        <v>0.11702916771173501</v>
      </c>
      <c r="L132" s="6">
        <v>-0.72281217575073209</v>
      </c>
      <c r="M132" s="6">
        <v>-8.1864520907402011E-2</v>
      </c>
      <c r="N132" s="6">
        <v>0.92775227541916205</v>
      </c>
      <c r="O132" s="6">
        <v>0.82811127443971611</v>
      </c>
      <c r="P132" s="6">
        <v>3.69197587407242</v>
      </c>
      <c r="Q132" s="6">
        <v>3.4610192575787591</v>
      </c>
      <c r="R132" s="6">
        <v>27.376906560665176</v>
      </c>
      <c r="S132" s="6">
        <v>21.008799695151382</v>
      </c>
      <c r="T132" s="6">
        <v>7.553980827331543</v>
      </c>
      <c r="U132" s="6">
        <f>_xll.BDP($A132,"TRAILING_12M_R&amp;D_%_SALES",$A$1,$A$2)</f>
        <v>0</v>
      </c>
      <c r="V132" s="6">
        <v>60</v>
      </c>
      <c r="W132" s="6">
        <v>602010</v>
      </c>
      <c r="X132" s="6">
        <v>60201040</v>
      </c>
      <c r="Y132" s="7" t="s">
        <v>221</v>
      </c>
      <c r="Z132" s="7" t="s">
        <v>478</v>
      </c>
      <c r="AA132" s="7" t="s">
        <v>501</v>
      </c>
      <c r="AB132" s="6">
        <v>66.955032348632813</v>
      </c>
      <c r="AC132" s="6">
        <v>1.250251126196299</v>
      </c>
      <c r="AD132" s="6">
        <v>20.038675273502228</v>
      </c>
      <c r="AE132" s="6">
        <v>115000</v>
      </c>
      <c r="AF132" s="6">
        <v>80000</v>
      </c>
    </row>
    <row r="133" spans="1:32" s="4" customFormat="1" ht="12.75" x14ac:dyDescent="0.2">
      <c r="A133" s="7" t="s">
        <v>502</v>
      </c>
      <c r="B133" s="7" t="s">
        <v>503</v>
      </c>
      <c r="C133" s="7" t="s">
        <v>504</v>
      </c>
      <c r="D133" s="6">
        <v>-0.91569614410400402</v>
      </c>
      <c r="E133" s="6">
        <v>-0.45551663637161305</v>
      </c>
      <c r="F133" s="6">
        <v>-0.10527354478836101</v>
      </c>
      <c r="G133" s="6">
        <v>-0.85967397689819303</v>
      </c>
      <c r="H133" s="6">
        <v>0.6345634460449221</v>
      </c>
      <c r="I133" s="6">
        <v>0.44714856147766102</v>
      </c>
      <c r="J133" s="6">
        <v>0.24787504971027402</v>
      </c>
      <c r="K133" s="6">
        <v>-0.35329839587211603</v>
      </c>
      <c r="L133" s="6">
        <v>0.36212268471717801</v>
      </c>
      <c r="M133" s="6">
        <v>-0.62652373313903809</v>
      </c>
      <c r="N133" s="6">
        <v>1.531723793559548</v>
      </c>
      <c r="O133" s="6">
        <v>1.396834241104862</v>
      </c>
      <c r="P133" s="6">
        <v>3.5668054736171122</v>
      </c>
      <c r="Q133" s="6">
        <v>3.0639936871567652</v>
      </c>
      <c r="R133" s="6">
        <v>15.479386895702314</v>
      </c>
      <c r="S133" s="6">
        <v>14.983831464222202</v>
      </c>
      <c r="T133" s="6">
        <v>22.083251953125</v>
      </c>
      <c r="U133" s="6">
        <f>_xll.BDP($A133,"TRAILING_12M_R&amp;D_%_SALES",$A$1,$A$2)</f>
        <v>0</v>
      </c>
      <c r="V133" s="6">
        <v>30</v>
      </c>
      <c r="W133" s="6">
        <v>302010</v>
      </c>
      <c r="X133" s="6">
        <v>30201030</v>
      </c>
      <c r="Y133" s="7" t="s">
        <v>106</v>
      </c>
      <c r="Z133" s="7" t="s">
        <v>505</v>
      </c>
      <c r="AA133" s="7" t="s">
        <v>506</v>
      </c>
      <c r="AB133" s="6">
        <v>68.353286743164063</v>
      </c>
      <c r="AC133" s="6">
        <v>0.65979467203436404</v>
      </c>
      <c r="AD133" s="6">
        <v>24.357200741303121</v>
      </c>
      <c r="AE133" s="6">
        <v>31731</v>
      </c>
      <c r="AF133" s="6">
        <v>23500</v>
      </c>
    </row>
    <row r="134" spans="1:32" s="4" customFormat="1" ht="12.75" x14ac:dyDescent="0.2">
      <c r="A134" s="7" t="s">
        <v>507</v>
      </c>
      <c r="B134" s="7" t="s">
        <v>508</v>
      </c>
      <c r="C134" s="7" t="s">
        <v>509</v>
      </c>
      <c r="D134" s="6">
        <v>-0.95691055059433006</v>
      </c>
      <c r="E134" s="6">
        <v>9.9966619163750006E-3</v>
      </c>
      <c r="F134" s="6">
        <v>0.76691293716430708</v>
      </c>
      <c r="G134" s="6">
        <v>-0.26672005653381303</v>
      </c>
      <c r="H134" s="6">
        <v>1.8287249803543091</v>
      </c>
      <c r="I134" s="6">
        <v>-2.110318660736084</v>
      </c>
      <c r="J134" s="6">
        <v>-0.14160025119781502</v>
      </c>
      <c r="K134" s="6">
        <v>-1.2717603445053101</v>
      </c>
      <c r="L134" s="6">
        <v>2.4566648006439209</v>
      </c>
      <c r="M134" s="6">
        <v>-0.96637493371963512</v>
      </c>
      <c r="N134" s="6">
        <v>7.0619114719173686</v>
      </c>
      <c r="O134" s="6">
        <v>7.5329917431760007</v>
      </c>
      <c r="P134" s="6">
        <v>7.4962458096190012</v>
      </c>
      <c r="Q134" s="6">
        <v>8.6284643557983749</v>
      </c>
      <c r="R134" s="6">
        <v>30.025145852632132</v>
      </c>
      <c r="S134" s="6">
        <v>39.695778735144643</v>
      </c>
      <c r="T134" s="6">
        <v>21.61973762512207</v>
      </c>
      <c r="U134" s="6" t="str">
        <f>_xll.BDP($A134,"TRAILING_12M_R&amp;D_%_SALES",$A$1,$A$2)</f>
        <v>#N/A N/A</v>
      </c>
      <c r="V134" s="6">
        <v>60</v>
      </c>
      <c r="W134" s="6">
        <v>601080</v>
      </c>
      <c r="X134" s="6">
        <v>60108030</v>
      </c>
      <c r="Y134" s="7" t="s">
        <v>221</v>
      </c>
      <c r="Z134" s="7" t="s">
        <v>222</v>
      </c>
      <c r="AA134" s="7" t="s">
        <v>223</v>
      </c>
      <c r="AB134" s="6">
        <v>58.565536499023438</v>
      </c>
      <c r="AC134" s="6">
        <v>1.0130521771796031</v>
      </c>
      <c r="AD134" s="6">
        <v>-12.091739286071125</v>
      </c>
      <c r="AE134" s="6">
        <v>5000</v>
      </c>
      <c r="AF134" s="6">
        <v>4500</v>
      </c>
    </row>
    <row r="135" spans="1:32" s="4" customFormat="1" ht="12.75" x14ac:dyDescent="0.2">
      <c r="A135" s="7" t="s">
        <v>510</v>
      </c>
      <c r="B135" s="7" t="s">
        <v>511</v>
      </c>
      <c r="C135" s="7" t="s">
        <v>512</v>
      </c>
      <c r="D135" s="6">
        <v>-0.94788312911987305</v>
      </c>
      <c r="E135" s="6">
        <v>-1.6550445556640629</v>
      </c>
      <c r="F135" s="6">
        <v>0.61937147378921509</v>
      </c>
      <c r="G135" s="6">
        <v>3.0002281665802002</v>
      </c>
      <c r="H135" s="6">
        <v>2.1007363796234131</v>
      </c>
      <c r="I135" s="6">
        <v>0.96710538864135709</v>
      </c>
      <c r="J135" s="6">
        <v>-1.5545906499028001E-2</v>
      </c>
      <c r="K135" s="6">
        <v>-2.8231080621481001E-2</v>
      </c>
      <c r="L135" s="6">
        <v>-0.72281217575073209</v>
      </c>
      <c r="M135" s="6">
        <v>0.95518422126770008</v>
      </c>
      <c r="N135" s="6">
        <v>1.083846621871007</v>
      </c>
      <c r="O135" s="6">
        <v>0.94232306450431502</v>
      </c>
      <c r="P135" s="6">
        <v>3.4051964075586021</v>
      </c>
      <c r="Q135" s="6">
        <v>3.0599787943235262</v>
      </c>
      <c r="R135" s="6"/>
      <c r="S135" s="6">
        <v>19.040645956383901</v>
      </c>
      <c r="T135" s="6">
        <v>-1.0611599683761601</v>
      </c>
      <c r="U135" s="6" t="str">
        <f>_xll.BDP($A135,"TRAILING_12M_R&amp;D_%_SALES",$A$1,$A$2)</f>
        <v>#N/A N/A</v>
      </c>
      <c r="V135" s="6">
        <v>25</v>
      </c>
      <c r="W135" s="6">
        <v>253010</v>
      </c>
      <c r="X135" s="6">
        <v>25301020</v>
      </c>
      <c r="Y135" s="7" t="s">
        <v>85</v>
      </c>
      <c r="Z135" s="7" t="s">
        <v>86</v>
      </c>
      <c r="AA135" s="7" t="s">
        <v>87</v>
      </c>
      <c r="AB135" s="6">
        <v>63.876873016357422</v>
      </c>
      <c r="AC135" s="6">
        <v>1.799612570920861</v>
      </c>
      <c r="AD135" s="6">
        <v>129.45545904193025</v>
      </c>
      <c r="AE135" s="6">
        <v>85000</v>
      </c>
      <c r="AF135" s="6">
        <v>86000</v>
      </c>
    </row>
    <row r="136" spans="1:32" s="4" customFormat="1" ht="12.75" x14ac:dyDescent="0.2">
      <c r="A136" s="7" t="s">
        <v>513</v>
      </c>
      <c r="B136" s="7" t="s">
        <v>514</v>
      </c>
      <c r="C136" s="7" t="s">
        <v>515</v>
      </c>
      <c r="D136" s="6">
        <v>-0.90995013713836703</v>
      </c>
      <c r="E136" s="6">
        <v>-0.45329505205154402</v>
      </c>
      <c r="F136" s="6">
        <v>0.84244126081466708</v>
      </c>
      <c r="G136" s="6">
        <v>-0.53412389755249001</v>
      </c>
      <c r="H136" s="6">
        <v>4.8619743436575005E-2</v>
      </c>
      <c r="I136" s="6">
        <v>-0.63305729627609308</v>
      </c>
      <c r="J136" s="6">
        <v>3.0000560283660889</v>
      </c>
      <c r="K136" s="6">
        <v>-0.38115999102592502</v>
      </c>
      <c r="L136" s="6">
        <v>3.0000114440917969</v>
      </c>
      <c r="M136" s="6">
        <v>0.12525258958339702</v>
      </c>
      <c r="N136" s="6">
        <v>0.42487267270834606</v>
      </c>
      <c r="O136" s="6"/>
      <c r="P136" s="6">
        <v>0.59687634642520904</v>
      </c>
      <c r="Q136" s="6"/>
      <c r="R136" s="6">
        <v>5.4846344430078133</v>
      </c>
      <c r="S136" s="6"/>
      <c r="T136" s="6">
        <v>11.362997055053711</v>
      </c>
      <c r="U136" s="6">
        <f>_xll.BDP($A136,"TRAILING_12M_R&amp;D_%_SALES",$A$1,$A$2)</f>
        <v>2.3839738242897393</v>
      </c>
      <c r="V136" s="6">
        <v>10</v>
      </c>
      <c r="W136" s="6">
        <v>101020</v>
      </c>
      <c r="X136" s="6">
        <v>10102050</v>
      </c>
      <c r="Y136" s="7" t="s">
        <v>387</v>
      </c>
      <c r="Z136" s="7" t="s">
        <v>516</v>
      </c>
      <c r="AA136" s="7" t="s">
        <v>517</v>
      </c>
      <c r="AB136" s="6">
        <v>52.9222412109375</v>
      </c>
      <c r="AC136" s="6">
        <v>0.27537175099870803</v>
      </c>
      <c r="AD136" s="6">
        <v>8.988541649927928</v>
      </c>
      <c r="AE136" s="6">
        <v>46450</v>
      </c>
      <c r="AF136" s="6">
        <v>44356</v>
      </c>
    </row>
    <row r="137" spans="1:32" s="4" customFormat="1" ht="12.75" x14ac:dyDescent="0.2">
      <c r="A137" s="7" t="s">
        <v>518</v>
      </c>
      <c r="B137" s="7" t="s">
        <v>519</v>
      </c>
      <c r="C137" s="7" t="s">
        <v>520</v>
      </c>
      <c r="D137" s="6">
        <v>-0.65630173683166504</v>
      </c>
      <c r="E137" s="6">
        <v>-1.062903881072998</v>
      </c>
      <c r="F137" s="6">
        <v>-0.14782065153121901</v>
      </c>
      <c r="G137" s="6">
        <v>-0.17889031767845201</v>
      </c>
      <c r="H137" s="6">
        <v>-0.25491830706596402</v>
      </c>
      <c r="I137" s="6">
        <v>0.21547293663024902</v>
      </c>
      <c r="J137" s="6">
        <v>-0.44881099462509205</v>
      </c>
      <c r="K137" s="6">
        <v>-0.7507520914077761</v>
      </c>
      <c r="L137" s="6">
        <v>-0.24104735255241402</v>
      </c>
      <c r="M137" s="6">
        <v>-0.30465909838676503</v>
      </c>
      <c r="N137" s="6">
        <v>1.4341980127645542</v>
      </c>
      <c r="O137" s="6">
        <v>1.6537329026019969</v>
      </c>
      <c r="P137" s="6">
        <v>3.196289126675516</v>
      </c>
      <c r="Q137" s="6">
        <v>3.1176235501051819</v>
      </c>
      <c r="R137" s="6"/>
      <c r="S137" s="6">
        <v>18.219766256461455</v>
      </c>
      <c r="T137" s="6">
        <v>15.06965160369873</v>
      </c>
      <c r="U137" s="6" t="str">
        <f>_xll.BDP($A137,"TRAILING_12M_R&amp;D_%_SALES",$A$1,$A$2)</f>
        <v>#N/A N/A</v>
      </c>
      <c r="V137" s="6">
        <v>55</v>
      </c>
      <c r="W137" s="6">
        <v>551010</v>
      </c>
      <c r="X137" s="6">
        <v>55101010</v>
      </c>
      <c r="Y137" s="7" t="s">
        <v>154</v>
      </c>
      <c r="Z137" s="7" t="s">
        <v>155</v>
      </c>
      <c r="AA137" s="7" t="s">
        <v>155</v>
      </c>
      <c r="AB137" s="6">
        <v>72.537971496582031</v>
      </c>
      <c r="AC137" s="6">
        <v>0.97162690182683009</v>
      </c>
      <c r="AD137" s="6">
        <v>36.347877130863026</v>
      </c>
      <c r="AE137" s="6">
        <v>3342</v>
      </c>
      <c r="AF137" s="6"/>
    </row>
    <row r="138" spans="1:32" s="4" customFormat="1" ht="12.75" x14ac:dyDescent="0.2">
      <c r="A138" s="7" t="s">
        <v>521</v>
      </c>
      <c r="B138" s="7" t="s">
        <v>522</v>
      </c>
      <c r="C138" s="7" t="s">
        <v>523</v>
      </c>
      <c r="D138" s="6">
        <v>7.928305119276001E-2</v>
      </c>
      <c r="E138" s="6">
        <v>7.7594429254531999E-2</v>
      </c>
      <c r="F138" s="6">
        <v>-0.52965557575225808</v>
      </c>
      <c r="G138" s="6">
        <v>-0.40873402357101402</v>
      </c>
      <c r="H138" s="6">
        <v>0.49236580729484603</v>
      </c>
      <c r="I138" s="6">
        <v>-1.080397486686707</v>
      </c>
      <c r="J138" s="6">
        <v>0.67447525262832608</v>
      </c>
      <c r="K138" s="6">
        <v>-0.53384548425674405</v>
      </c>
      <c r="L138" s="6">
        <v>1.1179378032684331</v>
      </c>
      <c r="M138" s="6">
        <v>0.36058875918388406</v>
      </c>
      <c r="N138" s="6">
        <v>2.385777366587317</v>
      </c>
      <c r="O138" s="6"/>
      <c r="P138" s="6">
        <v>3.599025684842506</v>
      </c>
      <c r="Q138" s="6"/>
      <c r="R138" s="6">
        <v>11.968042324911631</v>
      </c>
      <c r="S138" s="6"/>
      <c r="T138" s="6">
        <v>26.869253158569336</v>
      </c>
      <c r="U138" s="6" t="str">
        <f>_xll.BDP($A138,"TRAILING_12M_R&amp;D_%_SALES",$A$1,$A$2)</f>
        <v>#N/A Field Not Applicable</v>
      </c>
      <c r="V138" s="6">
        <v>35</v>
      </c>
      <c r="W138" s="6">
        <v>352020</v>
      </c>
      <c r="X138" s="6">
        <v>35202010</v>
      </c>
      <c r="Y138" s="7" t="s">
        <v>72</v>
      </c>
      <c r="Z138" s="7" t="s">
        <v>325</v>
      </c>
      <c r="AA138" s="7" t="s">
        <v>325</v>
      </c>
      <c r="AB138" s="6">
        <v>57.469066619873047</v>
      </c>
      <c r="AC138" s="6">
        <v>0.20623564920583401</v>
      </c>
      <c r="AD138" s="6">
        <v>-23.793393953257791</v>
      </c>
      <c r="AE138" s="6">
        <v>34300</v>
      </c>
      <c r="AF138" s="6">
        <v>23700</v>
      </c>
    </row>
    <row r="139" spans="1:32" s="4" customFormat="1" ht="12.75" x14ac:dyDescent="0.2">
      <c r="A139" s="7" t="s">
        <v>524</v>
      </c>
      <c r="B139" s="7" t="s">
        <v>525</v>
      </c>
      <c r="C139" s="7" t="s">
        <v>526</v>
      </c>
      <c r="D139" s="6">
        <v>-0.76006090641021706</v>
      </c>
      <c r="E139" s="6">
        <v>-1.0281831026077271</v>
      </c>
      <c r="F139" s="6">
        <v>0.13167834281921401</v>
      </c>
      <c r="G139" s="6">
        <v>1.041984558105469</v>
      </c>
      <c r="H139" s="6">
        <v>0.28314974904060403</v>
      </c>
      <c r="I139" s="6">
        <v>-1.1888488531112671</v>
      </c>
      <c r="J139" s="6">
        <v>2.6467266082763672</v>
      </c>
      <c r="K139" s="6">
        <v>-1.056333065032959</v>
      </c>
      <c r="L139" s="6">
        <v>2.248019933700562</v>
      </c>
      <c r="M139" s="6">
        <v>-0.99996918439865112</v>
      </c>
      <c r="N139" s="6">
        <v>1.355668528123626</v>
      </c>
      <c r="O139" s="6">
        <v>1.9285755598168501</v>
      </c>
      <c r="P139" s="6">
        <v>0.74181824391972506</v>
      </c>
      <c r="Q139" s="6">
        <v>0.68037405077016411</v>
      </c>
      <c r="R139" s="6">
        <v>7.661809287004762</v>
      </c>
      <c r="S139" s="6">
        <v>9.7571024025488224</v>
      </c>
      <c r="T139" s="6">
        <v>9.316859245300293</v>
      </c>
      <c r="U139" s="6" t="str">
        <f>_xll.BDP($A139,"TRAILING_12M_R&amp;D_%_SALES",$A$1,$A$2)</f>
        <v>#N/A N/A</v>
      </c>
      <c r="V139" s="6">
        <v>40</v>
      </c>
      <c r="W139" s="6">
        <v>401010</v>
      </c>
      <c r="X139" s="6">
        <v>40101015</v>
      </c>
      <c r="Y139" s="7" t="s">
        <v>43</v>
      </c>
      <c r="Z139" s="7" t="s">
        <v>67</v>
      </c>
      <c r="AA139" s="7" t="s">
        <v>527</v>
      </c>
      <c r="AB139" s="6">
        <v>51.886127471923828</v>
      </c>
      <c r="AC139" s="6">
        <v>1.521630104269815</v>
      </c>
      <c r="AD139" s="6">
        <v>-11.153541743646045</v>
      </c>
      <c r="AE139" s="6">
        <v>18889</v>
      </c>
      <c r="AF139" s="6">
        <v>17594</v>
      </c>
    </row>
    <row r="140" spans="1:32" s="4" customFormat="1" ht="12.75" x14ac:dyDescent="0.2">
      <c r="A140" s="7" t="s">
        <v>528</v>
      </c>
      <c r="B140" s="7" t="s">
        <v>529</v>
      </c>
      <c r="C140" s="7" t="s">
        <v>530</v>
      </c>
      <c r="D140" s="6">
        <v>-0.48490044474601701</v>
      </c>
      <c r="E140" s="6">
        <v>-0.34776425361633301</v>
      </c>
      <c r="F140" s="6">
        <v>1.5075564384460449</v>
      </c>
      <c r="G140" s="6">
        <v>-0.95325076580047607</v>
      </c>
      <c r="H140" s="6">
        <v>-0.28123122453689603</v>
      </c>
      <c r="I140" s="6">
        <v>0.144260674715042</v>
      </c>
      <c r="J140" s="6">
        <v>0.16409681737422901</v>
      </c>
      <c r="K140" s="6">
        <v>-0.62601739168167103</v>
      </c>
      <c r="L140" s="6">
        <v>0.30345672369003301</v>
      </c>
      <c r="M140" s="6">
        <v>-0.45576062798500105</v>
      </c>
      <c r="N140" s="6">
        <v>3.4481504043520008</v>
      </c>
      <c r="O140" s="6">
        <v>3.409900509772037</v>
      </c>
      <c r="P140" s="6">
        <v>3.4363917063319231</v>
      </c>
      <c r="Q140" s="6">
        <v>3.098721376590226</v>
      </c>
      <c r="R140" s="6">
        <v>17.856022292645612</v>
      </c>
      <c r="S140" s="6">
        <v>17.1003652355116</v>
      </c>
      <c r="T140" s="6">
        <v>-1.5233069658279419</v>
      </c>
      <c r="U140" s="6" t="str">
        <f>_xll.BDP($A140,"TRAILING_12M_R&amp;D_%_SALES",$A$1,$A$2)</f>
        <v>#N/A N/A</v>
      </c>
      <c r="V140" s="6">
        <v>25</v>
      </c>
      <c r="W140" s="6">
        <v>252030</v>
      </c>
      <c r="X140" s="6">
        <v>25203010</v>
      </c>
      <c r="Y140" s="7" t="s">
        <v>85</v>
      </c>
      <c r="Z140" s="7" t="s">
        <v>122</v>
      </c>
      <c r="AA140" s="7" t="s">
        <v>123</v>
      </c>
      <c r="AB140" s="6">
        <v>54.53173828125</v>
      </c>
      <c r="AC140" s="6">
        <v>0.75374054096792109</v>
      </c>
      <c r="AD140" s="6">
        <v>6.7329431881126167</v>
      </c>
      <c r="AE140" s="6">
        <v>33959</v>
      </c>
      <c r="AF140" s="6">
        <v>28740</v>
      </c>
    </row>
    <row r="141" spans="1:32" s="4" customFormat="1" ht="12.75" x14ac:dyDescent="0.2">
      <c r="A141" s="7" t="s">
        <v>531</v>
      </c>
      <c r="B141" s="7" t="s">
        <v>532</v>
      </c>
      <c r="C141" s="7" t="s">
        <v>533</v>
      </c>
      <c r="D141" s="6">
        <v>-0.48490044474601701</v>
      </c>
      <c r="E141" s="6">
        <v>-0.34776425361633301</v>
      </c>
      <c r="F141" s="6">
        <v>1.5075564384460449</v>
      </c>
      <c r="G141" s="6">
        <v>-0.95325076580047607</v>
      </c>
      <c r="H141" s="6">
        <v>-0.28123122453689603</v>
      </c>
      <c r="I141" s="6">
        <v>0.144260674715042</v>
      </c>
      <c r="J141" s="6">
        <v>0.16409681737422901</v>
      </c>
      <c r="K141" s="6">
        <v>-0.62601739168167103</v>
      </c>
      <c r="L141" s="6">
        <v>0.30345672369003301</v>
      </c>
      <c r="M141" s="6">
        <v>-0.45576062798500105</v>
      </c>
      <c r="N141" s="6">
        <v>3.4481504043520008</v>
      </c>
      <c r="O141" s="6">
        <v>3.4787498825631991</v>
      </c>
      <c r="P141" s="6">
        <v>3.4363917063319231</v>
      </c>
      <c r="Q141" s="6"/>
      <c r="R141" s="6">
        <v>17.856022292645612</v>
      </c>
      <c r="S141" s="6">
        <v>17.783094736710481</v>
      </c>
      <c r="T141" s="6">
        <v>-1.5233069658279419</v>
      </c>
      <c r="U141" s="6" t="str">
        <f>_xll.BDP($A141,"TRAILING_12M_R&amp;D_%_SALES",$A$1,$A$2)</f>
        <v>#N/A N/A</v>
      </c>
      <c r="V141" s="6">
        <v>25</v>
      </c>
      <c r="W141" s="6">
        <v>252030</v>
      </c>
      <c r="X141" s="6">
        <v>25203010</v>
      </c>
      <c r="Y141" s="7" t="s">
        <v>85</v>
      </c>
      <c r="Z141" s="7" t="s">
        <v>122</v>
      </c>
      <c r="AA141" s="7" t="s">
        <v>123</v>
      </c>
      <c r="AB141" s="6">
        <v>54.53173828125</v>
      </c>
      <c r="AC141" s="6">
        <v>1.0730061716853809</v>
      </c>
      <c r="AD141" s="6">
        <v>8.5024605882215063</v>
      </c>
      <c r="AE141" s="6">
        <v>33959</v>
      </c>
      <c r="AF141" s="6">
        <v>28740</v>
      </c>
    </row>
    <row r="142" spans="1:32" s="4" customFormat="1" ht="12.75" x14ac:dyDescent="0.2">
      <c r="A142" s="7" t="s">
        <v>534</v>
      </c>
      <c r="B142" s="7" t="s">
        <v>535</v>
      </c>
      <c r="C142" s="7" t="s">
        <v>536</v>
      </c>
      <c r="D142" s="6">
        <v>-0.87533640861511208</v>
      </c>
      <c r="E142" s="6">
        <v>-0.44727668166160606</v>
      </c>
      <c r="F142" s="6">
        <v>-0.13972501456737502</v>
      </c>
      <c r="G142" s="6">
        <v>-0.92751669883728005</v>
      </c>
      <c r="H142" s="6">
        <v>-5.6966733187437002E-2</v>
      </c>
      <c r="I142" s="6">
        <v>-0.564375340938568</v>
      </c>
      <c r="J142" s="6">
        <v>0.31388586759567305</v>
      </c>
      <c r="K142" s="6">
        <v>-0.26052394509315502</v>
      </c>
      <c r="L142" s="6">
        <v>0.172429755330086</v>
      </c>
      <c r="M142" s="6">
        <v>-0.547205209732056</v>
      </c>
      <c r="N142" s="6">
        <v>1.4193263239348162</v>
      </c>
      <c r="O142" s="6"/>
      <c r="P142" s="6">
        <v>3.2558504352128952</v>
      </c>
      <c r="Q142" s="6"/>
      <c r="R142" s="6">
        <v>19.107567894116048</v>
      </c>
      <c r="S142" s="6"/>
      <c r="T142" s="6">
        <v>17.778011322021484</v>
      </c>
      <c r="U142" s="6" t="str">
        <f>_xll.BDP($A142,"TRAILING_12M_R&amp;D_%_SALES",$A$1,$A$2)</f>
        <v>#N/A N/A</v>
      </c>
      <c r="V142" s="6">
        <v>45</v>
      </c>
      <c r="W142" s="6">
        <v>451020</v>
      </c>
      <c r="X142" s="6">
        <v>45102010</v>
      </c>
      <c r="Y142" s="7" t="s">
        <v>56</v>
      </c>
      <c r="Z142" s="7" t="s">
        <v>112</v>
      </c>
      <c r="AA142" s="7" t="s">
        <v>113</v>
      </c>
      <c r="AB142" s="6">
        <v>60.869129180908203</v>
      </c>
      <c r="AC142" s="6">
        <v>0.92013347431947512</v>
      </c>
      <c r="AD142" s="6">
        <v>27.107693063461124</v>
      </c>
      <c r="AE142" s="6">
        <v>359600</v>
      </c>
      <c r="AF142" s="6">
        <v>199698</v>
      </c>
    </row>
    <row r="143" spans="1:32" s="4" customFormat="1" ht="12.75" x14ac:dyDescent="0.2">
      <c r="A143" s="7" t="s">
        <v>537</v>
      </c>
      <c r="B143" s="7" t="s">
        <v>538</v>
      </c>
      <c r="C143" s="7" t="s">
        <v>539</v>
      </c>
      <c r="D143" s="6">
        <v>9.3521349132061005E-2</v>
      </c>
      <c r="E143" s="6">
        <v>-0.10521702468395201</v>
      </c>
      <c r="F143" s="6">
        <v>-0.392056435346603</v>
      </c>
      <c r="G143" s="6">
        <v>0.24333597719669303</v>
      </c>
      <c r="H143" s="6">
        <v>2.151103258132935</v>
      </c>
      <c r="I143" s="6">
        <v>3.5886321216822004E-2</v>
      </c>
      <c r="J143" s="6">
        <v>0.60616451501846302</v>
      </c>
      <c r="K143" s="6">
        <v>-0.94325268268585205</v>
      </c>
      <c r="L143" s="6">
        <v>-0.72281217575073209</v>
      </c>
      <c r="M143" s="6">
        <v>-0.86577099561691306</v>
      </c>
      <c r="N143" s="6">
        <v>1.0755068170410991</v>
      </c>
      <c r="O143" s="6">
        <v>1.2048018384383281</v>
      </c>
      <c r="P143" s="6">
        <v>5.1805422555083549</v>
      </c>
      <c r="Q143" s="6">
        <v>3.8319267658751723</v>
      </c>
      <c r="R143" s="6">
        <v>11.989342336448541</v>
      </c>
      <c r="S143" s="6">
        <v>10.501544000218503</v>
      </c>
      <c r="T143" s="6">
        <v>46.980537414550781</v>
      </c>
      <c r="U143" s="6">
        <f>_xll.BDP($A143,"TRAILING_12M_R&amp;D_%_SALES",$A$1,$A$2)</f>
        <v>0</v>
      </c>
      <c r="V143" s="6">
        <v>50</v>
      </c>
      <c r="W143" s="6">
        <v>502010</v>
      </c>
      <c r="X143" s="6">
        <v>50201030</v>
      </c>
      <c r="Y143" s="7" t="s">
        <v>311</v>
      </c>
      <c r="Z143" s="7" t="s">
        <v>540</v>
      </c>
      <c r="AA143" s="7" t="s">
        <v>541</v>
      </c>
      <c r="AB143" s="6">
        <v>38.718437194824219</v>
      </c>
      <c r="AC143" s="6">
        <v>1.145501696082166</v>
      </c>
      <c r="AD143" s="6">
        <v>14.675160758864303</v>
      </c>
      <c r="AE143" s="6">
        <v>101700</v>
      </c>
      <c r="AF143" s="6">
        <v>94800</v>
      </c>
    </row>
    <row r="144" spans="1:32" s="4" customFormat="1" ht="12.75" x14ac:dyDescent="0.2">
      <c r="A144" s="7" t="s">
        <v>542</v>
      </c>
      <c r="B144" s="7" t="s">
        <v>543</v>
      </c>
      <c r="C144" s="7" t="s">
        <v>544</v>
      </c>
      <c r="D144" s="6">
        <v>-0.16657409071922302</v>
      </c>
      <c r="E144" s="6">
        <v>-0.90362042188644409</v>
      </c>
      <c r="F144" s="6">
        <v>2.8386726379394531</v>
      </c>
      <c r="G144" s="6">
        <v>-5.7418912649155003E-2</v>
      </c>
      <c r="H144" s="6">
        <v>0.98160696029663108</v>
      </c>
      <c r="I144" s="6">
        <v>-1.96473217010498</v>
      </c>
      <c r="J144" s="6">
        <v>1.884913563728333</v>
      </c>
      <c r="K144" s="6">
        <v>-1.4242244958877559</v>
      </c>
      <c r="L144" s="6">
        <v>3.0000102519989009</v>
      </c>
      <c r="M144" s="6">
        <v>-0.8782794475555421</v>
      </c>
      <c r="N144" s="6">
        <v>0.16915247510396803</v>
      </c>
      <c r="O144" s="6">
        <v>0.27243228023487104</v>
      </c>
      <c r="P144" s="6">
        <v>0.30776883683503903</v>
      </c>
      <c r="Q144" s="6">
        <v>0.28872384715551003</v>
      </c>
      <c r="R144" s="6">
        <v>4.0196919459530056</v>
      </c>
      <c r="S144" s="6">
        <v>4.2176708037274562</v>
      </c>
      <c r="T144" s="6">
        <v>7.7685260772705078</v>
      </c>
      <c r="U144" s="6">
        <f>_xll.BDP($A144,"TRAILING_12M_R&amp;D_%_SALES",$A$1,$A$2)</f>
        <v>0</v>
      </c>
      <c r="V144" s="6">
        <v>60</v>
      </c>
      <c r="W144" s="6">
        <v>602010</v>
      </c>
      <c r="X144" s="6">
        <v>60201030</v>
      </c>
      <c r="Y144" s="7" t="s">
        <v>221</v>
      </c>
      <c r="Z144" s="7" t="s">
        <v>478</v>
      </c>
      <c r="AA144" s="7" t="s">
        <v>479</v>
      </c>
      <c r="AB144" s="6">
        <v>53.908058166503906</v>
      </c>
      <c r="AC144" s="6">
        <v>0.34534193992671003</v>
      </c>
      <c r="AD144" s="6"/>
      <c r="AE144" s="6">
        <v>131817</v>
      </c>
      <c r="AF144" s="6">
        <v>77708</v>
      </c>
    </row>
    <row r="145" spans="1:32" s="4" customFormat="1" ht="12.75" x14ac:dyDescent="0.2">
      <c r="A145" s="7" t="s">
        <v>545</v>
      </c>
      <c r="B145" s="7" t="s">
        <v>546</v>
      </c>
      <c r="C145" s="7" t="s">
        <v>547</v>
      </c>
      <c r="D145" s="6">
        <v>-0.16657409071922302</v>
      </c>
      <c r="E145" s="6">
        <v>-0.90362042188644409</v>
      </c>
      <c r="F145" s="6">
        <v>2.8386726379394531</v>
      </c>
      <c r="G145" s="6">
        <v>-5.7418912649155003E-2</v>
      </c>
      <c r="H145" s="6">
        <v>0.98160696029663108</v>
      </c>
      <c r="I145" s="6">
        <v>-1.96473217010498</v>
      </c>
      <c r="J145" s="6">
        <v>1.884913563728333</v>
      </c>
      <c r="K145" s="6">
        <v>-1.4242244958877559</v>
      </c>
      <c r="L145" s="6">
        <v>3.0000102519989009</v>
      </c>
      <c r="M145" s="6">
        <v>-0.8782794475555421</v>
      </c>
      <c r="N145" s="6">
        <v>0.16915247510396803</v>
      </c>
      <c r="O145" s="6"/>
      <c r="P145" s="6">
        <v>0.30776883683503903</v>
      </c>
      <c r="Q145" s="6"/>
      <c r="R145" s="6">
        <v>4.0196919459530056</v>
      </c>
      <c r="S145" s="6"/>
      <c r="T145" s="6">
        <v>7.7685260772705078</v>
      </c>
      <c r="U145" s="6">
        <f>_xll.BDP($A145,"TRAILING_12M_R&amp;D_%_SALES",$A$1,$A$2)</f>
        <v>0</v>
      </c>
      <c r="V145" s="6">
        <v>60</v>
      </c>
      <c r="W145" s="6">
        <v>602010</v>
      </c>
      <c r="X145" s="6">
        <v>60201030</v>
      </c>
      <c r="Y145" s="7" t="s">
        <v>221</v>
      </c>
      <c r="Z145" s="7" t="s">
        <v>478</v>
      </c>
      <c r="AA145" s="7" t="s">
        <v>479</v>
      </c>
      <c r="AB145" s="6">
        <v>53.908058166503906</v>
      </c>
      <c r="AC145" s="6">
        <v>-0.49366833621974904</v>
      </c>
      <c r="AD145" s="6">
        <v>-52.994785595218808</v>
      </c>
      <c r="AE145" s="6">
        <v>131817</v>
      </c>
      <c r="AF145" s="6">
        <v>77708</v>
      </c>
    </row>
    <row r="146" spans="1:32" s="4" customFormat="1" ht="12.75" x14ac:dyDescent="0.2">
      <c r="A146" s="7" t="s">
        <v>548</v>
      </c>
      <c r="B146" s="7" t="s">
        <v>549</v>
      </c>
      <c r="C146" s="7" t="s">
        <v>550</v>
      </c>
      <c r="D146" s="6">
        <v>0.41566202044487005</v>
      </c>
      <c r="E146" s="6">
        <v>-0.75039964914321911</v>
      </c>
      <c r="F146" s="6">
        <v>-0.54978609085083008</v>
      </c>
      <c r="G146" s="6">
        <v>-0.27642208337783802</v>
      </c>
      <c r="H146" s="6">
        <v>-3.2764069736004001E-2</v>
      </c>
      <c r="I146" s="6">
        <v>-0.46076351404190102</v>
      </c>
      <c r="J146" s="6">
        <v>0.80180609226226807</v>
      </c>
      <c r="K146" s="6">
        <v>0.20875865221023601</v>
      </c>
      <c r="L146" s="6">
        <v>5.9689462184906006E-2</v>
      </c>
      <c r="M146" s="6">
        <v>-0.288929343223572</v>
      </c>
      <c r="N146" s="6">
        <v>0.46871313465652104</v>
      </c>
      <c r="O146" s="6">
        <v>0.38300841669003705</v>
      </c>
      <c r="P146" s="6">
        <v>1.925272595010318</v>
      </c>
      <c r="Q146" s="6">
        <v>1.8446536947439451</v>
      </c>
      <c r="R146" s="6">
        <v>8.2145747911212368</v>
      </c>
      <c r="S146" s="6">
        <v>10.601876555481761</v>
      </c>
      <c r="T146" s="6">
        <v>11.691575050354004</v>
      </c>
      <c r="U146" s="6">
        <f>_xll.BDP($A146,"TRAILING_12M_R&amp;D_%_SALES",$A$1,$A$2)</f>
        <v>0</v>
      </c>
      <c r="V146" s="6">
        <v>35</v>
      </c>
      <c r="W146" s="6">
        <v>351020</v>
      </c>
      <c r="X146" s="6">
        <v>35102015</v>
      </c>
      <c r="Y146" s="7" t="s">
        <v>72</v>
      </c>
      <c r="Z146" s="7" t="s">
        <v>467</v>
      </c>
      <c r="AA146" s="7" t="s">
        <v>551</v>
      </c>
      <c r="AB146" s="6">
        <v>66.975151062011719</v>
      </c>
      <c r="AC146" s="6">
        <v>0.70921206544786908</v>
      </c>
      <c r="AD146" s="6">
        <v>-7.7937844015683488</v>
      </c>
      <c r="AE146" s="6">
        <v>71300</v>
      </c>
      <c r="AF146" s="6">
        <v>46000</v>
      </c>
    </row>
    <row r="147" spans="1:32" s="4" customFormat="1" ht="12.75" x14ac:dyDescent="0.2">
      <c r="A147" s="7" t="s">
        <v>552</v>
      </c>
      <c r="B147" s="7" t="s">
        <v>553</v>
      </c>
      <c r="C147" s="7" t="s">
        <v>554</v>
      </c>
      <c r="D147" s="6">
        <v>-0.63896089792251609</v>
      </c>
      <c r="E147" s="6">
        <v>0.57448810338973999</v>
      </c>
      <c r="F147" s="6">
        <v>0.36830875277519204</v>
      </c>
      <c r="G147" s="6">
        <v>0.31582605838775601</v>
      </c>
      <c r="H147" s="6">
        <v>-0.136605739593506</v>
      </c>
      <c r="I147" s="6">
        <v>0.24743445217609403</v>
      </c>
      <c r="J147" s="6">
        <v>3.0000147819519039</v>
      </c>
      <c r="K147" s="6">
        <v>0.260352343320847</v>
      </c>
      <c r="L147" s="6">
        <v>3.0000102519989009</v>
      </c>
      <c r="M147" s="6">
        <v>2.605563640594482</v>
      </c>
      <c r="N147" s="6">
        <v>0.55017873140320106</v>
      </c>
      <c r="O147" s="6">
        <v>0.78923485605891508</v>
      </c>
      <c r="P147" s="6">
        <v>0.567660447291925</v>
      </c>
      <c r="Q147" s="6">
        <v>0.54547539919820209</v>
      </c>
      <c r="R147" s="6">
        <v>3.343163162922528</v>
      </c>
      <c r="S147" s="6">
        <v>16.662817368239228</v>
      </c>
      <c r="T147" s="6">
        <v>16.194747924804688</v>
      </c>
      <c r="U147" s="6">
        <f>_xll.BDP($A147,"TRAILING_12M_R&amp;D_%_SALES",$A$1,$A$2)</f>
        <v>0.51631454303082891</v>
      </c>
      <c r="V147" s="6">
        <v>20</v>
      </c>
      <c r="W147" s="6">
        <v>203030</v>
      </c>
      <c r="X147" s="6">
        <v>20303010</v>
      </c>
      <c r="Y147" s="7" t="s">
        <v>38</v>
      </c>
      <c r="Z147" s="7" t="s">
        <v>202</v>
      </c>
      <c r="AA147" s="7" t="s">
        <v>202</v>
      </c>
      <c r="AB147" s="6">
        <v>61.653755187988281</v>
      </c>
      <c r="AC147" s="6">
        <v>0.45117088776705505</v>
      </c>
      <c r="AD147" s="6">
        <v>30.424929319414051</v>
      </c>
      <c r="AE147" s="6">
        <v>31510</v>
      </c>
      <c r="AF147" s="6">
        <v>21609</v>
      </c>
    </row>
    <row r="148" spans="1:32" s="4" customFormat="1" ht="12.75" x14ac:dyDescent="0.2">
      <c r="A148" s="7" t="s">
        <v>555</v>
      </c>
      <c r="B148" s="7" t="s">
        <v>556</v>
      </c>
      <c r="C148" s="7" t="s">
        <v>557</v>
      </c>
      <c r="D148" s="6">
        <v>-0.63896089792251609</v>
      </c>
      <c r="E148" s="6">
        <v>0.57448810338973999</v>
      </c>
      <c r="F148" s="6">
        <v>0.36830875277519204</v>
      </c>
      <c r="G148" s="6">
        <v>0.31582605838775601</v>
      </c>
      <c r="H148" s="6">
        <v>-0.136605739593506</v>
      </c>
      <c r="I148" s="6">
        <v>0.24743445217609403</v>
      </c>
      <c r="J148" s="6">
        <v>3.0000147819519039</v>
      </c>
      <c r="K148" s="6">
        <v>0.260352343320847</v>
      </c>
      <c r="L148" s="6">
        <v>3.0000102519989009</v>
      </c>
      <c r="M148" s="6">
        <v>2.605563640594482</v>
      </c>
      <c r="N148" s="6">
        <v>0.55017873140320106</v>
      </c>
      <c r="O148" s="6"/>
      <c r="P148" s="6">
        <v>0.567660447291925</v>
      </c>
      <c r="Q148" s="6"/>
      <c r="R148" s="6">
        <v>3.343163162922528</v>
      </c>
      <c r="S148" s="6"/>
      <c r="T148" s="6">
        <v>16.194747924804688</v>
      </c>
      <c r="U148" s="6">
        <f>_xll.BDP($A148,"TRAILING_12M_R&amp;D_%_SALES",$A$1,$A$2)</f>
        <v>0.51631454303082891</v>
      </c>
      <c r="V148" s="6">
        <v>20</v>
      </c>
      <c r="W148" s="6">
        <v>203030</v>
      </c>
      <c r="X148" s="6">
        <v>20303010</v>
      </c>
      <c r="Y148" s="7" t="s">
        <v>38</v>
      </c>
      <c r="Z148" s="7" t="s">
        <v>202</v>
      </c>
      <c r="AA148" s="7" t="s">
        <v>202</v>
      </c>
      <c r="AB148" s="6">
        <v>61.653755187988281</v>
      </c>
      <c r="AC148" s="6">
        <v>0.41183224489210501</v>
      </c>
      <c r="AD148" s="6">
        <v>29.138186895001784</v>
      </c>
      <c r="AE148" s="6">
        <v>31510</v>
      </c>
      <c r="AF148" s="6">
        <v>21609</v>
      </c>
    </row>
    <row r="149" spans="1:32" s="4" customFormat="1" ht="12.75" x14ac:dyDescent="0.2">
      <c r="A149" s="7" t="s">
        <v>558</v>
      </c>
      <c r="B149" s="7" t="s">
        <v>559</v>
      </c>
      <c r="C149" s="7" t="s">
        <v>560</v>
      </c>
      <c r="D149" s="6">
        <v>-0.89154654741287209</v>
      </c>
      <c r="E149" s="6">
        <v>-0.73567622900009211</v>
      </c>
      <c r="F149" s="6">
        <v>-0.34142678976059004</v>
      </c>
      <c r="G149" s="6">
        <v>-0.74604493379592907</v>
      </c>
      <c r="H149" s="6">
        <v>1.39998471736908</v>
      </c>
      <c r="I149" s="6">
        <v>2.3684795945883002E-2</v>
      </c>
      <c r="J149" s="6">
        <v>0.92445486783981312</v>
      </c>
      <c r="K149" s="6">
        <v>-1.513394832611084</v>
      </c>
      <c r="L149" s="6">
        <v>-0.34293910861015303</v>
      </c>
      <c r="M149" s="6">
        <v>-0.49747928977012607</v>
      </c>
      <c r="N149" s="6">
        <v>2.2268489729509762</v>
      </c>
      <c r="O149" s="6">
        <v>2.1799424126389049</v>
      </c>
      <c r="P149" s="6">
        <v>0.89091313828975005</v>
      </c>
      <c r="Q149" s="6">
        <v>0.82171605051181007</v>
      </c>
      <c r="R149" s="6">
        <v>11.105877755921739</v>
      </c>
      <c r="S149" s="6">
        <v>10.589924588845079</v>
      </c>
      <c r="T149" s="6">
        <v>8.3546953201293945</v>
      </c>
      <c r="U149" s="6" t="str">
        <f>_xll.BDP($A149,"TRAILING_12M_R&amp;D_%_SALES",$A$1,$A$2)</f>
        <v>#N/A N/A</v>
      </c>
      <c r="V149" s="6">
        <v>20</v>
      </c>
      <c r="W149" s="6">
        <v>203040</v>
      </c>
      <c r="X149" s="6">
        <v>20304010</v>
      </c>
      <c r="Y149" s="7" t="s">
        <v>38</v>
      </c>
      <c r="Z149" s="7" t="s">
        <v>561</v>
      </c>
      <c r="AA149" s="7" t="s">
        <v>562</v>
      </c>
      <c r="AB149" s="6">
        <v>35.177547454833984</v>
      </c>
      <c r="AC149" s="6">
        <v>0.40660721793592602</v>
      </c>
      <c r="AD149" s="6">
        <v>4.0695296827041982</v>
      </c>
      <c r="AE149" s="6">
        <v>29854</v>
      </c>
      <c r="AF149" s="6">
        <v>28867</v>
      </c>
    </row>
    <row r="150" spans="1:32" s="4" customFormat="1" ht="12.75" x14ac:dyDescent="0.2">
      <c r="A150" s="7" t="s">
        <v>563</v>
      </c>
      <c r="B150" s="7" t="s">
        <v>564</v>
      </c>
      <c r="C150" s="7" t="s">
        <v>565</v>
      </c>
      <c r="D150" s="6">
        <v>-0.89154654741287209</v>
      </c>
      <c r="E150" s="6">
        <v>-0.73567622900009211</v>
      </c>
      <c r="F150" s="6">
        <v>-0.34142678976059004</v>
      </c>
      <c r="G150" s="6">
        <v>-0.74604493379592907</v>
      </c>
      <c r="H150" s="6">
        <v>1.39998471736908</v>
      </c>
      <c r="I150" s="6">
        <v>2.3684795945883002E-2</v>
      </c>
      <c r="J150" s="6">
        <v>0.92445486783981312</v>
      </c>
      <c r="K150" s="6">
        <v>-1.513394832611084</v>
      </c>
      <c r="L150" s="6">
        <v>-0.34293910861015303</v>
      </c>
      <c r="M150" s="6">
        <v>-0.49747928977012607</v>
      </c>
      <c r="N150" s="6">
        <v>2.2268489729509762</v>
      </c>
      <c r="O150" s="6"/>
      <c r="P150" s="6">
        <v>0.89091313828975005</v>
      </c>
      <c r="Q150" s="6"/>
      <c r="R150" s="6">
        <v>11.105877755921739</v>
      </c>
      <c r="S150" s="6"/>
      <c r="T150" s="6">
        <v>8.3546953201293945</v>
      </c>
      <c r="U150" s="6" t="str">
        <f>_xll.BDP($A150,"TRAILING_12M_R&amp;D_%_SALES",$A$1,$A$2)</f>
        <v>#N/A N/A</v>
      </c>
      <c r="V150" s="6">
        <v>20</v>
      </c>
      <c r="W150" s="6">
        <v>203040</v>
      </c>
      <c r="X150" s="6">
        <v>20304010</v>
      </c>
      <c r="Y150" s="7" t="s">
        <v>38</v>
      </c>
      <c r="Z150" s="7" t="s">
        <v>561</v>
      </c>
      <c r="AA150" s="7" t="s">
        <v>562</v>
      </c>
      <c r="AB150" s="6">
        <v>35.177547454833984</v>
      </c>
      <c r="AC150" s="6">
        <v>0.54041882154011001</v>
      </c>
      <c r="AD150" s="6">
        <v>4.7814237083213529</v>
      </c>
      <c r="AE150" s="6">
        <v>29854</v>
      </c>
      <c r="AF150" s="6">
        <v>28867</v>
      </c>
    </row>
    <row r="151" spans="1:32" s="4" customFormat="1" ht="12.75" x14ac:dyDescent="0.2">
      <c r="A151" s="7" t="s">
        <v>566</v>
      </c>
      <c r="B151" s="7" t="s">
        <v>567</v>
      </c>
      <c r="C151" s="7" t="s">
        <v>568</v>
      </c>
      <c r="D151" s="6">
        <v>-0.84891760349273704</v>
      </c>
      <c r="E151" s="6">
        <v>-0.20061261951923401</v>
      </c>
      <c r="F151" s="6">
        <v>-0.99861139059066806</v>
      </c>
      <c r="G151" s="6">
        <v>-0.289878219366074</v>
      </c>
      <c r="H151" s="6">
        <v>1.270444393157959</v>
      </c>
      <c r="I151" s="6">
        <v>-0.63104921579361006</v>
      </c>
      <c r="J151" s="6">
        <v>-0.26421394944191001</v>
      </c>
      <c r="K151" s="6">
        <v>-0.82667249441146906</v>
      </c>
      <c r="L151" s="6">
        <v>0.51094454526901201</v>
      </c>
      <c r="M151" s="6">
        <v>-0.50902163982391402</v>
      </c>
      <c r="N151" s="6">
        <v>3.456021744879727</v>
      </c>
      <c r="O151" s="6">
        <v>3.2827976153037199</v>
      </c>
      <c r="P151" s="6"/>
      <c r="Q151" s="6">
        <v>91.445467790050785</v>
      </c>
      <c r="R151" s="6">
        <v>26.242329087777016</v>
      </c>
      <c r="S151" s="6">
        <v>23.052029794824449</v>
      </c>
      <c r="T151" s="6"/>
      <c r="U151" s="6" t="str">
        <f>_xll.BDP($A151,"TRAILING_12M_R&amp;D_%_SALES",$A$1,$A$2)</f>
        <v>#N/A N/A</v>
      </c>
      <c r="V151" s="6">
        <v>30</v>
      </c>
      <c r="W151" s="6">
        <v>303010</v>
      </c>
      <c r="X151" s="6">
        <v>30301010</v>
      </c>
      <c r="Y151" s="7" t="s">
        <v>106</v>
      </c>
      <c r="Z151" s="7" t="s">
        <v>569</v>
      </c>
      <c r="AA151" s="7" t="s">
        <v>569</v>
      </c>
      <c r="AB151" s="6">
        <v>73.553970336914063</v>
      </c>
      <c r="AC151" s="6">
        <v>0.5275481834305551</v>
      </c>
      <c r="AD151" s="6">
        <v>2.993518192475531</v>
      </c>
      <c r="AE151" s="6">
        <v>33800</v>
      </c>
      <c r="AF151" s="6">
        <v>35900</v>
      </c>
    </row>
    <row r="152" spans="1:32" s="4" customFormat="1" ht="12.75" x14ac:dyDescent="0.2">
      <c r="A152" s="7" t="s">
        <v>570</v>
      </c>
      <c r="B152" s="7" t="s">
        <v>571</v>
      </c>
      <c r="C152" s="7" t="s">
        <v>572</v>
      </c>
      <c r="D152" s="6">
        <v>0.19203838706016502</v>
      </c>
      <c r="E152" s="6">
        <v>-1.056071877479553</v>
      </c>
      <c r="F152" s="6">
        <v>-0.86821568012237504</v>
      </c>
      <c r="G152" s="6">
        <v>-0.31196135282516502</v>
      </c>
      <c r="H152" s="6">
        <v>-0.95712894201278709</v>
      </c>
      <c r="I152" s="6">
        <v>-0.72937470674514804</v>
      </c>
      <c r="J152" s="6">
        <v>1.8471560478210449</v>
      </c>
      <c r="K152" s="6">
        <v>-0.84792089462280307</v>
      </c>
      <c r="L152" s="6">
        <v>2.374658346176147</v>
      </c>
      <c r="M152" s="6">
        <v>-0.98361408710479703</v>
      </c>
      <c r="N152" s="6">
        <v>1.0521227021017001</v>
      </c>
      <c r="O152" s="6">
        <v>2.4342881991973422</v>
      </c>
      <c r="P152" s="6">
        <v>1.235527678142559</v>
      </c>
      <c r="Q152" s="6">
        <v>1.1495132365229641</v>
      </c>
      <c r="R152" s="6">
        <v>10.653799453545743</v>
      </c>
      <c r="S152" s="6">
        <v>9.5868283989820853</v>
      </c>
      <c r="T152" s="6">
        <v>10.142101287841797</v>
      </c>
      <c r="U152" s="6" t="str">
        <f>_xll.BDP($A152,"TRAILING_12M_R&amp;D_%_SALES",$A$1,$A$2)</f>
        <v>#N/A N/A</v>
      </c>
      <c r="V152" s="6">
        <v>40</v>
      </c>
      <c r="W152" s="6">
        <v>401010</v>
      </c>
      <c r="X152" s="6">
        <v>40101010</v>
      </c>
      <c r="Y152" s="7" t="s">
        <v>43</v>
      </c>
      <c r="Z152" s="7" t="s">
        <v>67</v>
      </c>
      <c r="AA152" s="7" t="s">
        <v>68</v>
      </c>
      <c r="AB152" s="6">
        <v>68.574592590332031</v>
      </c>
      <c r="AC152" s="6">
        <v>1.03321087918763</v>
      </c>
      <c r="AD152" s="6">
        <v>26.098595346359122</v>
      </c>
      <c r="AE152" s="6">
        <v>48074</v>
      </c>
      <c r="AF152" s="6">
        <v>44220</v>
      </c>
    </row>
    <row r="153" spans="1:32" s="4" customFormat="1" ht="12.75" x14ac:dyDescent="0.2">
      <c r="A153" s="7" t="s">
        <v>573</v>
      </c>
      <c r="B153" s="7" t="s">
        <v>574</v>
      </c>
      <c r="C153" s="7" t="s">
        <v>575</v>
      </c>
      <c r="D153" s="6">
        <v>0.72845005989074707</v>
      </c>
      <c r="E153" s="6">
        <v>-0.84406173229217507</v>
      </c>
      <c r="F153" s="6">
        <v>-0.24856257438659701</v>
      </c>
      <c r="G153" s="6">
        <v>-0.39592865109443703</v>
      </c>
      <c r="H153" s="6">
        <v>0.6676527857780461</v>
      </c>
      <c r="I153" s="6">
        <v>0.44576326012611406</v>
      </c>
      <c r="J153" s="6">
        <v>0.57983827590942405</v>
      </c>
      <c r="K153" s="6">
        <v>-1.071991086006165</v>
      </c>
      <c r="L153" s="6">
        <v>0.48710381984710704</v>
      </c>
      <c r="M153" s="6">
        <v>-0.95781141519546509</v>
      </c>
      <c r="N153" s="6">
        <v>1.5208474675696131</v>
      </c>
      <c r="O153" s="6">
        <v>1.4293445869097829</v>
      </c>
      <c r="P153" s="6">
        <v>2.1538942951663538</v>
      </c>
      <c r="Q153" s="6">
        <v>1.99447810453499</v>
      </c>
      <c r="R153" s="6">
        <v>12.309493774190971</v>
      </c>
      <c r="S153" s="6">
        <v>10.236549267452009</v>
      </c>
      <c r="T153" s="6">
        <v>18.600425720214844</v>
      </c>
      <c r="U153" s="6" t="str">
        <f>_xll.BDP($A153,"TRAILING_12M_R&amp;D_%_SALES",$A$1,$A$2)</f>
        <v>#N/A N/A</v>
      </c>
      <c r="V153" s="6">
        <v>50</v>
      </c>
      <c r="W153" s="6">
        <v>502010</v>
      </c>
      <c r="X153" s="6">
        <v>50201030</v>
      </c>
      <c r="Y153" s="7" t="s">
        <v>311</v>
      </c>
      <c r="Z153" s="7" t="s">
        <v>540</v>
      </c>
      <c r="AA153" s="7" t="s">
        <v>541</v>
      </c>
      <c r="AB153" s="6">
        <v>56.553665161132813</v>
      </c>
      <c r="AC153" s="6">
        <v>1.0006479302304041</v>
      </c>
      <c r="AD153" s="6">
        <v>28.760301280095369</v>
      </c>
      <c r="AE153" s="6">
        <v>186000</v>
      </c>
      <c r="AF153" s="6">
        <v>164000</v>
      </c>
    </row>
    <row r="154" spans="1:32" s="4" customFormat="1" ht="12.75" x14ac:dyDescent="0.2">
      <c r="A154" s="7" t="s">
        <v>576</v>
      </c>
      <c r="B154" s="7" t="s">
        <v>577</v>
      </c>
      <c r="C154" s="7" t="s">
        <v>578</v>
      </c>
      <c r="D154" s="6">
        <v>-0.43308740854263306</v>
      </c>
      <c r="E154" s="6">
        <v>0.37000453472137501</v>
      </c>
      <c r="F154" s="6">
        <v>-0.88265281915664706</v>
      </c>
      <c r="G154" s="6">
        <v>-0.48741221427917503</v>
      </c>
      <c r="H154" s="6">
        <v>-1.067649841308594</v>
      </c>
      <c r="I154" s="6">
        <v>-0.21289613842964203</v>
      </c>
      <c r="J154" s="6">
        <v>-0.18657940626144401</v>
      </c>
      <c r="K154" s="6">
        <v>-0.64406740665435802</v>
      </c>
      <c r="L154" s="6">
        <v>0.25877839326858504</v>
      </c>
      <c r="M154" s="6">
        <v>-1.0902833938598631</v>
      </c>
      <c r="N154" s="6">
        <v>14.136584637324258</v>
      </c>
      <c r="O154" s="6">
        <v>13.180549162726008</v>
      </c>
      <c r="P154" s="6">
        <v>2.6870659848549971</v>
      </c>
      <c r="Q154" s="6">
        <v>2.6813065468480342</v>
      </c>
      <c r="R154" s="6">
        <v>25.553542588463895</v>
      </c>
      <c r="S154" s="6">
        <v>22.404256877666104</v>
      </c>
      <c r="T154" s="6">
        <v>10.677559852600098</v>
      </c>
      <c r="U154" s="6" t="str">
        <f>_xll.BDP($A154,"TRAILING_12M_R&amp;D_%_SALES",$A$1,$A$2)</f>
        <v>#N/A N/A</v>
      </c>
      <c r="V154" s="6">
        <v>40</v>
      </c>
      <c r="W154" s="6">
        <v>402030</v>
      </c>
      <c r="X154" s="6">
        <v>40203040</v>
      </c>
      <c r="Y154" s="7" t="s">
        <v>43</v>
      </c>
      <c r="Z154" s="7" t="s">
        <v>212</v>
      </c>
      <c r="AA154" s="7" t="s">
        <v>579</v>
      </c>
      <c r="AB154" s="6">
        <v>40.498943328857422</v>
      </c>
      <c r="AC154" s="6">
        <v>0.54663829045230905</v>
      </c>
      <c r="AD154" s="6">
        <v>30.524285224008231</v>
      </c>
      <c r="AE154" s="6">
        <v>3460</v>
      </c>
      <c r="AF154" s="6">
        <v>2830</v>
      </c>
    </row>
    <row r="155" spans="1:32" s="4" customFormat="1" ht="12.75" x14ac:dyDescent="0.2">
      <c r="A155" s="7" t="s">
        <v>580</v>
      </c>
      <c r="B155" s="7" t="s">
        <v>581</v>
      </c>
      <c r="C155" s="7" t="s">
        <v>582</v>
      </c>
      <c r="D155" s="6">
        <v>-0.73826915025711104</v>
      </c>
      <c r="E155" s="6">
        <v>-0.39163851737976102</v>
      </c>
      <c r="F155" s="6">
        <v>-0.35523137450218201</v>
      </c>
      <c r="G155" s="6">
        <v>-4.1256323456764006E-2</v>
      </c>
      <c r="H155" s="6">
        <v>-0.24133142828941301</v>
      </c>
      <c r="I155" s="6">
        <v>-0.17447675764560702</v>
      </c>
      <c r="J155" s="6">
        <v>0.48220038414001504</v>
      </c>
      <c r="K155" s="6">
        <v>-0.54987472295761108</v>
      </c>
      <c r="L155" s="6">
        <v>0.61553692817687999</v>
      </c>
      <c r="M155" s="6">
        <v>-0.251667469739914</v>
      </c>
      <c r="N155" s="6">
        <v>1.018819692708</v>
      </c>
      <c r="O155" s="6">
        <v>1.021573413676002</v>
      </c>
      <c r="P155" s="6">
        <v>3.1851258574736478</v>
      </c>
      <c r="Q155" s="6">
        <v>2.9355471821161983</v>
      </c>
      <c r="R155" s="6">
        <v>11.985982060344741</v>
      </c>
      <c r="S155" s="6">
        <v>12.211620007686484</v>
      </c>
      <c r="T155" s="6">
        <v>29.383338928222656</v>
      </c>
      <c r="U155" s="6">
        <f>_xll.BDP($A155,"TRAILING_12M_R&amp;D_%_SALES",$A$1,$A$2)</f>
        <v>4.2900709635798489</v>
      </c>
      <c r="V155" s="6">
        <v>20</v>
      </c>
      <c r="W155" s="6">
        <v>201060</v>
      </c>
      <c r="X155" s="6">
        <v>20106010</v>
      </c>
      <c r="Y155" s="7" t="s">
        <v>38</v>
      </c>
      <c r="Z155" s="7" t="s">
        <v>493</v>
      </c>
      <c r="AA155" s="7" t="s">
        <v>494</v>
      </c>
      <c r="AB155" s="6">
        <v>67.598831176757813</v>
      </c>
      <c r="AC155" s="6">
        <v>0.99329626128667703</v>
      </c>
      <c r="AD155" s="6">
        <v>1.95287940912181</v>
      </c>
      <c r="AE155" s="6">
        <v>73600</v>
      </c>
      <c r="AF155" s="6">
        <v>58600</v>
      </c>
    </row>
    <row r="156" spans="1:32" s="4" customFormat="1" ht="12.75" x14ac:dyDescent="0.2">
      <c r="A156" s="7" t="s">
        <v>583</v>
      </c>
      <c r="B156" s="7" t="s">
        <v>584</v>
      </c>
      <c r="C156" s="7" t="s">
        <v>585</v>
      </c>
      <c r="D156" s="6">
        <v>-0.49784904718399003</v>
      </c>
      <c r="E156" s="6">
        <v>-1.1605087518692021</v>
      </c>
      <c r="F156" s="6">
        <v>-1.0503842830657959</v>
      </c>
      <c r="G156" s="6">
        <v>-0.65662354230880704</v>
      </c>
      <c r="H156" s="6">
        <v>1.3334923982620239</v>
      </c>
      <c r="I156" s="6">
        <v>0.78329968452453602</v>
      </c>
      <c r="J156" s="6">
        <v>2.0195403099060059</v>
      </c>
      <c r="K156" s="6">
        <v>-1.1329822540283201</v>
      </c>
      <c r="L156" s="6">
        <v>1.122004389762878</v>
      </c>
      <c r="M156" s="6">
        <v>-0.90026140213012706</v>
      </c>
      <c r="N156" s="6">
        <v>1.143666575864887</v>
      </c>
      <c r="O156" s="6">
        <v>2.405929336508148</v>
      </c>
      <c r="P156" s="6">
        <v>0.66730516691515507</v>
      </c>
      <c r="Q156" s="6">
        <v>0.62564863138790805</v>
      </c>
      <c r="R156" s="6">
        <v>15.100572775094195</v>
      </c>
      <c r="S156" s="6">
        <v>10.203656563055899</v>
      </c>
      <c r="T156" s="6">
        <v>4.6234908103942871</v>
      </c>
      <c r="U156" s="6" t="str">
        <f>_xll.BDP($A156,"TRAILING_12M_R&amp;D_%_SALES",$A$1,$A$2)</f>
        <v>#N/A N/A</v>
      </c>
      <c r="V156" s="6">
        <v>40</v>
      </c>
      <c r="W156" s="6">
        <v>401010</v>
      </c>
      <c r="X156" s="6">
        <v>40101010</v>
      </c>
      <c r="Y156" s="7" t="s">
        <v>43</v>
      </c>
      <c r="Z156" s="7" t="s">
        <v>67</v>
      </c>
      <c r="AA156" s="7" t="s">
        <v>68</v>
      </c>
      <c r="AB156" s="6">
        <v>49.974853515625</v>
      </c>
      <c r="AC156" s="6">
        <v>0.41237568908521904</v>
      </c>
      <c r="AD156" s="6">
        <v>11.226477302700388</v>
      </c>
      <c r="AE156" s="6">
        <v>22465</v>
      </c>
      <c r="AF156" s="6">
        <v>22351</v>
      </c>
    </row>
    <row r="157" spans="1:32" s="4" customFormat="1" ht="12.75" x14ac:dyDescent="0.2">
      <c r="A157" s="7" t="s">
        <v>586</v>
      </c>
      <c r="B157" s="7" t="s">
        <v>587</v>
      </c>
      <c r="C157" s="7" t="s">
        <v>588</v>
      </c>
      <c r="D157" s="6">
        <v>-0.61061382293701205</v>
      </c>
      <c r="E157" s="6">
        <v>-0.542008817195892</v>
      </c>
      <c r="F157" s="6">
        <v>-0.86577391624450706</v>
      </c>
      <c r="G157" s="6">
        <v>-0.99807012081146207</v>
      </c>
      <c r="H157" s="6">
        <v>-5.3851781412960001E-3</v>
      </c>
      <c r="I157" s="6">
        <v>-0.83459240198135409</v>
      </c>
      <c r="J157" s="6">
        <v>-0.30433133244514504</v>
      </c>
      <c r="K157" s="6">
        <v>0.24678656458854703</v>
      </c>
      <c r="L157" s="6">
        <v>-6.2135949730873004E-2</v>
      </c>
      <c r="M157" s="6">
        <v>-0.43945533037185702</v>
      </c>
      <c r="N157" s="6">
        <v>7.0975047796325121</v>
      </c>
      <c r="O157" s="6">
        <v>6.1316160009235929</v>
      </c>
      <c r="P157" s="6">
        <v>5.9868440255155777</v>
      </c>
      <c r="Q157" s="6">
        <v>5.0793949737496762</v>
      </c>
      <c r="R157" s="6">
        <v>43.027627380389262</v>
      </c>
      <c r="S157" s="6">
        <v>29.346303038482493</v>
      </c>
      <c r="T157" s="6">
        <v>14.451800346374512</v>
      </c>
      <c r="U157" s="6">
        <f>_xll.BDP($A157,"TRAILING_12M_R&amp;D_%_SALES",$A$1,$A$2)</f>
        <v>9.2317793827971109</v>
      </c>
      <c r="V157" s="6">
        <v>35</v>
      </c>
      <c r="W157" s="6">
        <v>352010</v>
      </c>
      <c r="X157" s="6">
        <v>35201010</v>
      </c>
      <c r="Y157" s="7" t="s">
        <v>72</v>
      </c>
      <c r="Z157" s="7" t="s">
        <v>73</v>
      </c>
      <c r="AA157" s="7" t="s">
        <v>73</v>
      </c>
      <c r="AB157" s="6">
        <v>58.384468078613281</v>
      </c>
      <c r="AC157" s="6">
        <v>0.66762890860729107</v>
      </c>
      <c r="AD157" s="6">
        <v>1.286248940040813</v>
      </c>
      <c r="AE157" s="6">
        <v>32000</v>
      </c>
      <c r="AF157" s="6">
        <v>22000</v>
      </c>
    </row>
    <row r="158" spans="1:32" s="4" customFormat="1" ht="12.75" x14ac:dyDescent="0.2">
      <c r="A158" s="7" t="s">
        <v>589</v>
      </c>
      <c r="B158" s="7" t="s">
        <v>590</v>
      </c>
      <c r="C158" s="7" t="s">
        <v>591</v>
      </c>
      <c r="D158" s="6">
        <v>-7.7023193240166002E-2</v>
      </c>
      <c r="E158" s="6">
        <v>-0.77376979589462302</v>
      </c>
      <c r="F158" s="6">
        <v>3.3647872507572001E-2</v>
      </c>
      <c r="G158" s="6">
        <v>-0.140813663601875</v>
      </c>
      <c r="H158" s="6">
        <v>0.39181196689605702</v>
      </c>
      <c r="I158" s="6">
        <v>-1.1984696388244629</v>
      </c>
      <c r="J158" s="6">
        <v>0.94997298717498813</v>
      </c>
      <c r="K158" s="6">
        <v>0.53003102540969804</v>
      </c>
      <c r="L158" s="6">
        <v>-0.72281217575073209</v>
      </c>
      <c r="M158" s="6">
        <v>0.52274227142334007</v>
      </c>
      <c r="N158" s="6">
        <v>0.27169553171552102</v>
      </c>
      <c r="O158" s="6">
        <v>0.27553054502004604</v>
      </c>
      <c r="P158" s="6">
        <v>1.5683877457515871</v>
      </c>
      <c r="Q158" s="6">
        <v>1.544883007928068</v>
      </c>
      <c r="R158" s="6">
        <v>11.227450431723156</v>
      </c>
      <c r="S158" s="6">
        <v>10.900971423532241</v>
      </c>
      <c r="T158" s="6">
        <v>9.6461629867553711</v>
      </c>
      <c r="U158" s="6" t="str">
        <f>_xll.BDP($A158,"TRAILING_12M_R&amp;D_%_SALES",$A$1,$A$2)</f>
        <v>#N/A N/A</v>
      </c>
      <c r="V158" s="6">
        <v>35</v>
      </c>
      <c r="W158" s="6">
        <v>351020</v>
      </c>
      <c r="X158" s="6">
        <v>35102030</v>
      </c>
      <c r="Y158" s="7" t="s">
        <v>72</v>
      </c>
      <c r="Z158" s="7" t="s">
        <v>467</v>
      </c>
      <c r="AA158" s="7" t="s">
        <v>592</v>
      </c>
      <c r="AB158" s="6">
        <v>49.371292114257813</v>
      </c>
      <c r="AC158" s="6">
        <v>0.65125137529828103</v>
      </c>
      <c r="AD158" s="6">
        <v>-9.1899192658453703</v>
      </c>
      <c r="AE158" s="6">
        <v>74300</v>
      </c>
      <c r="AF158" s="6">
        <v>33700</v>
      </c>
    </row>
    <row r="159" spans="1:32" s="4" customFormat="1" ht="12.75" x14ac:dyDescent="0.2">
      <c r="A159" s="7" t="s">
        <v>593</v>
      </c>
      <c r="B159" s="7" t="s">
        <v>594</v>
      </c>
      <c r="C159" s="7" t="s">
        <v>595</v>
      </c>
      <c r="D159" s="6">
        <v>-0.99510705471038807</v>
      </c>
      <c r="E159" s="6">
        <v>-0.55904275178909302</v>
      </c>
      <c r="F159" s="6">
        <v>1.300718307495117</v>
      </c>
      <c r="G159" s="6">
        <v>-0.61697369813919101</v>
      </c>
      <c r="H159" s="6">
        <v>1.8818109035491941</v>
      </c>
      <c r="I159" s="6">
        <v>-0.19282196462154402</v>
      </c>
      <c r="J159" s="6">
        <v>0.91882395744323708</v>
      </c>
      <c r="K159" s="6">
        <v>-1.4323223829269409</v>
      </c>
      <c r="L159" s="6">
        <v>0.82846766710281405</v>
      </c>
      <c r="M159" s="6">
        <v>-0.37136575579643205</v>
      </c>
      <c r="N159" s="6">
        <v>0.65678880505932302</v>
      </c>
      <c r="O159" s="6">
        <v>0.75739112348254811</v>
      </c>
      <c r="P159" s="6">
        <v>2.029466673033419</v>
      </c>
      <c r="Q159" s="6">
        <v>1.859541977175007</v>
      </c>
      <c r="R159" s="6">
        <v>7.4642690981813864</v>
      </c>
      <c r="S159" s="6">
        <v>7.8633917454635514</v>
      </c>
      <c r="T159" s="6">
        <v>32.735893249511719</v>
      </c>
      <c r="U159" s="6">
        <f>_xll.BDP($A159,"TRAILING_12M_R&amp;D_%_SALES",$A$1,$A$2)</f>
        <v>5.8076225045372052</v>
      </c>
      <c r="V159" s="6">
        <v>20</v>
      </c>
      <c r="W159" s="6">
        <v>201060</v>
      </c>
      <c r="X159" s="6">
        <v>20106015</v>
      </c>
      <c r="Y159" s="7" t="s">
        <v>38</v>
      </c>
      <c r="Z159" s="7" t="s">
        <v>493</v>
      </c>
      <c r="AA159" s="7" t="s">
        <v>596</v>
      </c>
      <c r="AB159" s="6">
        <v>78.050498962402344</v>
      </c>
      <c r="AC159" s="6">
        <v>1.079547684813541</v>
      </c>
      <c r="AD159" s="6">
        <v>-22.747383187655124</v>
      </c>
      <c r="AE159" s="6">
        <v>40070</v>
      </c>
      <c r="AF159" s="6">
        <v>63356</v>
      </c>
    </row>
    <row r="160" spans="1:32" s="4" customFormat="1" ht="12.75" x14ac:dyDescent="0.2">
      <c r="A160" s="7" t="s">
        <v>597</v>
      </c>
      <c r="B160" s="7" t="s">
        <v>598</v>
      </c>
      <c r="C160" s="7" t="s">
        <v>599</v>
      </c>
      <c r="D160" s="6">
        <v>-0.62883806228637706</v>
      </c>
      <c r="E160" s="6">
        <v>-0.11571653932333001</v>
      </c>
      <c r="F160" s="6">
        <v>-0.48321670293808006</v>
      </c>
      <c r="G160" s="6">
        <v>-0.82647967338562012</v>
      </c>
      <c r="H160" s="6">
        <v>0.13649512827396401</v>
      </c>
      <c r="I160" s="6">
        <v>-0.55387943983078003</v>
      </c>
      <c r="J160" s="6">
        <v>6.0078848153353008E-2</v>
      </c>
      <c r="K160" s="6">
        <v>-0.74739086627960205</v>
      </c>
      <c r="L160" s="6">
        <v>0.25672003626823403</v>
      </c>
      <c r="M160" s="6">
        <v>-0.83675843477249101</v>
      </c>
      <c r="N160" s="6">
        <v>6.5547092158456266</v>
      </c>
      <c r="O160" s="6">
        <v>6.1028022511339666</v>
      </c>
      <c r="P160" s="6">
        <v>5.4190672978970129</v>
      </c>
      <c r="Q160" s="6">
        <v>5.7471262757912411</v>
      </c>
      <c r="R160" s="6">
        <v>22.598372176933566</v>
      </c>
      <c r="S160" s="6">
        <v>20.69467315050224</v>
      </c>
      <c r="T160" s="6">
        <v>23.420934677124023</v>
      </c>
      <c r="U160" s="6" t="str">
        <f>_xll.BDP($A160,"TRAILING_12M_R&amp;D_%_SALES",$A$1,$A$2)</f>
        <v>#N/A N/A</v>
      </c>
      <c r="V160" s="6">
        <v>20</v>
      </c>
      <c r="W160" s="6">
        <v>203040</v>
      </c>
      <c r="X160" s="6">
        <v>20304010</v>
      </c>
      <c r="Y160" s="7" t="s">
        <v>38</v>
      </c>
      <c r="Z160" s="7" t="s">
        <v>561</v>
      </c>
      <c r="AA160" s="7" t="s">
        <v>562</v>
      </c>
      <c r="AB160" s="6">
        <v>73.986518859863281</v>
      </c>
      <c r="AC160" s="6">
        <v>0.89845763750336405</v>
      </c>
      <c r="AD160" s="6">
        <v>6.460489480039544</v>
      </c>
      <c r="AE160" s="6">
        <v>23971</v>
      </c>
      <c r="AF160" s="6">
        <v>23945</v>
      </c>
    </row>
    <row r="161" spans="1:32" s="4" customFormat="1" ht="12.75" x14ac:dyDescent="0.2">
      <c r="A161" s="7" t="s">
        <v>600</v>
      </c>
      <c r="B161" s="7" t="s">
        <v>601</v>
      </c>
      <c r="C161" s="7" t="s">
        <v>602</v>
      </c>
      <c r="D161" s="6">
        <v>-0.37147974967956504</v>
      </c>
      <c r="E161" s="6">
        <v>-0.23190905153751401</v>
      </c>
      <c r="F161" s="6">
        <v>0.41064506769180303</v>
      </c>
      <c r="G161" s="6">
        <v>0.13554310798645</v>
      </c>
      <c r="H161" s="6">
        <v>-0.46962985396385204</v>
      </c>
      <c r="I161" s="6">
        <v>0.23749589920043901</v>
      </c>
      <c r="J161" s="6">
        <v>0.96386039257049605</v>
      </c>
      <c r="K161" s="6">
        <v>-0.63868683576583907</v>
      </c>
      <c r="L161" s="6">
        <v>1.2509001493453979</v>
      </c>
      <c r="M161" s="6">
        <v>0.20530180633068101</v>
      </c>
      <c r="N161" s="6">
        <v>2.6296932425028059</v>
      </c>
      <c r="O161" s="6">
        <v>2.6457898259473369</v>
      </c>
      <c r="P161" s="6">
        <v>2.3705869634515921</v>
      </c>
      <c r="Q161" s="6">
        <v>2.2403173354065529</v>
      </c>
      <c r="R161" s="6">
        <v>13.672650379657389</v>
      </c>
      <c r="S161" s="6">
        <v>10.749348450907158</v>
      </c>
      <c r="T161" s="6">
        <v>18.325126647949219</v>
      </c>
      <c r="U161" s="6" t="str">
        <f>_xll.BDP($A161,"TRAILING_12M_R&amp;D_%_SALES",$A$1,$A$2)</f>
        <v>#N/A N/A</v>
      </c>
      <c r="V161" s="6">
        <v>10</v>
      </c>
      <c r="W161" s="6">
        <v>101020</v>
      </c>
      <c r="X161" s="6">
        <v>10102020</v>
      </c>
      <c r="Y161" s="7" t="s">
        <v>387</v>
      </c>
      <c r="Z161" s="7" t="s">
        <v>516</v>
      </c>
      <c r="AA161" s="7" t="s">
        <v>603</v>
      </c>
      <c r="AB161" s="6">
        <v>58.837139129638672</v>
      </c>
      <c r="AC161" s="6">
        <v>0.94536534108136805</v>
      </c>
      <c r="AD161" s="6">
        <v>23.153453650193235</v>
      </c>
      <c r="AE161" s="6"/>
      <c r="AF161" s="6">
        <v>7720</v>
      </c>
    </row>
    <row r="162" spans="1:32" s="4" customFormat="1" ht="12.75" x14ac:dyDescent="0.2">
      <c r="A162" s="7" t="s">
        <v>604</v>
      </c>
      <c r="B162" s="7" t="s">
        <v>605</v>
      </c>
      <c r="C162" s="7" t="s">
        <v>606</v>
      </c>
      <c r="D162" s="6">
        <v>-0.47856289148330705</v>
      </c>
      <c r="E162" s="6">
        <v>-0.7692263722419741</v>
      </c>
      <c r="F162" s="6">
        <v>0.92871904373168912</v>
      </c>
      <c r="G162" s="6">
        <v>-0.89727282524108909</v>
      </c>
      <c r="H162" s="6">
        <v>3.6995813250542006E-2</v>
      </c>
      <c r="I162" s="6">
        <v>0.78076297044754006</v>
      </c>
      <c r="J162" s="6">
        <v>1.423773050308228</v>
      </c>
      <c r="K162" s="6">
        <v>-0.79620701074600209</v>
      </c>
      <c r="L162" s="6">
        <v>0.95305407047271706</v>
      </c>
      <c r="M162" s="6">
        <v>-0.56492006778717008</v>
      </c>
      <c r="N162" s="6">
        <v>0.672291913589245</v>
      </c>
      <c r="O162" s="6">
        <v>0.69731720437476608</v>
      </c>
      <c r="P162" s="6">
        <v>1.495621367936729</v>
      </c>
      <c r="Q162" s="6">
        <v>1.324346552766801</v>
      </c>
      <c r="R162" s="6">
        <v>12.487117616738663</v>
      </c>
      <c r="S162" s="6">
        <v>10.52143241057632</v>
      </c>
      <c r="T162" s="6">
        <v>11.965624809265137</v>
      </c>
      <c r="U162" s="6">
        <f>_xll.BDP($A162,"TRAILING_12M_R&amp;D_%_SALES",$A$1,$A$2)</f>
        <v>1.2561465289557878</v>
      </c>
      <c r="V162" s="6">
        <v>20</v>
      </c>
      <c r="W162" s="6">
        <v>201020</v>
      </c>
      <c r="X162" s="6">
        <v>20102010</v>
      </c>
      <c r="Y162" s="7" t="s">
        <v>38</v>
      </c>
      <c r="Z162" s="7" t="s">
        <v>489</v>
      </c>
      <c r="AA162" s="7" t="s">
        <v>489</v>
      </c>
      <c r="AB162" s="6">
        <v>73.393020629882813</v>
      </c>
      <c r="AC162" s="6">
        <v>0.41405344036489905</v>
      </c>
      <c r="AD162" s="6">
        <v>55.808087834663553</v>
      </c>
      <c r="AE162" s="6">
        <v>170714</v>
      </c>
      <c r="AF162" s="6">
        <v>179149</v>
      </c>
    </row>
    <row r="163" spans="1:32" s="4" customFormat="1" ht="12.75" x14ac:dyDescent="0.2">
      <c r="A163" s="7" t="s">
        <v>607</v>
      </c>
      <c r="B163" s="7" t="s">
        <v>608</v>
      </c>
      <c r="C163" s="7" t="s">
        <v>609</v>
      </c>
      <c r="D163" s="6">
        <v>-0.47856289148330705</v>
      </c>
      <c r="E163" s="6">
        <v>-0.7692263722419741</v>
      </c>
      <c r="F163" s="6">
        <v>0.92871904373168912</v>
      </c>
      <c r="G163" s="6">
        <v>-0.89727282524108909</v>
      </c>
      <c r="H163" s="6">
        <v>3.6995813250542006E-2</v>
      </c>
      <c r="I163" s="6">
        <v>0.78076297044754006</v>
      </c>
      <c r="J163" s="6">
        <v>1.423773050308228</v>
      </c>
      <c r="K163" s="6">
        <v>-0.79620701074600209</v>
      </c>
      <c r="L163" s="6">
        <v>0.95305407047271706</v>
      </c>
      <c r="M163" s="6">
        <v>-0.56492006778717008</v>
      </c>
      <c r="N163" s="6">
        <v>0.672291913589245</v>
      </c>
      <c r="O163" s="6">
        <v>0.73347557026043209</v>
      </c>
      <c r="P163" s="6">
        <v>1.495621367936729</v>
      </c>
      <c r="Q163" s="6"/>
      <c r="R163" s="6">
        <v>12.487117616738663</v>
      </c>
      <c r="S163" s="6">
        <v>10.854169918076128</v>
      </c>
      <c r="T163" s="6">
        <v>11.965624809265137</v>
      </c>
      <c r="U163" s="6">
        <f>_xll.BDP($A163,"TRAILING_12M_R&amp;D_%_SALES",$A$1,$A$2)</f>
        <v>1.2561465289557878</v>
      </c>
      <c r="V163" s="6">
        <v>20</v>
      </c>
      <c r="W163" s="6">
        <v>201020</v>
      </c>
      <c r="X163" s="6">
        <v>20102010</v>
      </c>
      <c r="Y163" s="7" t="s">
        <v>38</v>
      </c>
      <c r="Z163" s="7" t="s">
        <v>489</v>
      </c>
      <c r="AA163" s="7" t="s">
        <v>489</v>
      </c>
      <c r="AB163" s="6">
        <v>73.393020629882813</v>
      </c>
      <c r="AC163" s="6">
        <v>1.0510113012111111</v>
      </c>
      <c r="AD163" s="6">
        <v>55.130257694930187</v>
      </c>
      <c r="AE163" s="6">
        <v>170714</v>
      </c>
      <c r="AF163" s="6">
        <v>179149</v>
      </c>
    </row>
    <row r="164" spans="1:32" s="4" customFormat="1" ht="12.75" x14ac:dyDescent="0.2">
      <c r="A164" s="7" t="s">
        <v>610</v>
      </c>
      <c r="B164" s="7" t="s">
        <v>611</v>
      </c>
      <c r="C164" s="7" t="s">
        <v>612</v>
      </c>
      <c r="D164" s="6">
        <v>0.11933181434869801</v>
      </c>
      <c r="E164" s="6">
        <v>-0.58267259597778309</v>
      </c>
      <c r="F164" s="6">
        <v>0.681931853294373</v>
      </c>
      <c r="G164" s="6">
        <v>7.8379929065704013E-2</v>
      </c>
      <c r="H164" s="6">
        <v>0.19146478176116902</v>
      </c>
      <c r="I164" s="6">
        <v>-0.39407360553741505</v>
      </c>
      <c r="J164" s="6">
        <v>2.6481468677520752</v>
      </c>
      <c r="K164" s="6">
        <v>-0.87371540069580111</v>
      </c>
      <c r="L164" s="6">
        <v>0.45219430327415505</v>
      </c>
      <c r="M164" s="6">
        <v>-0.96493947505950906</v>
      </c>
      <c r="N164" s="6">
        <v>1.0594817384894091</v>
      </c>
      <c r="O164" s="6">
        <v>1.3077790884884151</v>
      </c>
      <c r="P164" s="6">
        <v>1.023197175035222</v>
      </c>
      <c r="Q164" s="6">
        <v>0.8469299494034781</v>
      </c>
      <c r="R164" s="6">
        <v>10.008011036603241</v>
      </c>
      <c r="S164" s="6">
        <v>9.4778915251736908</v>
      </c>
      <c r="T164" s="6">
        <v>10.763504028320313</v>
      </c>
      <c r="U164" s="6" t="str">
        <f>_xll.BDP($A164,"TRAILING_12M_R&amp;D_%_SALES",$A$1,$A$2)</f>
        <v>#N/A N/A</v>
      </c>
      <c r="V164" s="6">
        <v>40</v>
      </c>
      <c r="W164" s="6">
        <v>402020</v>
      </c>
      <c r="X164" s="6">
        <v>40202010</v>
      </c>
      <c r="Y164" s="7" t="s">
        <v>43</v>
      </c>
      <c r="Z164" s="7" t="s">
        <v>188</v>
      </c>
      <c r="AA164" s="7" t="s">
        <v>188</v>
      </c>
      <c r="AB164" s="6">
        <v>52.550045013427734</v>
      </c>
      <c r="AC164" s="6">
        <v>1.3048914017123079</v>
      </c>
      <c r="AD164" s="6">
        <v>44.761983057294749</v>
      </c>
      <c r="AE164" s="6">
        <v>56000</v>
      </c>
      <c r="AF164" s="6">
        <v>49300</v>
      </c>
    </row>
    <row r="165" spans="1:32" s="4" customFormat="1" ht="12.75" x14ac:dyDescent="0.2">
      <c r="A165" s="7" t="s">
        <v>613</v>
      </c>
      <c r="B165" s="7" t="s">
        <v>614</v>
      </c>
      <c r="C165" s="7" t="s">
        <v>615</v>
      </c>
      <c r="D165" s="6">
        <v>0.200709208846092</v>
      </c>
      <c r="E165" s="6">
        <v>3.2549537718296002E-2</v>
      </c>
      <c r="F165" s="6">
        <v>-0.14271178841590901</v>
      </c>
      <c r="G165" s="6">
        <v>-0.35062909126281705</v>
      </c>
      <c r="H165" s="6">
        <v>-0.52918684482574507</v>
      </c>
      <c r="I165" s="6">
        <v>-0.25438132882118203</v>
      </c>
      <c r="J165" s="6">
        <v>0.95495772361755404</v>
      </c>
      <c r="K165" s="6">
        <v>0.29350742697715804</v>
      </c>
      <c r="L165" s="6">
        <v>-0.48276680707931502</v>
      </c>
      <c r="M165" s="6">
        <v>0.97831380367279108</v>
      </c>
      <c r="N165" s="6">
        <v>2.3567444174584979</v>
      </c>
      <c r="O165" s="6">
        <v>2.2559374474533991</v>
      </c>
      <c r="P165" s="6">
        <v>2.8866362365699842</v>
      </c>
      <c r="Q165" s="6">
        <v>2.6808047950787541</v>
      </c>
      <c r="R165" s="6">
        <v>12.97659378291992</v>
      </c>
      <c r="S165" s="6">
        <v>11.950136047582092</v>
      </c>
      <c r="T165" s="6">
        <v>23.132694244384766</v>
      </c>
      <c r="U165" s="6" t="str">
        <f>_xll.BDP($A165,"TRAILING_12M_R&amp;D_%_SALES",$A$1,$A$2)</f>
        <v>#N/A N/A</v>
      </c>
      <c r="V165" s="6">
        <v>10</v>
      </c>
      <c r="W165" s="6">
        <v>101020</v>
      </c>
      <c r="X165" s="6">
        <v>10102020</v>
      </c>
      <c r="Y165" s="7" t="s">
        <v>387</v>
      </c>
      <c r="Z165" s="7" t="s">
        <v>516</v>
      </c>
      <c r="AA165" s="7" t="s">
        <v>603</v>
      </c>
      <c r="AB165" s="6">
        <v>67.910675048828125</v>
      </c>
      <c r="AC165" s="6">
        <v>0.77116953841535008</v>
      </c>
      <c r="AD165" s="6">
        <v>3.3701735502874359</v>
      </c>
      <c r="AE165" s="6">
        <v>9500</v>
      </c>
      <c r="AF165" s="6">
        <v>11400</v>
      </c>
    </row>
    <row r="166" spans="1:32" s="4" customFormat="1" ht="12.75" x14ac:dyDescent="0.2">
      <c r="A166" s="7" t="s">
        <v>616</v>
      </c>
      <c r="B166" s="7" t="s">
        <v>617</v>
      </c>
      <c r="C166" s="7" t="s">
        <v>618</v>
      </c>
      <c r="D166" s="6">
        <v>-4.3905682861805004E-2</v>
      </c>
      <c r="E166" s="6">
        <v>0.68217414617538508</v>
      </c>
      <c r="F166" s="6">
        <v>-1.489687442779541</v>
      </c>
      <c r="G166" s="6">
        <v>-5.7941660284996005E-2</v>
      </c>
      <c r="H166" s="6">
        <v>0.161706984043121</v>
      </c>
      <c r="I166" s="6">
        <v>0.29153966903686501</v>
      </c>
      <c r="J166" s="6">
        <v>0.18692834675312001</v>
      </c>
      <c r="K166" s="6">
        <v>1.1157001256942749</v>
      </c>
      <c r="L166" s="6">
        <v>-0.24125795066356701</v>
      </c>
      <c r="M166" s="6">
        <v>0.82932817935943604</v>
      </c>
      <c r="N166" s="6">
        <v>0.15861306697097602</v>
      </c>
      <c r="O166" s="6">
        <v>0.14197884126738702</v>
      </c>
      <c r="P166" s="6">
        <v>79.009780533935427</v>
      </c>
      <c r="Q166" s="6">
        <v>22.908188450220702</v>
      </c>
      <c r="R166" s="6">
        <v>19.327646651635206</v>
      </c>
      <c r="S166" s="6">
        <v>15.545858978446672</v>
      </c>
      <c r="T166" s="6"/>
      <c r="U166" s="6">
        <f>_xll.BDP($A166,"TRAILING_12M_R&amp;D_%_SALES",$A$1,$A$2)</f>
        <v>0</v>
      </c>
      <c r="V166" s="6">
        <v>35</v>
      </c>
      <c r="W166" s="6">
        <v>351020</v>
      </c>
      <c r="X166" s="6">
        <v>35102010</v>
      </c>
      <c r="Y166" s="7" t="s">
        <v>72</v>
      </c>
      <c r="Z166" s="7" t="s">
        <v>467</v>
      </c>
      <c r="AA166" s="7" t="s">
        <v>468</v>
      </c>
      <c r="AB166" s="6">
        <v>56.543605804443359</v>
      </c>
      <c r="AC166" s="6">
        <v>0.46993846464449701</v>
      </c>
      <c r="AD166" s="6">
        <v>25.068263651104129</v>
      </c>
      <c r="AE166" s="6">
        <v>46000</v>
      </c>
      <c r="AF166" s="6">
        <v>20000</v>
      </c>
    </row>
    <row r="167" spans="1:32" s="4" customFormat="1" ht="12.75" x14ac:dyDescent="0.2">
      <c r="A167" s="7" t="s">
        <v>619</v>
      </c>
      <c r="B167" s="7" t="s">
        <v>620</v>
      </c>
      <c r="C167" s="7" t="s">
        <v>621</v>
      </c>
      <c r="D167" s="6">
        <v>0.61180192232132002</v>
      </c>
      <c r="E167" s="6">
        <v>-0.48404920101165805</v>
      </c>
      <c r="F167" s="6">
        <v>-0.40515807271003701</v>
      </c>
      <c r="G167" s="6">
        <v>-0.45328471064567605</v>
      </c>
      <c r="H167" s="6">
        <v>-0.68384826183319103</v>
      </c>
      <c r="I167" s="6">
        <v>-0.21684050559997603</v>
      </c>
      <c r="J167" s="6">
        <v>-0.34888777136802701</v>
      </c>
      <c r="K167" s="6">
        <v>1.16886830329895</v>
      </c>
      <c r="L167" s="6">
        <v>-0.39929085969924905</v>
      </c>
      <c r="M167" s="6">
        <v>0.78643739223480202</v>
      </c>
      <c r="N167" s="6">
        <v>1.1926517068049429</v>
      </c>
      <c r="O167" s="6">
        <v>1.130497333850955</v>
      </c>
      <c r="P167" s="6">
        <v>11.203385955626345</v>
      </c>
      <c r="Q167" s="6">
        <v>10.988174884333947</v>
      </c>
      <c r="R167" s="6">
        <v>43.512196029672161</v>
      </c>
      <c r="S167" s="6">
        <v>41.04919833103579</v>
      </c>
      <c r="T167" s="6">
        <v>27.372001647949219</v>
      </c>
      <c r="U167" s="6">
        <f>_xll.BDP($A167,"TRAILING_12M_R&amp;D_%_SALES",$A$1,$A$2)</f>
        <v>0</v>
      </c>
      <c r="V167" s="6">
        <v>30</v>
      </c>
      <c r="W167" s="6">
        <v>301010</v>
      </c>
      <c r="X167" s="6">
        <v>30101040</v>
      </c>
      <c r="Y167" s="7" t="s">
        <v>106</v>
      </c>
      <c r="Z167" s="7" t="s">
        <v>107</v>
      </c>
      <c r="AA167" s="7" t="s">
        <v>243</v>
      </c>
      <c r="AB167" s="6">
        <v>45.961170196533203</v>
      </c>
      <c r="AC167" s="6">
        <v>0.87164215237652609</v>
      </c>
      <c r="AD167" s="6">
        <v>48.958608662882867</v>
      </c>
      <c r="AE167" s="6">
        <v>316000</v>
      </c>
      <c r="AF167" s="6">
        <v>245000</v>
      </c>
    </row>
    <row r="168" spans="1:32" s="4" customFormat="1" ht="12.75" x14ac:dyDescent="0.2">
      <c r="A168" s="7" t="s">
        <v>622</v>
      </c>
      <c r="B168" s="7" t="s">
        <v>623</v>
      </c>
      <c r="C168" s="7" t="s">
        <v>624</v>
      </c>
      <c r="D168" s="6">
        <v>-0.56583541631698608</v>
      </c>
      <c r="E168" s="6">
        <v>-0.56138420104980502</v>
      </c>
      <c r="F168" s="6">
        <v>-0.84000897407531705</v>
      </c>
      <c r="G168" s="6">
        <v>-0.91527366638183605</v>
      </c>
      <c r="H168" s="6">
        <v>1.7901698127389003E-2</v>
      </c>
      <c r="I168" s="6">
        <v>-0.34764179587364202</v>
      </c>
      <c r="J168" s="6">
        <v>-6.6006682813168002E-2</v>
      </c>
      <c r="K168" s="6">
        <v>0.52037382125854503</v>
      </c>
      <c r="L168" s="6">
        <v>-0.37963095307350203</v>
      </c>
      <c r="M168" s="6">
        <v>-0.31966233253479004</v>
      </c>
      <c r="N168" s="6">
        <v>7.1431551767677899</v>
      </c>
      <c r="O168" s="6">
        <v>6.6149580183397747</v>
      </c>
      <c r="P168" s="6">
        <v>2.3552997108066829</v>
      </c>
      <c r="Q168" s="6">
        <v>2.1345245193553168</v>
      </c>
      <c r="R168" s="6">
        <v>28.37612902167319</v>
      </c>
      <c r="S168" s="6">
        <v>23.602532053797088</v>
      </c>
      <c r="T168" s="6">
        <v>10.449420928955078</v>
      </c>
      <c r="U168" s="6" t="str">
        <f>_xll.BDP($A168,"TRAILING_12M_R&amp;D_%_SALES",$A$1,$A$2)</f>
        <v>#N/A N/A</v>
      </c>
      <c r="V168" s="6">
        <v>20</v>
      </c>
      <c r="W168" s="6">
        <v>203040</v>
      </c>
      <c r="X168" s="6">
        <v>20304010</v>
      </c>
      <c r="Y168" s="7" t="s">
        <v>38</v>
      </c>
      <c r="Z168" s="7" t="s">
        <v>561</v>
      </c>
      <c r="AA168" s="7" t="s">
        <v>562</v>
      </c>
      <c r="AB168" s="6">
        <v>69.711296081542969</v>
      </c>
      <c r="AC168" s="6">
        <v>0.8843463274270541</v>
      </c>
      <c r="AD168" s="6">
        <v>5.6137086262602054</v>
      </c>
      <c r="AE168" s="6">
        <v>12754</v>
      </c>
      <c r="AF168" s="6">
        <v>12242</v>
      </c>
    </row>
    <row r="169" spans="1:32" s="4" customFormat="1" ht="12.75" x14ac:dyDescent="0.2">
      <c r="A169" s="7" t="s">
        <v>625</v>
      </c>
      <c r="B169" s="7" t="s">
        <v>626</v>
      </c>
      <c r="C169" s="7" t="s">
        <v>627</v>
      </c>
      <c r="D169" s="6">
        <v>0.46053373813629206</v>
      </c>
      <c r="E169" s="6">
        <v>-1.043873190879822</v>
      </c>
      <c r="F169" s="6">
        <v>-0.41435760259628301</v>
      </c>
      <c r="G169" s="6">
        <v>-0.90551829338073708</v>
      </c>
      <c r="H169" s="6">
        <v>1.4055957794189451</v>
      </c>
      <c r="I169" s="6">
        <v>0.42961588501930204</v>
      </c>
      <c r="J169" s="6">
        <v>2.6591463088989258</v>
      </c>
      <c r="K169" s="6">
        <v>-1.018651008605957</v>
      </c>
      <c r="L169" s="6">
        <v>3.0000102519989009</v>
      </c>
      <c r="M169" s="6">
        <v>-1.035490751266479</v>
      </c>
      <c r="N169" s="6">
        <v>1.550533353633103</v>
      </c>
      <c r="O169" s="6">
        <v>1.4973312753023591</v>
      </c>
      <c r="P169" s="6">
        <v>0.65150248823371804</v>
      </c>
      <c r="Q169" s="6">
        <v>0.57448388893892699</v>
      </c>
      <c r="R169" s="6">
        <v>6.3474879956167705</v>
      </c>
      <c r="S169" s="6">
        <v>6.952135672439919</v>
      </c>
      <c r="T169" s="6">
        <v>10.187952041625977</v>
      </c>
      <c r="U169" s="6" t="str">
        <f>_xll.BDP($A169,"TRAILING_12M_R&amp;D_%_SALES",$A$1,$A$2)</f>
        <v>#N/A N/A</v>
      </c>
      <c r="V169" s="6">
        <v>40</v>
      </c>
      <c r="W169" s="6">
        <v>401010</v>
      </c>
      <c r="X169" s="6">
        <v>40101010</v>
      </c>
      <c r="Y169" s="7" t="s">
        <v>43</v>
      </c>
      <c r="Z169" s="7" t="s">
        <v>67</v>
      </c>
      <c r="AA169" s="7" t="s">
        <v>68</v>
      </c>
      <c r="AB169" s="6">
        <v>56.402774810791016</v>
      </c>
      <c r="AC169" s="6">
        <v>0.6242346233715691</v>
      </c>
      <c r="AD169" s="6">
        <v>47.754367270691134</v>
      </c>
      <c r="AE169" s="6">
        <v>72758</v>
      </c>
      <c r="AF169" s="6">
        <v>71308</v>
      </c>
    </row>
    <row r="170" spans="1:32" s="4" customFormat="1" ht="12.75" x14ac:dyDescent="0.2">
      <c r="A170" s="7" t="s">
        <v>628</v>
      </c>
      <c r="B170" s="7" t="s">
        <v>629</v>
      </c>
      <c r="C170" s="7" t="s">
        <v>630</v>
      </c>
      <c r="D170" s="6">
        <v>0.46053373813629206</v>
      </c>
      <c r="E170" s="6">
        <v>-1.043873190879822</v>
      </c>
      <c r="F170" s="6">
        <v>-0.41435760259628301</v>
      </c>
      <c r="G170" s="6">
        <v>-0.90551829338073708</v>
      </c>
      <c r="H170" s="6">
        <v>1.4055957794189451</v>
      </c>
      <c r="I170" s="6">
        <v>0.42961588501930204</v>
      </c>
      <c r="J170" s="6">
        <v>2.6591463088989258</v>
      </c>
      <c r="K170" s="6">
        <v>-1.018651008605957</v>
      </c>
      <c r="L170" s="6">
        <v>3.0000102519989009</v>
      </c>
      <c r="M170" s="6">
        <v>-1.035490751266479</v>
      </c>
      <c r="N170" s="6">
        <v>1.550533353633103</v>
      </c>
      <c r="O170" s="6"/>
      <c r="P170" s="6">
        <v>0.65150248823371804</v>
      </c>
      <c r="Q170" s="6"/>
      <c r="R170" s="6">
        <v>6.3474879956167705</v>
      </c>
      <c r="S170" s="6"/>
      <c r="T170" s="6">
        <v>10.187952041625977</v>
      </c>
      <c r="U170" s="6" t="str">
        <f>_xll.BDP($A170,"TRAILING_12M_R&amp;D_%_SALES",$A$1,$A$2)</f>
        <v>#N/A N/A</v>
      </c>
      <c r="V170" s="6">
        <v>40</v>
      </c>
      <c r="W170" s="6">
        <v>401010</v>
      </c>
      <c r="X170" s="6">
        <v>40101010</v>
      </c>
      <c r="Y170" s="7" t="s">
        <v>43</v>
      </c>
      <c r="Z170" s="7" t="s">
        <v>67</v>
      </c>
      <c r="AA170" s="7" t="s">
        <v>68</v>
      </c>
      <c r="AB170" s="6">
        <v>56.402774810791016</v>
      </c>
      <c r="AC170" s="6">
        <v>0.86575805582440202</v>
      </c>
      <c r="AD170" s="6">
        <v>48.428353328599542</v>
      </c>
      <c r="AE170" s="6">
        <v>72758</v>
      </c>
      <c r="AF170" s="6">
        <v>71308</v>
      </c>
    </row>
    <row r="171" spans="1:32" s="4" customFormat="1" ht="12.75" x14ac:dyDescent="0.2">
      <c r="A171" s="7" t="s">
        <v>631</v>
      </c>
      <c r="B171" s="7" t="s">
        <v>632</v>
      </c>
      <c r="C171" s="7" t="s">
        <v>633</v>
      </c>
      <c r="D171" s="6">
        <v>-0.47605231404304504</v>
      </c>
      <c r="E171" s="6">
        <v>-0.80169826745986905</v>
      </c>
      <c r="F171" s="6">
        <v>0.56496828794479403</v>
      </c>
      <c r="G171" s="6">
        <v>-0.87743383646011408</v>
      </c>
      <c r="H171" s="6">
        <v>8.8738515973091001E-2</v>
      </c>
      <c r="I171" s="6">
        <v>-0.48525732755661005</v>
      </c>
      <c r="J171" s="6">
        <v>2.5760905742645259</v>
      </c>
      <c r="K171" s="6">
        <v>-0.67517441511154208</v>
      </c>
      <c r="L171" s="6">
        <v>1.4565669298172002</v>
      </c>
      <c r="M171" s="6">
        <v>-1.0346478223800659</v>
      </c>
      <c r="N171" s="6"/>
      <c r="O171" s="6">
        <v>0.65137385718490903</v>
      </c>
      <c r="P171" s="6">
        <v>1.6401237132371129</v>
      </c>
      <c r="Q171" s="6">
        <v>1.2907224336156551</v>
      </c>
      <c r="R171" s="6"/>
      <c r="S171" s="6">
        <v>4.3962556980401644</v>
      </c>
      <c r="T171" s="6">
        <v>27.757156372070313</v>
      </c>
      <c r="U171" s="6" t="str">
        <f>_xll.BDP($A171,"TRAILING_12M_R&amp;D_%_SALES",$A$1,$A$2)</f>
        <v>#N/A N/A</v>
      </c>
      <c r="V171" s="6">
        <v>40</v>
      </c>
      <c r="W171" s="6">
        <v>402010</v>
      </c>
      <c r="X171" s="6">
        <v>40201020</v>
      </c>
      <c r="Y171" s="7" t="s">
        <v>43</v>
      </c>
      <c r="Z171" s="7" t="s">
        <v>255</v>
      </c>
      <c r="AA171" s="7" t="s">
        <v>256</v>
      </c>
      <c r="AB171" s="6">
        <v>26.194547653198242</v>
      </c>
      <c r="AC171" s="6">
        <v>1.198961188262017</v>
      </c>
      <c r="AD171" s="6">
        <v>23.785472398678053</v>
      </c>
      <c r="AE171" s="6"/>
      <c r="AF171" s="6">
        <v>20</v>
      </c>
    </row>
    <row r="172" spans="1:32" s="4" customFormat="1" ht="12.75" x14ac:dyDescent="0.2">
      <c r="A172" s="7" t="s">
        <v>634</v>
      </c>
      <c r="B172" s="7" t="s">
        <v>635</v>
      </c>
      <c r="C172" s="7" t="s">
        <v>636</v>
      </c>
      <c r="D172" s="6">
        <v>-0.67059493064880404</v>
      </c>
      <c r="E172" s="6">
        <v>-0.99210947751998912</v>
      </c>
      <c r="F172" s="6">
        <v>0.52713370323181208</v>
      </c>
      <c r="G172" s="6">
        <v>-0.78523796796798706</v>
      </c>
      <c r="H172" s="6">
        <v>1.0236262083053591</v>
      </c>
      <c r="I172" s="6">
        <v>-0.35032826662063604</v>
      </c>
      <c r="J172" s="6">
        <v>1.9051741361618042</v>
      </c>
      <c r="K172" s="6">
        <v>-0.79725706577301003</v>
      </c>
      <c r="L172" s="6">
        <v>0.87459039688110407</v>
      </c>
      <c r="M172" s="6">
        <v>-0.69837963581085205</v>
      </c>
      <c r="N172" s="6">
        <v>0.14074755536105302</v>
      </c>
      <c r="O172" s="6">
        <v>0.12958431700029302</v>
      </c>
      <c r="P172" s="6">
        <v>1.0413674950085929</v>
      </c>
      <c r="Q172" s="6">
        <v>0.94018783455566002</v>
      </c>
      <c r="R172" s="6">
        <v>9.9687969364579239</v>
      </c>
      <c r="S172" s="6">
        <v>8.0894666188796336</v>
      </c>
      <c r="T172" s="6">
        <v>18.329748153686523</v>
      </c>
      <c r="U172" s="6" t="str">
        <f>_xll.BDP($A172,"TRAILING_12M_R&amp;D_%_SALES",$A$1,$A$2)</f>
        <v>#N/A N/A</v>
      </c>
      <c r="V172" s="6">
        <v>30</v>
      </c>
      <c r="W172" s="6">
        <v>301010</v>
      </c>
      <c r="X172" s="6">
        <v>30101040</v>
      </c>
      <c r="Y172" s="7" t="s">
        <v>106</v>
      </c>
      <c r="Z172" s="7" t="s">
        <v>107</v>
      </c>
      <c r="AA172" s="7" t="s">
        <v>243</v>
      </c>
      <c r="AB172" s="6">
        <v>59.450759887695313</v>
      </c>
      <c r="AC172" s="6">
        <v>0.29895752765119604</v>
      </c>
      <c r="AD172" s="6">
        <v>13.997049868511446</v>
      </c>
      <c r="AE172" s="6">
        <v>346666</v>
      </c>
      <c r="AF172" s="6">
        <v>378923</v>
      </c>
    </row>
    <row r="173" spans="1:32" s="4" customFormat="1" ht="12.75" x14ac:dyDescent="0.2">
      <c r="A173" s="7" t="s">
        <v>637</v>
      </c>
      <c r="B173" s="7" t="s">
        <v>638</v>
      </c>
      <c r="C173" s="7" t="s">
        <v>639</v>
      </c>
      <c r="D173" s="6">
        <v>0.17620207369327501</v>
      </c>
      <c r="E173" s="6">
        <v>-0.8208981752395631</v>
      </c>
      <c r="F173" s="6">
        <v>0.6212549805641171</v>
      </c>
      <c r="G173" s="6">
        <v>2.0511809270830003E-3</v>
      </c>
      <c r="H173" s="6">
        <v>-0.78486263751983609</v>
      </c>
      <c r="I173" s="6">
        <v>0.50915032625198409</v>
      </c>
      <c r="J173" s="6">
        <v>-0.30291393399238603</v>
      </c>
      <c r="K173" s="6">
        <v>0.16688422858715102</v>
      </c>
      <c r="L173" s="6">
        <v>-0.72281217575073209</v>
      </c>
      <c r="M173" s="6">
        <v>-0.66198253631591808</v>
      </c>
      <c r="N173" s="6">
        <v>7.5766448303574228</v>
      </c>
      <c r="O173" s="6">
        <v>6.6532144405579174</v>
      </c>
      <c r="P173" s="6">
        <v>4.6476441397725869</v>
      </c>
      <c r="Q173" s="6">
        <v>3.7411317720781869</v>
      </c>
      <c r="R173" s="6">
        <v>58.711488133063227</v>
      </c>
      <c r="S173" s="6">
        <v>27.685215872223637</v>
      </c>
      <c r="T173" s="6">
        <v>4.4141311645507813</v>
      </c>
      <c r="U173" s="6">
        <f>_xll.BDP($A173,"TRAILING_12M_R&amp;D_%_SALES",$A$1,$A$2)</f>
        <v>14.495316004749967</v>
      </c>
      <c r="V173" s="6">
        <v>45</v>
      </c>
      <c r="W173" s="6">
        <v>451030</v>
      </c>
      <c r="X173" s="6">
        <v>45103010</v>
      </c>
      <c r="Y173" s="7" t="s">
        <v>56</v>
      </c>
      <c r="Z173" s="7" t="s">
        <v>117</v>
      </c>
      <c r="AA173" s="7" t="s">
        <v>118</v>
      </c>
      <c r="AB173" s="6">
        <v>50.457698822021484</v>
      </c>
      <c r="AC173" s="6">
        <v>1.139223805734799</v>
      </c>
      <c r="AD173" s="6">
        <v>98.536312040064743</v>
      </c>
      <c r="AE173" s="6">
        <v>79390</v>
      </c>
      <c r="AF173" s="6">
        <v>29401</v>
      </c>
    </row>
    <row r="174" spans="1:32" s="4" customFormat="1" ht="12.75" x14ac:dyDescent="0.2">
      <c r="A174" s="7" t="s">
        <v>640</v>
      </c>
      <c r="B174" s="7" t="s">
        <v>641</v>
      </c>
      <c r="C174" s="7" t="s">
        <v>642</v>
      </c>
      <c r="D174" s="6">
        <v>-0.67059493064880404</v>
      </c>
      <c r="E174" s="6">
        <v>-0.99210947751998912</v>
      </c>
      <c r="F174" s="6">
        <v>0.52713370323181208</v>
      </c>
      <c r="G174" s="6">
        <v>-0.78523796796798706</v>
      </c>
      <c r="H174" s="6">
        <v>1.0236262083053591</v>
      </c>
      <c r="I174" s="6">
        <v>-0.35032826662063604</v>
      </c>
      <c r="J174" s="6">
        <v>1.9051741361618042</v>
      </c>
      <c r="K174" s="6">
        <v>-0.79725706577301003</v>
      </c>
      <c r="L174" s="6">
        <v>0.87459039688110407</v>
      </c>
      <c r="M174" s="6">
        <v>-0.69837963581085205</v>
      </c>
      <c r="N174" s="6">
        <v>0.14074755536105302</v>
      </c>
      <c r="O174" s="6">
        <v>0.13264256706109101</v>
      </c>
      <c r="P174" s="6">
        <v>1.0413674950085929</v>
      </c>
      <c r="Q174" s="6">
        <v>0.19092705032559701</v>
      </c>
      <c r="R174" s="6">
        <v>9.9687969364579239</v>
      </c>
      <c r="S174" s="6">
        <v>1.642754717178412</v>
      </c>
      <c r="T174" s="6">
        <v>18.329748153686523</v>
      </c>
      <c r="U174" s="6" t="str">
        <f>_xll.BDP($A174,"TRAILING_12M_R&amp;D_%_SALES",$A$1,$A$2)</f>
        <v>#N/A N/A</v>
      </c>
      <c r="V174" s="6">
        <v>30</v>
      </c>
      <c r="W174" s="6">
        <v>301010</v>
      </c>
      <c r="X174" s="6">
        <v>30101040</v>
      </c>
      <c r="Y174" s="7" t="s">
        <v>106</v>
      </c>
      <c r="Z174" s="7" t="s">
        <v>107</v>
      </c>
      <c r="AA174" s="7" t="s">
        <v>243</v>
      </c>
      <c r="AB174" s="6">
        <v>59.450759887695313</v>
      </c>
      <c r="AC174" s="6">
        <v>0.54319579593699707</v>
      </c>
      <c r="AD174" s="6">
        <v>15.818056263364255</v>
      </c>
      <c r="AE174" s="6">
        <v>346666</v>
      </c>
      <c r="AF174" s="6">
        <v>378923</v>
      </c>
    </row>
    <row r="175" spans="1:32" s="4" customFormat="1" ht="12.75" x14ac:dyDescent="0.2">
      <c r="A175" s="7" t="s">
        <v>643</v>
      </c>
      <c r="B175" s="7" t="s">
        <v>644</v>
      </c>
      <c r="C175" s="7" t="s">
        <v>645</v>
      </c>
      <c r="D175" s="6">
        <v>-0.37087464332580605</v>
      </c>
      <c r="E175" s="6">
        <v>-1.1569405794143681</v>
      </c>
      <c r="F175" s="6">
        <v>-5.7610020041466002E-2</v>
      </c>
      <c r="G175" s="6">
        <v>-0.13100692629814101</v>
      </c>
      <c r="H175" s="6">
        <v>1.086500883102417</v>
      </c>
      <c r="I175" s="6">
        <v>0.48476874828338606</v>
      </c>
      <c r="J175" s="6">
        <v>0.78214895725250211</v>
      </c>
      <c r="K175" s="6">
        <v>-1.0985702276229861</v>
      </c>
      <c r="L175" s="6">
        <v>0.16404475271701802</v>
      </c>
      <c r="M175" s="6">
        <v>-0.75592678785324108</v>
      </c>
      <c r="N175" s="6">
        <v>0.68183945265397006</v>
      </c>
      <c r="O175" s="6">
        <v>1.2034225189366561</v>
      </c>
      <c r="P175" s="6">
        <v>0.46673081864845306</v>
      </c>
      <c r="Q175" s="6">
        <v>0.42883117952276101</v>
      </c>
      <c r="R175" s="6">
        <v>6.9758562745875059</v>
      </c>
      <c r="S175" s="6">
        <v>5.3721757544353839</v>
      </c>
      <c r="T175" s="6">
        <v>6.9448971748352051</v>
      </c>
      <c r="U175" s="6" t="str">
        <f>_xll.BDP($A175,"TRAILING_12M_R&amp;D_%_SALES",$A$1,$A$2)</f>
        <v>#N/A N/A</v>
      </c>
      <c r="V175" s="6">
        <v>40</v>
      </c>
      <c r="W175" s="6">
        <v>401010</v>
      </c>
      <c r="X175" s="6">
        <v>40101010</v>
      </c>
      <c r="Y175" s="7" t="s">
        <v>43</v>
      </c>
      <c r="Z175" s="7" t="s">
        <v>67</v>
      </c>
      <c r="AA175" s="7" t="s">
        <v>68</v>
      </c>
      <c r="AB175" s="6">
        <v>53.747108459472656</v>
      </c>
      <c r="AC175" s="6">
        <v>0.32938470115277302</v>
      </c>
      <c r="AD175" s="6">
        <v>28.278641824402762</v>
      </c>
      <c r="AE175" s="6">
        <v>37852</v>
      </c>
      <c r="AF175" s="6">
        <v>48289</v>
      </c>
    </row>
    <row r="176" spans="1:32" s="4" customFormat="1" ht="12.75" x14ac:dyDescent="0.2">
      <c r="A176" s="7" t="s">
        <v>646</v>
      </c>
      <c r="B176" s="7" t="s">
        <v>647</v>
      </c>
      <c r="C176" s="7" t="s">
        <v>648</v>
      </c>
      <c r="D176" s="6">
        <v>-0.37087464332580605</v>
      </c>
      <c r="E176" s="6">
        <v>-1.1569405794143681</v>
      </c>
      <c r="F176" s="6">
        <v>-5.7610020041466002E-2</v>
      </c>
      <c r="G176" s="6">
        <v>-0.13100692629814101</v>
      </c>
      <c r="H176" s="6">
        <v>1.086500883102417</v>
      </c>
      <c r="I176" s="6">
        <v>0.48476874828338606</v>
      </c>
      <c r="J176" s="6">
        <v>0.78214895725250211</v>
      </c>
      <c r="K176" s="6">
        <v>-1.0985702276229861</v>
      </c>
      <c r="L176" s="6">
        <v>0.16404475271701802</v>
      </c>
      <c r="M176" s="6">
        <v>-0.75592678785324108</v>
      </c>
      <c r="N176" s="6">
        <v>0.68183945265397006</v>
      </c>
      <c r="O176" s="6"/>
      <c r="P176" s="6">
        <v>0.46673081864845306</v>
      </c>
      <c r="Q176" s="6"/>
      <c r="R176" s="6">
        <v>6.9758562745875059</v>
      </c>
      <c r="S176" s="6"/>
      <c r="T176" s="6">
        <v>6.9448971748352051</v>
      </c>
      <c r="U176" s="6" t="str">
        <f>_xll.BDP($A176,"TRAILING_12M_R&amp;D_%_SALES",$A$1,$A$2)</f>
        <v>#N/A N/A</v>
      </c>
      <c r="V176" s="6">
        <v>40</v>
      </c>
      <c r="W176" s="6">
        <v>401010</v>
      </c>
      <c r="X176" s="6">
        <v>40101010</v>
      </c>
      <c r="Y176" s="7" t="s">
        <v>43</v>
      </c>
      <c r="Z176" s="7" t="s">
        <v>67</v>
      </c>
      <c r="AA176" s="7" t="s">
        <v>68</v>
      </c>
      <c r="AB176" s="6">
        <v>53.747108459472656</v>
      </c>
      <c r="AC176" s="6">
        <v>0.96601855850685803</v>
      </c>
      <c r="AD176" s="6">
        <v>28.748868747650281</v>
      </c>
      <c r="AE176" s="6">
        <v>37852</v>
      </c>
      <c r="AF176" s="6">
        <v>48289</v>
      </c>
    </row>
    <row r="177" spans="1:32" s="4" customFormat="1" ht="12.75" x14ac:dyDescent="0.2">
      <c r="A177" s="7" t="s">
        <v>649</v>
      </c>
      <c r="B177" s="7" t="s">
        <v>650</v>
      </c>
      <c r="C177" s="7" t="s">
        <v>651</v>
      </c>
      <c r="D177" s="6">
        <v>0.358897686004639</v>
      </c>
      <c r="E177" s="6">
        <v>0.48026818037033103</v>
      </c>
      <c r="F177" s="6">
        <v>-0.13670174777507801</v>
      </c>
      <c r="G177" s="6">
        <v>-0.42590519785881004</v>
      </c>
      <c r="H177" s="6">
        <v>-0.98850250244140603</v>
      </c>
      <c r="I177" s="6">
        <v>0.27650251984596302</v>
      </c>
      <c r="J177" s="6">
        <v>0.19647374749183702</v>
      </c>
      <c r="K177" s="6">
        <v>-1.048954129219055</v>
      </c>
      <c r="L177" s="6">
        <v>0.60050439834594704</v>
      </c>
      <c r="M177" s="6">
        <v>-0.77479845285415605</v>
      </c>
      <c r="N177" s="6">
        <v>3.5512185638677631</v>
      </c>
      <c r="O177" s="6">
        <v>3.7254035282288842</v>
      </c>
      <c r="P177" s="6">
        <v>4.5245627260292993</v>
      </c>
      <c r="Q177" s="6">
        <v>4.101697715923029</v>
      </c>
      <c r="R177" s="6">
        <v>14.57181443713176</v>
      </c>
      <c r="S177" s="6">
        <v>12.625652101113946</v>
      </c>
      <c r="T177" s="6">
        <v>31.775110244750977</v>
      </c>
      <c r="U177" s="6">
        <f>_xll.BDP($A177,"TRAILING_12M_R&amp;D_%_SALES",$A$1,$A$2)</f>
        <v>16.080921441228586</v>
      </c>
      <c r="V177" s="6">
        <v>45</v>
      </c>
      <c r="W177" s="6">
        <v>452010</v>
      </c>
      <c r="X177" s="6">
        <v>45201020</v>
      </c>
      <c r="Y177" s="7" t="s">
        <v>56</v>
      </c>
      <c r="Z177" s="7" t="s">
        <v>652</v>
      </c>
      <c r="AA177" s="7" t="s">
        <v>652</v>
      </c>
      <c r="AB177" s="6">
        <v>61.201084136962891</v>
      </c>
      <c r="AC177" s="6">
        <v>0.83745373619978702</v>
      </c>
      <c r="AD177" s="6">
        <v>9.6236701103974873</v>
      </c>
      <c r="AE177" s="6">
        <v>84900</v>
      </c>
      <c r="AF177" s="6">
        <v>74200</v>
      </c>
    </row>
    <row r="178" spans="1:32" s="4" customFormat="1" ht="12.75" x14ac:dyDescent="0.2">
      <c r="A178" s="7" t="s">
        <v>653</v>
      </c>
      <c r="B178" s="7" t="s">
        <v>654</v>
      </c>
      <c r="C178" s="7" t="s">
        <v>655</v>
      </c>
      <c r="D178" s="6">
        <v>-0.61061382293701205</v>
      </c>
      <c r="E178" s="6">
        <v>-0.542008817195892</v>
      </c>
      <c r="F178" s="6">
        <v>-0.86577391624450706</v>
      </c>
      <c r="G178" s="6">
        <v>-0.99807012081146207</v>
      </c>
      <c r="H178" s="6">
        <v>-5.3851781412960001E-3</v>
      </c>
      <c r="I178" s="6">
        <v>-0.83459240198135409</v>
      </c>
      <c r="J178" s="6">
        <v>-0.30433133244514504</v>
      </c>
      <c r="K178" s="6">
        <v>0.24678656458854703</v>
      </c>
      <c r="L178" s="6">
        <v>-6.2135949730873004E-2</v>
      </c>
      <c r="M178" s="6">
        <v>-0.43945533037185702</v>
      </c>
      <c r="N178" s="6">
        <v>7.0975047796325121</v>
      </c>
      <c r="O178" s="6"/>
      <c r="P178" s="6">
        <v>5.9868440255155777</v>
      </c>
      <c r="Q178" s="6"/>
      <c r="R178" s="6">
        <v>43.027627380389262</v>
      </c>
      <c r="S178" s="6"/>
      <c r="T178" s="6">
        <v>14.451800346374512</v>
      </c>
      <c r="U178" s="6">
        <f>_xll.BDP($A178,"TRAILING_12M_R&amp;D_%_SALES",$A$1,$A$2)</f>
        <v>9.2317793827971109</v>
      </c>
      <c r="V178" s="6">
        <v>35</v>
      </c>
      <c r="W178" s="6">
        <v>352010</v>
      </c>
      <c r="X178" s="6">
        <v>35201010</v>
      </c>
      <c r="Y178" s="7" t="s">
        <v>72</v>
      </c>
      <c r="Z178" s="7" t="s">
        <v>73</v>
      </c>
      <c r="AA178" s="7" t="s">
        <v>73</v>
      </c>
      <c r="AB178" s="6">
        <v>58.384468078613281</v>
      </c>
      <c r="AC178" s="6">
        <v>0.81275847972225101</v>
      </c>
      <c r="AD178" s="6">
        <v>1.3138547939321121</v>
      </c>
      <c r="AE178" s="6">
        <v>32000</v>
      </c>
      <c r="AF178" s="6">
        <v>22000</v>
      </c>
    </row>
    <row r="179" spans="1:32" s="4" customFormat="1" ht="12.75" x14ac:dyDescent="0.2">
      <c r="A179" s="7" t="s">
        <v>656</v>
      </c>
      <c r="B179" s="7" t="s">
        <v>657</v>
      </c>
      <c r="C179" s="7" t="s">
        <v>658</v>
      </c>
      <c r="D179" s="6">
        <v>-3.0909048393369002E-2</v>
      </c>
      <c r="E179" s="6">
        <v>-0.186567038297653</v>
      </c>
      <c r="F179" s="6">
        <v>0.44013407826423606</v>
      </c>
      <c r="G179" s="6">
        <v>-0.23123311996460003</v>
      </c>
      <c r="H179" s="6">
        <v>-0.99256366491317705</v>
      </c>
      <c r="I179" s="6">
        <v>-0.23260159790515902</v>
      </c>
      <c r="J179" s="6">
        <v>1.406508684158325</v>
      </c>
      <c r="K179" s="6">
        <v>-0.79142063856124911</v>
      </c>
      <c r="L179" s="6">
        <v>3.0000102519989009</v>
      </c>
      <c r="M179" s="6">
        <v>-0.39207875728607205</v>
      </c>
      <c r="N179" s="6">
        <v>1.3945158191383531</v>
      </c>
      <c r="O179" s="6"/>
      <c r="P179" s="6">
        <v>1.4153249599408251</v>
      </c>
      <c r="Q179" s="6"/>
      <c r="R179" s="6">
        <v>7.9066920063307178</v>
      </c>
      <c r="S179" s="6"/>
      <c r="T179" s="6">
        <v>15.42402458190918</v>
      </c>
      <c r="U179" s="6">
        <f>_xll.BDP($A179,"TRAILING_12M_R&amp;D_%_SALES",$A$1,$A$2)</f>
        <v>0.97182632523091039</v>
      </c>
      <c r="V179" s="6">
        <v>10</v>
      </c>
      <c r="W179" s="6">
        <v>101020</v>
      </c>
      <c r="X179" s="6">
        <v>10102050</v>
      </c>
      <c r="Y179" s="7" t="s">
        <v>387</v>
      </c>
      <c r="Z179" s="7" t="s">
        <v>516</v>
      </c>
      <c r="AA179" s="7" t="s">
        <v>517</v>
      </c>
      <c r="AB179" s="6">
        <v>59.108741760253906</v>
      </c>
      <c r="AC179" s="6">
        <v>0.712168176722623</v>
      </c>
      <c r="AD179" s="6">
        <v>33.365526837491188</v>
      </c>
      <c r="AE179" s="6">
        <v>83029</v>
      </c>
      <c r="AF179" s="6">
        <v>89057</v>
      </c>
    </row>
    <row r="180" spans="1:32" s="4" customFormat="1" ht="12.75" x14ac:dyDescent="0.2">
      <c r="A180" s="7" t="s">
        <v>659</v>
      </c>
      <c r="B180" s="7" t="s">
        <v>660</v>
      </c>
      <c r="C180" s="7" t="s">
        <v>661</v>
      </c>
      <c r="D180" s="6">
        <v>-0.616571724414825</v>
      </c>
      <c r="E180" s="6">
        <v>-4.0537104010582005E-2</v>
      </c>
      <c r="F180" s="6">
        <v>-0.35777929425239602</v>
      </c>
      <c r="G180" s="6">
        <v>-2.8776412829757004E-2</v>
      </c>
      <c r="H180" s="6">
        <v>0.69204241037368808</v>
      </c>
      <c r="I180" s="6">
        <v>-0.510914206504822</v>
      </c>
      <c r="J180" s="6">
        <v>0.19375352561473802</v>
      </c>
      <c r="K180" s="6">
        <v>-0.90097486972808805</v>
      </c>
      <c r="L180" s="6">
        <v>-7.6139651238917999E-2</v>
      </c>
      <c r="M180" s="6">
        <v>-0.84322887659072909</v>
      </c>
      <c r="N180" s="6">
        <v>4.8047238487124613</v>
      </c>
      <c r="O180" s="6">
        <v>4.5750313382178014</v>
      </c>
      <c r="P180" s="6">
        <v>5.7332630595526144</v>
      </c>
      <c r="Q180" s="6">
        <v>5.5185036731832007</v>
      </c>
      <c r="R180" s="6">
        <v>18.9302513766484</v>
      </c>
      <c r="S180" s="6">
        <v>17.523197916928385</v>
      </c>
      <c r="T180" s="6">
        <v>30.897518157958984</v>
      </c>
      <c r="U180" s="6">
        <f>_xll.BDP($A180,"TRAILING_12M_R&amp;D_%_SALES",$A$1,$A$2)</f>
        <v>0</v>
      </c>
      <c r="V180" s="6">
        <v>20</v>
      </c>
      <c r="W180" s="6">
        <v>203040</v>
      </c>
      <c r="X180" s="6">
        <v>20304010</v>
      </c>
      <c r="Y180" s="7" t="s">
        <v>38</v>
      </c>
      <c r="Z180" s="7" t="s">
        <v>561</v>
      </c>
      <c r="AA180" s="7" t="s">
        <v>562</v>
      </c>
      <c r="AB180" s="6">
        <v>62.237197875976563</v>
      </c>
      <c r="AC180" s="6">
        <v>0.91029629035427007</v>
      </c>
      <c r="AD180" s="6">
        <v>12.560805347216997</v>
      </c>
      <c r="AE180" s="6">
        <v>22542</v>
      </c>
      <c r="AF180" s="6">
        <v>24000</v>
      </c>
    </row>
    <row r="181" spans="1:32" s="4" customFormat="1" ht="12.75" x14ac:dyDescent="0.2">
      <c r="A181" s="7" t="s">
        <v>662</v>
      </c>
      <c r="B181" s="7" t="s">
        <v>663</v>
      </c>
      <c r="C181" s="7" t="s">
        <v>664</v>
      </c>
      <c r="D181" s="6">
        <v>-0.7567558288574221</v>
      </c>
      <c r="E181" s="6">
        <v>-1.3450994491577151</v>
      </c>
      <c r="F181" s="6">
        <v>3.0000524520874019</v>
      </c>
      <c r="G181" s="6">
        <v>0.306167513132095</v>
      </c>
      <c r="H181" s="6">
        <v>0.87103360891342207</v>
      </c>
      <c r="I181" s="6">
        <v>-1.487961530685425</v>
      </c>
      <c r="J181" s="6">
        <v>1.9935436546803003E-2</v>
      </c>
      <c r="K181" s="6">
        <v>-2.588103055953979</v>
      </c>
      <c r="L181" s="6">
        <v>1.76456618309021</v>
      </c>
      <c r="M181" s="6">
        <v>-0.94017356634140004</v>
      </c>
      <c r="N181" s="6">
        <v>3.6782863774928003E-2</v>
      </c>
      <c r="O181" s="6">
        <v>5.2788925082459005E-2</v>
      </c>
      <c r="P181" s="6">
        <v>0.12639510175886401</v>
      </c>
      <c r="Q181" s="6">
        <v>0.130170203348554</v>
      </c>
      <c r="R181" s="6"/>
      <c r="S181" s="6"/>
      <c r="T181" s="6">
        <v>-31.541772842407227</v>
      </c>
      <c r="U181" s="6">
        <f>_xll.BDP($A181,"TRAILING_12M_R&amp;D_%_SALES",$A$1,$A$2)</f>
        <v>0.34428195716886795</v>
      </c>
      <c r="V181" s="6">
        <v>60</v>
      </c>
      <c r="W181" s="6">
        <v>602010</v>
      </c>
      <c r="X181" s="6">
        <v>60201030</v>
      </c>
      <c r="Y181" s="7" t="s">
        <v>221</v>
      </c>
      <c r="Z181" s="7" t="s">
        <v>478</v>
      </c>
      <c r="AA181" s="7" t="s">
        <v>479</v>
      </c>
      <c r="AB181" s="6">
        <v>57.499244689941406</v>
      </c>
      <c r="AC181" s="6">
        <v>0.683673466300037</v>
      </c>
      <c r="AD181" s="6">
        <v>-72.75362402720252</v>
      </c>
      <c r="AE181" s="6">
        <v>69932</v>
      </c>
      <c r="AF181" s="6">
        <v>124837</v>
      </c>
    </row>
    <row r="182" spans="1:32" s="4" customFormat="1" ht="12.75" x14ac:dyDescent="0.2">
      <c r="A182" s="7" t="s">
        <v>665</v>
      </c>
      <c r="B182" s="7" t="s">
        <v>663</v>
      </c>
      <c r="C182" s="7" t="s">
        <v>666</v>
      </c>
      <c r="D182" s="6">
        <v>-0.7567558288574221</v>
      </c>
      <c r="E182" s="6">
        <v>-1.3450994491577151</v>
      </c>
      <c r="F182" s="6">
        <v>3.0000524520874019</v>
      </c>
      <c r="G182" s="6">
        <v>0.306167513132095</v>
      </c>
      <c r="H182" s="6">
        <v>0.87103360891342207</v>
      </c>
      <c r="I182" s="6">
        <v>-1.487961530685425</v>
      </c>
      <c r="J182" s="6">
        <v>1.9935436546803003E-2</v>
      </c>
      <c r="K182" s="6">
        <v>-2.588103055953979</v>
      </c>
      <c r="L182" s="6">
        <v>1.76456618309021</v>
      </c>
      <c r="M182" s="6">
        <v>-0.94017356634140004</v>
      </c>
      <c r="N182" s="6">
        <v>3.6782863774928003E-2</v>
      </c>
      <c r="O182" s="6"/>
      <c r="P182" s="6">
        <v>0.12639510175886401</v>
      </c>
      <c r="Q182" s="6"/>
      <c r="R182" s="6"/>
      <c r="S182" s="6"/>
      <c r="T182" s="6">
        <v>-31.541772842407227</v>
      </c>
      <c r="U182" s="6">
        <f>_xll.BDP($A182,"TRAILING_12M_R&amp;D_%_SALES",$A$1,$A$2)</f>
        <v>0.34428195716886795</v>
      </c>
      <c r="V182" s="6">
        <v>60</v>
      </c>
      <c r="W182" s="6">
        <v>602010</v>
      </c>
      <c r="X182" s="6">
        <v>60201030</v>
      </c>
      <c r="Y182" s="7" t="s">
        <v>221</v>
      </c>
      <c r="Z182" s="7" t="s">
        <v>478</v>
      </c>
      <c r="AA182" s="7" t="s">
        <v>479</v>
      </c>
      <c r="AB182" s="6">
        <v>57.499244689941406</v>
      </c>
      <c r="AC182" s="6">
        <v>0.97505017469982502</v>
      </c>
      <c r="AD182" s="6">
        <v>-69.713188380193259</v>
      </c>
      <c r="AE182" s="6">
        <v>69932</v>
      </c>
      <c r="AF182" s="6">
        <v>124837</v>
      </c>
    </row>
    <row r="183" spans="1:32" s="4" customFormat="1" ht="12.75" x14ac:dyDescent="0.2">
      <c r="A183" s="7" t="s">
        <v>667</v>
      </c>
      <c r="B183" s="7" t="s">
        <v>668</v>
      </c>
      <c r="C183" s="7" t="s">
        <v>669</v>
      </c>
      <c r="D183" s="6">
        <v>-0.99268931150436412</v>
      </c>
      <c r="E183" s="6">
        <v>-0.18611109256744401</v>
      </c>
      <c r="F183" s="6">
        <v>-0.25218778848648105</v>
      </c>
      <c r="G183" s="6">
        <v>5.9060137718916002E-2</v>
      </c>
      <c r="H183" s="6">
        <v>-1.057605028152466</v>
      </c>
      <c r="I183" s="6">
        <v>-0.10749004781246201</v>
      </c>
      <c r="J183" s="6">
        <v>0.30312654376030002</v>
      </c>
      <c r="K183" s="6">
        <v>-0.70496225357055708</v>
      </c>
      <c r="L183" s="6">
        <v>5.5912274867296004E-2</v>
      </c>
      <c r="M183" s="6">
        <v>-0.64668273925781306</v>
      </c>
      <c r="N183" s="6">
        <v>1.9732270380954002</v>
      </c>
      <c r="O183" s="6">
        <v>1.913156004987935</v>
      </c>
      <c r="P183" s="6">
        <v>2.937473049623557</v>
      </c>
      <c r="Q183" s="6">
        <v>2.6496547641160229</v>
      </c>
      <c r="R183" s="6">
        <v>17.146649869076438</v>
      </c>
      <c r="S183" s="6">
        <v>16.346998567451308</v>
      </c>
      <c r="T183" s="6">
        <v>16.819646835327148</v>
      </c>
      <c r="U183" s="6">
        <f>_xll.BDP($A183,"TRAILING_12M_R&amp;D_%_SALES",$A$1,$A$2)</f>
        <v>0</v>
      </c>
      <c r="V183" s="6">
        <v>45</v>
      </c>
      <c r="W183" s="6">
        <v>451020</v>
      </c>
      <c r="X183" s="6">
        <v>45102010</v>
      </c>
      <c r="Y183" s="7" t="s">
        <v>56</v>
      </c>
      <c r="Z183" s="7" t="s">
        <v>112</v>
      </c>
      <c r="AA183" s="7" t="s">
        <v>113</v>
      </c>
      <c r="AB183" s="6">
        <v>53.636455535888672</v>
      </c>
      <c r="AC183" s="6">
        <v>0.95782508858012705</v>
      </c>
      <c r="AD183" s="6">
        <v>34.509066949112288</v>
      </c>
      <c r="AE183" s="6">
        <v>355300</v>
      </c>
      <c r="AF183" s="6">
        <v>260000</v>
      </c>
    </row>
    <row r="184" spans="1:32" s="4" customFormat="1" ht="12.75" x14ac:dyDescent="0.2">
      <c r="A184" s="7" t="s">
        <v>670</v>
      </c>
      <c r="B184" s="7" t="s">
        <v>671</v>
      </c>
      <c r="C184" s="7" t="s">
        <v>672</v>
      </c>
      <c r="D184" s="6">
        <v>-0.88071560859680209</v>
      </c>
      <c r="E184" s="6">
        <v>-1.0836629867553711</v>
      </c>
      <c r="F184" s="6">
        <v>0.6303353905677801</v>
      </c>
      <c r="G184" s="6">
        <v>-0.88262003660202004</v>
      </c>
      <c r="H184" s="6">
        <v>-2.9602121561766004E-2</v>
      </c>
      <c r="I184" s="6">
        <v>0.22157107293605802</v>
      </c>
      <c r="J184" s="6">
        <v>1.456912040710449</v>
      </c>
      <c r="K184" s="6">
        <v>-1.369166374206543</v>
      </c>
      <c r="L184" s="6">
        <v>0.31488758325576804</v>
      </c>
      <c r="M184" s="6">
        <v>-8.1416800618172011E-2</v>
      </c>
      <c r="N184" s="6">
        <v>0.37282797843031301</v>
      </c>
      <c r="O184" s="6">
        <v>0.35949126083034605</v>
      </c>
      <c r="P184" s="6">
        <v>1.0894121033615121</v>
      </c>
      <c r="Q184" s="6">
        <v>0.99008338833500908</v>
      </c>
      <c r="R184" s="6">
        <v>13.14057055727398</v>
      </c>
      <c r="S184" s="6">
        <v>8.5722726579434223</v>
      </c>
      <c r="T184" s="6">
        <v>8.2553300857543945</v>
      </c>
      <c r="U184" s="6">
        <f>_xll.BDP($A184,"TRAILING_12M_R&amp;D_%_SALES",$A$1,$A$2)</f>
        <v>10.443347540950878</v>
      </c>
      <c r="V184" s="6">
        <v>25</v>
      </c>
      <c r="W184" s="6">
        <v>251010</v>
      </c>
      <c r="X184" s="6">
        <v>25101010</v>
      </c>
      <c r="Y184" s="7" t="s">
        <v>85</v>
      </c>
      <c r="Z184" s="7" t="s">
        <v>430</v>
      </c>
      <c r="AA184" s="7" t="s">
        <v>673</v>
      </c>
      <c r="AB184" s="6">
        <v>56.724674224853516</v>
      </c>
      <c r="AC184" s="6">
        <v>0.9397765071711931</v>
      </c>
      <c r="AD184" s="6">
        <v>44.51541138807471</v>
      </c>
      <c r="AE184" s="6">
        <v>199038</v>
      </c>
      <c r="AF184" s="6">
        <v>235473</v>
      </c>
    </row>
    <row r="185" spans="1:32" s="4" customFormat="1" ht="12.75" x14ac:dyDescent="0.2">
      <c r="A185" s="7" t="s">
        <v>674</v>
      </c>
      <c r="B185" s="7" t="s">
        <v>675</v>
      </c>
      <c r="C185" s="7" t="s">
        <v>676</v>
      </c>
      <c r="D185" s="6">
        <v>-0.88071560859680209</v>
      </c>
      <c r="E185" s="6">
        <v>-1.0836629867553711</v>
      </c>
      <c r="F185" s="6">
        <v>0.6303353905677801</v>
      </c>
      <c r="G185" s="6">
        <v>-0.88262003660202004</v>
      </c>
      <c r="H185" s="6">
        <v>-2.9602121561766004E-2</v>
      </c>
      <c r="I185" s="6">
        <v>0.22157107293605802</v>
      </c>
      <c r="J185" s="6">
        <v>1.456912040710449</v>
      </c>
      <c r="K185" s="6">
        <v>-1.369166374206543</v>
      </c>
      <c r="L185" s="6">
        <v>0.31488758325576804</v>
      </c>
      <c r="M185" s="6">
        <v>-8.1416800618172011E-2</v>
      </c>
      <c r="N185" s="6">
        <v>0.37282797843031301</v>
      </c>
      <c r="O185" s="6">
        <v>0.35466447266123702</v>
      </c>
      <c r="P185" s="6">
        <v>1.0894121033615121</v>
      </c>
      <c r="Q185" s="6">
        <v>0.97767381325121605</v>
      </c>
      <c r="R185" s="6">
        <v>13.14057055727398</v>
      </c>
      <c r="S185" s="6">
        <v>8.4648280999438068</v>
      </c>
      <c r="T185" s="6">
        <v>8.2553300857543945</v>
      </c>
      <c r="U185" s="6">
        <f>_xll.BDP($A185,"TRAILING_12M_R&amp;D_%_SALES",$A$1,$A$2)</f>
        <v>10.443347540950878</v>
      </c>
      <c r="V185" s="6">
        <v>25</v>
      </c>
      <c r="W185" s="6">
        <v>251010</v>
      </c>
      <c r="X185" s="6">
        <v>25101010</v>
      </c>
      <c r="Y185" s="7" t="s">
        <v>85</v>
      </c>
      <c r="Z185" s="7" t="s">
        <v>430</v>
      </c>
      <c r="AA185" s="7" t="s">
        <v>673</v>
      </c>
      <c r="AB185" s="6">
        <v>56.724674224853516</v>
      </c>
      <c r="AC185" s="6">
        <v>1.191523798828773</v>
      </c>
      <c r="AD185" s="6">
        <v>42.986033292365519</v>
      </c>
      <c r="AE185" s="6">
        <v>199038</v>
      </c>
      <c r="AF185" s="6">
        <v>235473</v>
      </c>
    </row>
    <row r="186" spans="1:32" s="4" customFormat="1" ht="12.75" x14ac:dyDescent="0.2">
      <c r="A186" s="7" t="s">
        <v>677</v>
      </c>
      <c r="B186" s="7" t="s">
        <v>678</v>
      </c>
      <c r="C186" s="7" t="s">
        <v>679</v>
      </c>
      <c r="D186" s="6">
        <v>-0.74699085950851407</v>
      </c>
      <c r="E186" s="6">
        <v>-0.96826070547103904</v>
      </c>
      <c r="F186" s="6">
        <v>-0.40763571858406106</v>
      </c>
      <c r="G186" s="6">
        <v>-0.37151116132736201</v>
      </c>
      <c r="H186" s="6">
        <v>-1.0084854364395139</v>
      </c>
      <c r="I186" s="6">
        <v>-1.1890571117401121</v>
      </c>
      <c r="J186" s="6">
        <v>9.3853227794170005E-2</v>
      </c>
      <c r="K186" s="6">
        <v>-0.48483517765998801</v>
      </c>
      <c r="L186" s="6">
        <v>-0.14762966334819802</v>
      </c>
      <c r="M186" s="6">
        <v>-0.10996849089860901</v>
      </c>
      <c r="N186" s="6">
        <v>1.9668834477617971</v>
      </c>
      <c r="O186" s="6">
        <v>1.9205163532351901</v>
      </c>
      <c r="P186" s="6">
        <v>1.3390093159763701</v>
      </c>
      <c r="Q186" s="6">
        <v>1.323208559078827</v>
      </c>
      <c r="R186" s="6">
        <v>24.501068765825313</v>
      </c>
      <c r="S186" s="6">
        <v>15.845669855493663</v>
      </c>
      <c r="T186" s="6">
        <v>3.7267830371856689</v>
      </c>
      <c r="U186" s="6">
        <f>_xll.BDP($A186,"TRAILING_12M_R&amp;D_%_SALES",$A$1,$A$2)</f>
        <v>8.2919328128696463</v>
      </c>
      <c r="V186" s="6">
        <v>15</v>
      </c>
      <c r="W186" s="6">
        <v>151010</v>
      </c>
      <c r="X186" s="6">
        <v>15101030</v>
      </c>
      <c r="Y186" s="7" t="s">
        <v>61</v>
      </c>
      <c r="Z186" s="7" t="s">
        <v>250</v>
      </c>
      <c r="AA186" s="7" t="s">
        <v>680</v>
      </c>
      <c r="AB186" s="6">
        <v>68.383460998535156</v>
      </c>
      <c r="AC186" s="6">
        <v>0.79504608332677107</v>
      </c>
      <c r="AD186" s="6">
        <v>-17.779348484948642</v>
      </c>
      <c r="AE186" s="6">
        <v>21000</v>
      </c>
      <c r="AF186" s="6"/>
    </row>
    <row r="187" spans="1:32" s="4" customFormat="1" ht="12.75" x14ac:dyDescent="0.2">
      <c r="A187" s="7" t="s">
        <v>681</v>
      </c>
      <c r="B187" s="7" t="s">
        <v>682</v>
      </c>
      <c r="C187" s="7" t="s">
        <v>683</v>
      </c>
      <c r="D187" s="6">
        <v>-3.0909048393369002E-2</v>
      </c>
      <c r="E187" s="6">
        <v>-0.186567038297653</v>
      </c>
      <c r="F187" s="6">
        <v>0.44013407826423606</v>
      </c>
      <c r="G187" s="6">
        <v>-0.23123311996460003</v>
      </c>
      <c r="H187" s="6">
        <v>-0.99256366491317705</v>
      </c>
      <c r="I187" s="6">
        <v>-0.23260159790515902</v>
      </c>
      <c r="J187" s="6">
        <v>1.406508684158325</v>
      </c>
      <c r="K187" s="6">
        <v>-0.79142063856124911</v>
      </c>
      <c r="L187" s="6">
        <v>3.0000102519989009</v>
      </c>
      <c r="M187" s="6">
        <v>-0.39207875728607205</v>
      </c>
      <c r="N187" s="6">
        <v>1.3945158191383531</v>
      </c>
      <c r="O187" s="6">
        <v>1.7555088593584411</v>
      </c>
      <c r="P187" s="6">
        <v>1.4153249599408251</v>
      </c>
      <c r="Q187" s="6">
        <v>1.017183729087157</v>
      </c>
      <c r="R187" s="6">
        <v>7.9066920063307178</v>
      </c>
      <c r="S187" s="6">
        <v>7.1596264508222607</v>
      </c>
      <c r="T187" s="6">
        <v>15.42402458190918</v>
      </c>
      <c r="U187" s="6">
        <f>_xll.BDP($A187,"TRAILING_12M_R&amp;D_%_SALES",$A$1,$A$2)</f>
        <v>0.97182632523091039</v>
      </c>
      <c r="V187" s="6">
        <v>10</v>
      </c>
      <c r="W187" s="6">
        <v>101020</v>
      </c>
      <c r="X187" s="6">
        <v>10102050</v>
      </c>
      <c r="Y187" s="7" t="s">
        <v>387</v>
      </c>
      <c r="Z187" s="7" t="s">
        <v>516</v>
      </c>
      <c r="AA187" s="7" t="s">
        <v>517</v>
      </c>
      <c r="AB187" s="6">
        <v>59.108741760253906</v>
      </c>
      <c r="AC187" s="6">
        <v>0.36421820845339203</v>
      </c>
      <c r="AD187" s="6">
        <v>17.216071298595214</v>
      </c>
      <c r="AE187" s="6">
        <v>83029</v>
      </c>
      <c r="AF187" s="6">
        <v>89057</v>
      </c>
    </row>
    <row r="188" spans="1:32" s="4" customFormat="1" ht="12.75" x14ac:dyDescent="0.2">
      <c r="A188" s="7" t="s">
        <v>684</v>
      </c>
      <c r="B188" s="7" t="s">
        <v>685</v>
      </c>
      <c r="C188" s="7" t="s">
        <v>686</v>
      </c>
      <c r="D188" s="6">
        <v>-0.94786632061004605</v>
      </c>
      <c r="E188" s="6">
        <v>-1.6550062894821171</v>
      </c>
      <c r="F188" s="6">
        <v>2.4342517852783199</v>
      </c>
      <c r="G188" s="6">
        <v>-0.10371991246938701</v>
      </c>
      <c r="H188" s="6">
        <v>2.1007146835327148</v>
      </c>
      <c r="I188" s="6">
        <v>1.0840598344802861</v>
      </c>
      <c r="J188" s="6">
        <v>2.4670176208019003E-2</v>
      </c>
      <c r="K188" s="6">
        <v>-0.18683379888534501</v>
      </c>
      <c r="L188" s="6">
        <v>-0.72281217575073209</v>
      </c>
      <c r="M188" s="6">
        <v>0.88712316751480103</v>
      </c>
      <c r="N188" s="6">
        <v>0.97970575981239605</v>
      </c>
      <c r="O188" s="6">
        <v>0.94292991677353211</v>
      </c>
      <c r="P188" s="6">
        <v>3.0778672918208789</v>
      </c>
      <c r="Q188" s="6">
        <v>2.782699125799371</v>
      </c>
      <c r="R188" s="6"/>
      <c r="S188" s="6">
        <v>17.315279751537677</v>
      </c>
      <c r="T188" s="6">
        <v>-1.061084032058716</v>
      </c>
      <c r="U188" s="6" t="str">
        <f>_xll.BDP($A188,"TRAILING_12M_R&amp;D_%_SALES",$A$1,$A$2)</f>
        <v>#N/A N/A</v>
      </c>
      <c r="V188" s="6">
        <v>25</v>
      </c>
      <c r="W188" s="6">
        <v>253010</v>
      </c>
      <c r="X188" s="6">
        <v>25301020</v>
      </c>
      <c r="Y188" s="7" t="s">
        <v>85</v>
      </c>
      <c r="Z188" s="7" t="s">
        <v>86</v>
      </c>
      <c r="AA188" s="7" t="s">
        <v>87</v>
      </c>
      <c r="AB188" s="6">
        <v>62.35791015625</v>
      </c>
      <c r="AC188" s="6">
        <v>1.8128733689163381</v>
      </c>
      <c r="AD188" s="6">
        <v>133.84189349719779</v>
      </c>
      <c r="AE188" s="6"/>
      <c r="AF188" s="6">
        <v>120000</v>
      </c>
    </row>
    <row r="189" spans="1:32" s="4" customFormat="1" ht="12.75" x14ac:dyDescent="0.2">
      <c r="A189" s="7" t="s">
        <v>687</v>
      </c>
      <c r="B189" s="7" t="s">
        <v>688</v>
      </c>
      <c r="C189" s="7" t="s">
        <v>689</v>
      </c>
      <c r="D189" s="6">
        <v>-0.94786632061004605</v>
      </c>
      <c r="E189" s="6">
        <v>-1.6550062894821171</v>
      </c>
      <c r="F189" s="6">
        <v>2.4342517852783199</v>
      </c>
      <c r="G189" s="6">
        <v>-0.10371991246938701</v>
      </c>
      <c r="H189" s="6">
        <v>2.1007146835327148</v>
      </c>
      <c r="I189" s="6">
        <v>1.0840598344802861</v>
      </c>
      <c r="J189" s="6">
        <v>2.4670176208019003E-2</v>
      </c>
      <c r="K189" s="6">
        <v>-0.18683379888534501</v>
      </c>
      <c r="L189" s="6">
        <v>-0.72281217575073209</v>
      </c>
      <c r="M189" s="6">
        <v>0.88712316751480103</v>
      </c>
      <c r="N189" s="6">
        <v>0.97970575981239605</v>
      </c>
      <c r="O189" s="6">
        <v>0.94232306450431502</v>
      </c>
      <c r="P189" s="6">
        <v>3.0778672918208789</v>
      </c>
      <c r="Q189" s="6">
        <v>2.6952238948378722</v>
      </c>
      <c r="R189" s="6"/>
      <c r="S189" s="6">
        <v>16.770967187744557</v>
      </c>
      <c r="T189" s="6">
        <v>-1.061084032058716</v>
      </c>
      <c r="U189" s="6" t="str">
        <f>_xll.BDP($A189,"TRAILING_12M_R&amp;D_%_SALES",$A$1,$A$2)</f>
        <v>#N/A N/A</v>
      </c>
      <c r="V189" s="6">
        <v>25</v>
      </c>
      <c r="W189" s="6">
        <v>253010</v>
      </c>
      <c r="X189" s="6">
        <v>25301020</v>
      </c>
      <c r="Y189" s="7" t="s">
        <v>85</v>
      </c>
      <c r="Z189" s="7" t="s">
        <v>86</v>
      </c>
      <c r="AA189" s="7" t="s">
        <v>87</v>
      </c>
      <c r="AB189" s="6">
        <v>62.35791015625</v>
      </c>
      <c r="AC189" s="6">
        <v>0.73156128910357709</v>
      </c>
      <c r="AD189" s="6">
        <v>148.55402583005767</v>
      </c>
      <c r="AE189" s="6"/>
      <c r="AF189" s="6">
        <v>120000</v>
      </c>
    </row>
    <row r="190" spans="1:32" s="4" customFormat="1" ht="12.75" x14ac:dyDescent="0.2">
      <c r="A190" s="7" t="s">
        <v>690</v>
      </c>
      <c r="B190" s="7" t="s">
        <v>691</v>
      </c>
      <c r="C190" s="7" t="s">
        <v>692</v>
      </c>
      <c r="D190" s="6">
        <v>-0.57123261690139804</v>
      </c>
      <c r="E190" s="6">
        <v>-0.65575850009918202</v>
      </c>
      <c r="F190" s="6">
        <v>0.287242472171783</v>
      </c>
      <c r="G190" s="6">
        <v>-0.24812348186969801</v>
      </c>
      <c r="H190" s="6">
        <v>-0.24951742589473702</v>
      </c>
      <c r="I190" s="6">
        <v>-4.9010798335075004E-2</v>
      </c>
      <c r="J190" s="6">
        <v>1.159889221191406</v>
      </c>
      <c r="K190" s="6">
        <v>0.74030923843383811</v>
      </c>
      <c r="L190" s="6">
        <v>0.24151422083377802</v>
      </c>
      <c r="M190" s="6">
        <v>0.95318782329559304</v>
      </c>
      <c r="N190" s="6">
        <v>0.79355396894667707</v>
      </c>
      <c r="O190" s="6">
        <v>0.77306016686386603</v>
      </c>
      <c r="P190" s="6">
        <v>1.471395763064471</v>
      </c>
      <c r="Q190" s="6">
        <v>1.2708946586851799</v>
      </c>
      <c r="R190" s="6">
        <v>10.156828146001708</v>
      </c>
      <c r="S190" s="6">
        <v>7.3207337204068281</v>
      </c>
      <c r="T190" s="6">
        <v>14.944723129272461</v>
      </c>
      <c r="U190" s="6">
        <f>_xll.BDP($A190,"TRAILING_12M_R&amp;D_%_SALES",$A$1,$A$2)</f>
        <v>0</v>
      </c>
      <c r="V190" s="6">
        <v>10</v>
      </c>
      <c r="W190" s="6">
        <v>101020</v>
      </c>
      <c r="X190" s="6">
        <v>10102010</v>
      </c>
      <c r="Y190" s="7" t="s">
        <v>387</v>
      </c>
      <c r="Z190" s="7" t="s">
        <v>516</v>
      </c>
      <c r="AA190" s="7" t="s">
        <v>693</v>
      </c>
      <c r="AB190" s="6">
        <v>59.078563690185547</v>
      </c>
      <c r="AC190" s="6">
        <v>0.87541954391479904</v>
      </c>
      <c r="AD190" s="6">
        <v>-11.810868583732903</v>
      </c>
      <c r="AE190" s="6">
        <v>5998</v>
      </c>
      <c r="AF190" s="6">
        <v>2882</v>
      </c>
    </row>
    <row r="191" spans="1:32" s="4" customFormat="1" ht="12.75" x14ac:dyDescent="0.2">
      <c r="A191" s="7" t="s">
        <v>694</v>
      </c>
      <c r="B191" s="7" t="s">
        <v>695</v>
      </c>
      <c r="C191" s="7" t="s">
        <v>696</v>
      </c>
      <c r="D191" s="6">
        <v>0.71014487743377708</v>
      </c>
      <c r="E191" s="6">
        <v>-1.072985887527466</v>
      </c>
      <c r="F191" s="6">
        <v>9.4489336013794001E-2</v>
      </c>
      <c r="G191" s="6">
        <v>-0.193072885274887</v>
      </c>
      <c r="H191" s="6">
        <v>0.79221075773239102</v>
      </c>
      <c r="I191" s="6">
        <v>-1.5529109239578252</v>
      </c>
      <c r="J191" s="6">
        <v>1.008877754211426</v>
      </c>
      <c r="K191" s="6">
        <v>-0.74777042865753207</v>
      </c>
      <c r="L191" s="6">
        <v>0.86785411834716808</v>
      </c>
      <c r="M191" s="6">
        <v>-0.42115601897239702</v>
      </c>
      <c r="N191" s="6">
        <v>0.29295872876154705</v>
      </c>
      <c r="O191" s="6">
        <v>0.28273918773356105</v>
      </c>
      <c r="P191" s="6">
        <v>1.367038201784734</v>
      </c>
      <c r="Q191" s="6">
        <v>1.22244233926354</v>
      </c>
      <c r="R191" s="6">
        <v>10.492462676456165</v>
      </c>
      <c r="S191" s="6">
        <v>9.2715663102036032</v>
      </c>
      <c r="T191" s="6">
        <v>11.90456485748291</v>
      </c>
      <c r="U191" s="6" t="str">
        <f>_xll.BDP($A191,"TRAILING_12M_R&amp;D_%_SALES",$A$1,$A$2)</f>
        <v>#N/A N/A</v>
      </c>
      <c r="V191" s="6">
        <v>35</v>
      </c>
      <c r="W191" s="6">
        <v>351020</v>
      </c>
      <c r="X191" s="6">
        <v>35102015</v>
      </c>
      <c r="Y191" s="7" t="s">
        <v>72</v>
      </c>
      <c r="Z191" s="7" t="s">
        <v>467</v>
      </c>
      <c r="AA191" s="7" t="s">
        <v>551</v>
      </c>
      <c r="AB191" s="6">
        <v>64.681625366210938</v>
      </c>
      <c r="AC191" s="6">
        <v>0.71512942422335701</v>
      </c>
      <c r="AD191" s="6">
        <v>-12.784461149714133</v>
      </c>
      <c r="AE191" s="6">
        <v>219000</v>
      </c>
      <c r="AF191" s="6">
        <v>160000</v>
      </c>
    </row>
    <row r="192" spans="1:32" s="4" customFormat="1" ht="12.75" x14ac:dyDescent="0.2">
      <c r="A192" s="7" t="s">
        <v>697</v>
      </c>
      <c r="B192" s="7" t="s">
        <v>698</v>
      </c>
      <c r="C192" s="7" t="s">
        <v>699</v>
      </c>
      <c r="D192" s="6">
        <v>1.024519205093384</v>
      </c>
      <c r="E192" s="6">
        <v>-0.28645980358123802</v>
      </c>
      <c r="F192" s="6">
        <v>-0.30622500181198103</v>
      </c>
      <c r="G192" s="6">
        <v>-0.44776839017868003</v>
      </c>
      <c r="H192" s="6">
        <v>-0.96032702922821012</v>
      </c>
      <c r="I192" s="6">
        <v>-0.38232117891311601</v>
      </c>
      <c r="J192" s="6">
        <v>0.90531301498413108</v>
      </c>
      <c r="K192" s="6">
        <v>0.12275552004575702</v>
      </c>
      <c r="L192" s="6">
        <v>0.95687979459762607</v>
      </c>
      <c r="M192" s="6">
        <v>0.32355821132659901</v>
      </c>
      <c r="N192" s="6">
        <v>1.3888880008848781</v>
      </c>
      <c r="O192" s="6">
        <v>1.3798108014823791</v>
      </c>
      <c r="P192" s="6">
        <v>1.7037884624099331</v>
      </c>
      <c r="Q192" s="6">
        <v>1.677495060146984</v>
      </c>
      <c r="R192" s="6">
        <v>10.702599838029752</v>
      </c>
      <c r="S192" s="6">
        <v>10.70505821214544</v>
      </c>
      <c r="T192" s="6">
        <v>15.720569610595703</v>
      </c>
      <c r="U192" s="6" t="str">
        <f>_xll.BDP($A192,"TRAILING_12M_R&amp;D_%_SALES",$A$1,$A$2)</f>
        <v>#N/A N/A</v>
      </c>
      <c r="V192" s="6">
        <v>10</v>
      </c>
      <c r="W192" s="6">
        <v>101020</v>
      </c>
      <c r="X192" s="6">
        <v>10102010</v>
      </c>
      <c r="Y192" s="7" t="s">
        <v>387</v>
      </c>
      <c r="Z192" s="7" t="s">
        <v>516</v>
      </c>
      <c r="AA192" s="7" t="s">
        <v>693</v>
      </c>
      <c r="AB192" s="6">
        <v>61.834823608398438</v>
      </c>
      <c r="AC192" s="6">
        <v>0.71564486054330101</v>
      </c>
      <c r="AD192" s="6">
        <v>-13.05600362599073</v>
      </c>
      <c r="AE192" s="6">
        <v>43846</v>
      </c>
      <c r="AF192" s="6">
        <v>51900</v>
      </c>
    </row>
    <row r="193" spans="1:32" s="4" customFormat="1" ht="12.75" x14ac:dyDescent="0.2">
      <c r="A193" s="7" t="s">
        <v>700</v>
      </c>
      <c r="B193" s="7" t="s">
        <v>701</v>
      </c>
      <c r="C193" s="7" t="s">
        <v>702</v>
      </c>
      <c r="D193" s="6">
        <v>-0.49787667393684404</v>
      </c>
      <c r="E193" s="6">
        <v>-0.82716906070709206</v>
      </c>
      <c r="F193" s="6">
        <v>0.94109278917312611</v>
      </c>
      <c r="G193" s="6">
        <v>-0.32594755291938804</v>
      </c>
      <c r="H193" s="6">
        <v>1.4247032403945921</v>
      </c>
      <c r="I193" s="6">
        <v>-2.0911605358123779</v>
      </c>
      <c r="J193" s="6">
        <v>0.62000870704650901</v>
      </c>
      <c r="K193" s="6">
        <v>-1.126546382904053</v>
      </c>
      <c r="L193" s="6">
        <v>2.1616122722625732</v>
      </c>
      <c r="M193" s="6">
        <v>-0.94285506010055509</v>
      </c>
      <c r="N193" s="6">
        <v>2.2094089175160661</v>
      </c>
      <c r="O193" s="6">
        <v>2.3118941420240229</v>
      </c>
      <c r="P193" s="6">
        <v>1.4989140849724252</v>
      </c>
      <c r="Q193" s="6">
        <v>1.351584584778398</v>
      </c>
      <c r="R193" s="6">
        <v>10.459240956178302</v>
      </c>
      <c r="S193" s="6">
        <v>15.007536264365879</v>
      </c>
      <c r="T193" s="6">
        <v>7.6440091133117676</v>
      </c>
      <c r="U193" s="6" t="str">
        <f>_xll.BDP($A193,"TRAILING_12M_R&amp;D_%_SALES",$A$1,$A$2)</f>
        <v>#N/A N/A</v>
      </c>
      <c r="V193" s="6">
        <v>55</v>
      </c>
      <c r="W193" s="6">
        <v>551030</v>
      </c>
      <c r="X193" s="6">
        <v>55103010</v>
      </c>
      <c r="Y193" s="7" t="s">
        <v>154</v>
      </c>
      <c r="Z193" s="7" t="s">
        <v>703</v>
      </c>
      <c r="AA193" s="7" t="s">
        <v>703</v>
      </c>
      <c r="AB193" s="6">
        <v>63.273311614990234</v>
      </c>
      <c r="AC193" s="6">
        <v>0.72881886903040904</v>
      </c>
      <c r="AD193" s="6">
        <v>-19.531167646230905</v>
      </c>
      <c r="AE193" s="6">
        <v>17200</v>
      </c>
      <c r="AF193" s="6">
        <v>16200</v>
      </c>
    </row>
    <row r="194" spans="1:32" s="4" customFormat="1" ht="12.75" x14ac:dyDescent="0.2">
      <c r="A194" s="7" t="s">
        <v>704</v>
      </c>
      <c r="B194" s="7" t="s">
        <v>705</v>
      </c>
      <c r="C194" s="7" t="s">
        <v>706</v>
      </c>
      <c r="D194" s="6">
        <v>-0.49044492840766901</v>
      </c>
      <c r="E194" s="6">
        <v>-0.52632808685302701</v>
      </c>
      <c r="F194" s="6">
        <v>-0.13044971227645902</v>
      </c>
      <c r="G194" s="6">
        <v>1.956278920173645</v>
      </c>
      <c r="H194" s="6">
        <v>1.266569852828979</v>
      </c>
      <c r="I194" s="6">
        <v>0.136756792664528</v>
      </c>
      <c r="J194" s="6">
        <v>1.735123872756958</v>
      </c>
      <c r="K194" s="6">
        <v>-0.75214242935180708</v>
      </c>
      <c r="L194" s="6">
        <v>-0.21986636519432101</v>
      </c>
      <c r="M194" s="6">
        <v>0.33727267384529103</v>
      </c>
      <c r="N194" s="6">
        <v>0.44878656527188204</v>
      </c>
      <c r="O194" s="6">
        <v>0.45783245775867504</v>
      </c>
      <c r="P194" s="6">
        <v>2.7962411877151081</v>
      </c>
      <c r="Q194" s="6">
        <v>1.841864356960111</v>
      </c>
      <c r="R194" s="6">
        <v>7.497927044837966</v>
      </c>
      <c r="S194" s="6">
        <v>6.1672563084162366</v>
      </c>
      <c r="T194" s="6">
        <v>49.218299865722656</v>
      </c>
      <c r="U194" s="6" t="str">
        <f>_xll.BDP($A194,"TRAILING_12M_R&amp;D_%_SALES",$A$1,$A$2)</f>
        <v>#N/A N/A</v>
      </c>
      <c r="V194" s="6">
        <v>20</v>
      </c>
      <c r="W194" s="6">
        <v>203020</v>
      </c>
      <c r="X194" s="6">
        <v>20302010</v>
      </c>
      <c r="Y194" s="7" t="s">
        <v>38</v>
      </c>
      <c r="Z194" s="7" t="s">
        <v>52</v>
      </c>
      <c r="AA194" s="7" t="s">
        <v>52</v>
      </c>
      <c r="AB194" s="6">
        <v>62.217079162597656</v>
      </c>
      <c r="AC194" s="6">
        <v>1.1157458101081259</v>
      </c>
      <c r="AD194" s="6">
        <v>23.521497504986044</v>
      </c>
      <c r="AE194" s="6">
        <v>95000</v>
      </c>
      <c r="AF194" s="6">
        <v>86564</v>
      </c>
    </row>
    <row r="195" spans="1:32" s="4" customFormat="1" ht="12.75" x14ac:dyDescent="0.2">
      <c r="A195" s="7" t="s">
        <v>707</v>
      </c>
      <c r="B195" s="7" t="s">
        <v>708</v>
      </c>
      <c r="C195" s="7" t="s">
        <v>709</v>
      </c>
      <c r="D195" s="6">
        <v>-0.58576232194900502</v>
      </c>
      <c r="E195" s="6">
        <v>-0.7954437732696531</v>
      </c>
      <c r="F195" s="6">
        <v>-0.15754808485508001</v>
      </c>
      <c r="G195" s="6">
        <v>-0.96381866931915305</v>
      </c>
      <c r="H195" s="6">
        <v>0.13472239673137701</v>
      </c>
      <c r="I195" s="6">
        <v>-0.22993004322052002</v>
      </c>
      <c r="J195" s="6">
        <v>0.22786884009838101</v>
      </c>
      <c r="K195" s="6">
        <v>-1.2879881858825679</v>
      </c>
      <c r="L195" s="6">
        <v>1.0342333316802981</v>
      </c>
      <c r="M195" s="6">
        <v>-0.97306883335113503</v>
      </c>
      <c r="N195" s="6">
        <v>1.3173614233687581</v>
      </c>
      <c r="O195" s="6">
        <v>1.4279124461709389</v>
      </c>
      <c r="P195" s="6">
        <v>2.2811740239718419</v>
      </c>
      <c r="Q195" s="6">
        <v>1.897179070172583</v>
      </c>
      <c r="R195" s="6">
        <v>28.664954045353767</v>
      </c>
      <c r="S195" s="6">
        <v>16.352976563829813</v>
      </c>
      <c r="T195" s="6">
        <v>7.5157890319824219</v>
      </c>
      <c r="U195" s="6">
        <f>_xll.BDP($A195,"TRAILING_12M_R&amp;D_%_SALES",$A$1,$A$2)</f>
        <v>1.5619831673343378</v>
      </c>
      <c r="V195" s="6">
        <v>30</v>
      </c>
      <c r="W195" s="6">
        <v>302020</v>
      </c>
      <c r="X195" s="6">
        <v>30202030</v>
      </c>
      <c r="Y195" s="7" t="s">
        <v>106</v>
      </c>
      <c r="Z195" s="7" t="s">
        <v>135</v>
      </c>
      <c r="AA195" s="7" t="s">
        <v>710</v>
      </c>
      <c r="AB195" s="6">
        <v>63.011768341064453</v>
      </c>
      <c r="AC195" s="6">
        <v>0.51554860188625706</v>
      </c>
      <c r="AD195" s="6">
        <v>25.911953627809069</v>
      </c>
      <c r="AE195" s="6">
        <v>96166</v>
      </c>
      <c r="AF195" s="6">
        <v>104843</v>
      </c>
    </row>
    <row r="196" spans="1:32" s="4" customFormat="1" ht="12.75" x14ac:dyDescent="0.2">
      <c r="A196" s="7" t="s">
        <v>711</v>
      </c>
      <c r="B196" s="7" t="s">
        <v>712</v>
      </c>
      <c r="C196" s="7" t="s">
        <v>713</v>
      </c>
      <c r="D196" s="6">
        <v>0.29383108019828802</v>
      </c>
      <c r="E196" s="6">
        <v>-1.098856925964355</v>
      </c>
      <c r="F196" s="6">
        <v>0.87141293287277211</v>
      </c>
      <c r="G196" s="6">
        <v>-0.97938442230224609</v>
      </c>
      <c r="H196" s="6">
        <v>1.1403940916061399</v>
      </c>
      <c r="I196" s="6">
        <v>0.22602654993534102</v>
      </c>
      <c r="J196" s="6">
        <v>1.4172846078872681</v>
      </c>
      <c r="K196" s="6">
        <v>-1.250519990921021</v>
      </c>
      <c r="L196" s="6">
        <v>0.67280405759811401</v>
      </c>
      <c r="M196" s="6">
        <v>-0.96873009204864513</v>
      </c>
      <c r="N196" s="6">
        <v>0.47068141991441603</v>
      </c>
      <c r="O196" s="6">
        <v>0.84830101171410111</v>
      </c>
      <c r="P196" s="6">
        <v>0.39964780569991804</v>
      </c>
      <c r="Q196" s="6">
        <v>0.36479262001525503</v>
      </c>
      <c r="R196" s="6">
        <v>5.2392117421726496</v>
      </c>
      <c r="S196" s="6">
        <v>5.5535070913325235</v>
      </c>
      <c r="T196" s="6">
        <v>7.5904297828674316</v>
      </c>
      <c r="U196" s="6" t="str">
        <f>_xll.BDP($A196,"TRAILING_12M_R&amp;D_%_SALES",$A$1,$A$2)</f>
        <v>#N/A N/A</v>
      </c>
      <c r="V196" s="6">
        <v>40</v>
      </c>
      <c r="W196" s="6">
        <v>402030</v>
      </c>
      <c r="X196" s="6">
        <v>40203030</v>
      </c>
      <c r="Y196" s="7" t="s">
        <v>43</v>
      </c>
      <c r="Z196" s="7" t="s">
        <v>212</v>
      </c>
      <c r="AA196" s="7" t="s">
        <v>714</v>
      </c>
      <c r="AB196" s="6">
        <v>60.004024505615234</v>
      </c>
      <c r="AC196" s="6">
        <v>1.0679062869543201</v>
      </c>
      <c r="AD196" s="6">
        <v>22.165620933836429</v>
      </c>
      <c r="AE196" s="6">
        <v>84930</v>
      </c>
      <c r="AF196" s="6">
        <v>97535</v>
      </c>
    </row>
    <row r="197" spans="1:32" s="4" customFormat="1" ht="12.75" x14ac:dyDescent="0.2">
      <c r="A197" s="7" t="s">
        <v>715</v>
      </c>
      <c r="B197" s="7" t="s">
        <v>716</v>
      </c>
      <c r="C197" s="7" t="s">
        <v>717</v>
      </c>
      <c r="D197" s="6">
        <v>-0.52528041601181008</v>
      </c>
      <c r="E197" s="6">
        <v>-0.11002300679683701</v>
      </c>
      <c r="F197" s="6">
        <v>-0.65413433313369806</v>
      </c>
      <c r="G197" s="6">
        <v>-0.95124107599258412</v>
      </c>
      <c r="H197" s="6">
        <v>-0.59704822301864602</v>
      </c>
      <c r="I197" s="6">
        <v>-0.60604244470596302</v>
      </c>
      <c r="J197" s="6">
        <v>0.10210283845663101</v>
      </c>
      <c r="K197" s="6">
        <v>-0.7016049027442931</v>
      </c>
      <c r="L197" s="6">
        <v>0.30183321237564104</v>
      </c>
      <c r="M197" s="6">
        <v>-1.123742818832397</v>
      </c>
      <c r="N197" s="6">
        <v>7.3549698056463439</v>
      </c>
      <c r="O197" s="6">
        <v>6.134001326004662</v>
      </c>
      <c r="P197" s="6">
        <v>4.1027398225905962</v>
      </c>
      <c r="Q197" s="6">
        <v>3.2776107992361649</v>
      </c>
      <c r="R197" s="6">
        <v>20.771323974791912</v>
      </c>
      <c r="S197" s="6">
        <v>18.285311177211764</v>
      </c>
      <c r="T197" s="6">
        <v>20.295633316040039</v>
      </c>
      <c r="U197" s="6" t="str">
        <f>_xll.BDP($A197,"TRAILING_12M_R&amp;D_%_SALES",$A$1,$A$2)</f>
        <v>#N/A N/A</v>
      </c>
      <c r="V197" s="6">
        <v>40</v>
      </c>
      <c r="W197" s="6">
        <v>402030</v>
      </c>
      <c r="X197" s="6">
        <v>40203040</v>
      </c>
      <c r="Y197" s="7" t="s">
        <v>43</v>
      </c>
      <c r="Z197" s="7" t="s">
        <v>212</v>
      </c>
      <c r="AA197" s="7" t="s">
        <v>579</v>
      </c>
      <c r="AB197" s="6">
        <v>54.149482727050781</v>
      </c>
      <c r="AC197" s="6">
        <v>0.45454622385366805</v>
      </c>
      <c r="AD197" s="6">
        <v>23.907576933313667</v>
      </c>
      <c r="AE197" s="6">
        <v>10143</v>
      </c>
      <c r="AF197" s="6">
        <v>5640</v>
      </c>
    </row>
    <row r="198" spans="1:32" s="4" customFormat="1" ht="12.75" x14ac:dyDescent="0.2">
      <c r="A198" s="7" t="s">
        <v>718</v>
      </c>
      <c r="B198" s="7" t="s">
        <v>719</v>
      </c>
      <c r="C198" s="7" t="s">
        <v>720</v>
      </c>
      <c r="D198" s="6">
        <v>-0.52528041601181008</v>
      </c>
      <c r="E198" s="6">
        <v>-0.11002300679683701</v>
      </c>
      <c r="F198" s="6">
        <v>-0.65413433313369806</v>
      </c>
      <c r="G198" s="6">
        <v>-0.95124107599258412</v>
      </c>
      <c r="H198" s="6">
        <v>-0.59704822301864602</v>
      </c>
      <c r="I198" s="6">
        <v>-0.60604244470596302</v>
      </c>
      <c r="J198" s="6">
        <v>0.10210283845663101</v>
      </c>
      <c r="K198" s="6">
        <v>-0.7016049027442931</v>
      </c>
      <c r="L198" s="6">
        <v>0.30183321237564104</v>
      </c>
      <c r="M198" s="6">
        <v>-1.123742818832397</v>
      </c>
      <c r="N198" s="6">
        <v>7.3549698056463439</v>
      </c>
      <c r="O198" s="6"/>
      <c r="P198" s="6">
        <v>4.1027398225905962</v>
      </c>
      <c r="Q198" s="6"/>
      <c r="R198" s="6">
        <v>20.771323974791912</v>
      </c>
      <c r="S198" s="6"/>
      <c r="T198" s="6">
        <v>20.295633316040039</v>
      </c>
      <c r="U198" s="6" t="str">
        <f>_xll.BDP($A198,"TRAILING_12M_R&amp;D_%_SALES",$A$1,$A$2)</f>
        <v>#N/A N/A</v>
      </c>
      <c r="V198" s="6">
        <v>40</v>
      </c>
      <c r="W198" s="6">
        <v>402030</v>
      </c>
      <c r="X198" s="6">
        <v>40203040</v>
      </c>
      <c r="Y198" s="7" t="s">
        <v>43</v>
      </c>
      <c r="Z198" s="7" t="s">
        <v>212</v>
      </c>
      <c r="AA198" s="7" t="s">
        <v>579</v>
      </c>
      <c r="AB198" s="6">
        <v>54.149482727050781</v>
      </c>
      <c r="AC198" s="6">
        <v>0.58989359234642003</v>
      </c>
      <c r="AD198" s="6">
        <v>20.420366302053459</v>
      </c>
      <c r="AE198" s="6">
        <v>10143</v>
      </c>
      <c r="AF198" s="6">
        <v>5640</v>
      </c>
    </row>
    <row r="199" spans="1:32" s="4" customFormat="1" ht="12.75" x14ac:dyDescent="0.2">
      <c r="A199" s="7" t="s">
        <v>721</v>
      </c>
      <c r="B199" s="7" t="s">
        <v>722</v>
      </c>
      <c r="C199" s="7" t="s">
        <v>723</v>
      </c>
      <c r="D199" s="6">
        <v>1.8416637554765001E-2</v>
      </c>
      <c r="E199" s="6">
        <v>-1.15749180316925</v>
      </c>
      <c r="F199" s="6">
        <v>5.9919081628323004E-2</v>
      </c>
      <c r="G199" s="6">
        <v>-0.56511163711547907</v>
      </c>
      <c r="H199" s="6">
        <v>-0.58460402488708507</v>
      </c>
      <c r="I199" s="6">
        <v>0.58766669034957908</v>
      </c>
      <c r="J199" s="6">
        <v>0.57356554269790605</v>
      </c>
      <c r="K199" s="6">
        <v>-1.4057186841964722</v>
      </c>
      <c r="L199" s="6">
        <v>0.55690169334411599</v>
      </c>
      <c r="M199" s="6">
        <v>-0.96666699647903409</v>
      </c>
      <c r="N199" s="6">
        <v>0.301899390354607</v>
      </c>
      <c r="O199" s="6">
        <v>0.303508793220855</v>
      </c>
      <c r="P199" s="6">
        <v>0.97931138971524412</v>
      </c>
      <c r="Q199" s="6">
        <v>0.83701046995944406</v>
      </c>
      <c r="R199" s="6">
        <v>12.273109509907204</v>
      </c>
      <c r="S199" s="6">
        <v>9.5649661860376618</v>
      </c>
      <c r="T199" s="6">
        <v>7.0868592262268066</v>
      </c>
      <c r="U199" s="6" t="str">
        <f>_xll.BDP($A199,"TRAILING_12M_R&amp;D_%_SALES",$A$1,$A$2)</f>
        <v>#N/A N/A</v>
      </c>
      <c r="V199" s="6">
        <v>40</v>
      </c>
      <c r="W199" s="6">
        <v>403010</v>
      </c>
      <c r="X199" s="6">
        <v>40301020</v>
      </c>
      <c r="Y199" s="7" t="s">
        <v>43</v>
      </c>
      <c r="Z199" s="7" t="s">
        <v>44</v>
      </c>
      <c r="AA199" s="7" t="s">
        <v>45</v>
      </c>
      <c r="AB199" s="6">
        <v>57.137107849121094</v>
      </c>
      <c r="AC199" s="6">
        <v>0.22582909917260402</v>
      </c>
      <c r="AD199" s="6"/>
      <c r="AE199" s="6">
        <v>60997</v>
      </c>
      <c r="AF199" s="6">
        <v>62943</v>
      </c>
    </row>
    <row r="200" spans="1:32" s="4" customFormat="1" ht="12.75" x14ac:dyDescent="0.2">
      <c r="A200" s="7" t="s">
        <v>724</v>
      </c>
      <c r="B200" s="7" t="s">
        <v>725</v>
      </c>
      <c r="C200" s="7" t="s">
        <v>726</v>
      </c>
      <c r="D200" s="6">
        <v>-0.86391299962997403</v>
      </c>
      <c r="E200" s="6">
        <v>-0.93503433465957608</v>
      </c>
      <c r="F200" s="6">
        <v>-0.34293866157531705</v>
      </c>
      <c r="G200" s="6">
        <v>-0.13649500906467402</v>
      </c>
      <c r="H200" s="6">
        <v>-0.32545766234397905</v>
      </c>
      <c r="I200" s="6">
        <v>0.41719660162925704</v>
      </c>
      <c r="J200" s="6">
        <v>0.11110787093639402</v>
      </c>
      <c r="K200" s="6">
        <v>-1.2727289199829102</v>
      </c>
      <c r="L200" s="6">
        <v>0.16332261264324202</v>
      </c>
      <c r="M200" s="6">
        <v>-0.10380741953849801</v>
      </c>
      <c r="N200" s="6">
        <v>2.8931466971000712</v>
      </c>
      <c r="O200" s="6">
        <v>2.598120523593817</v>
      </c>
      <c r="P200" s="6">
        <v>1.3674272654449009</v>
      </c>
      <c r="Q200" s="6">
        <v>1.3251227267381001</v>
      </c>
      <c r="R200" s="6">
        <v>30.341574520915913</v>
      </c>
      <c r="S200" s="6">
        <v>19.405010095280467</v>
      </c>
      <c r="T200" s="6">
        <v>19.026088714599609</v>
      </c>
      <c r="U200" s="6">
        <f>_xll.BDP($A200,"TRAILING_12M_R&amp;D_%_SALES",$A$1,$A$2)</f>
        <v>4.2870983368319067</v>
      </c>
      <c r="V200" s="6">
        <v>15</v>
      </c>
      <c r="W200" s="6">
        <v>151010</v>
      </c>
      <c r="X200" s="6">
        <v>15101050</v>
      </c>
      <c r="Y200" s="7" t="s">
        <v>61</v>
      </c>
      <c r="Z200" s="7" t="s">
        <v>250</v>
      </c>
      <c r="AA200" s="7" t="s">
        <v>727</v>
      </c>
      <c r="AB200" s="6">
        <v>71.139724731445313</v>
      </c>
      <c r="AC200" s="6">
        <v>1.0314578479389069</v>
      </c>
      <c r="AD200" s="6">
        <v>14.42052036453001</v>
      </c>
      <c r="AE200" s="6">
        <v>23000</v>
      </c>
      <c r="AF200" s="6">
        <v>98000</v>
      </c>
    </row>
    <row r="201" spans="1:32" s="4" customFormat="1" ht="12.75" x14ac:dyDescent="0.2">
      <c r="A201" s="7" t="s">
        <v>728</v>
      </c>
      <c r="B201" s="7" t="s">
        <v>729</v>
      </c>
      <c r="C201" s="7" t="s">
        <v>730</v>
      </c>
      <c r="D201" s="6">
        <v>0.146839380264282</v>
      </c>
      <c r="E201" s="6">
        <v>1.2088508605957031</v>
      </c>
      <c r="F201" s="6">
        <v>-0.15057066082954401</v>
      </c>
      <c r="G201" s="6">
        <v>-0.284147679805756</v>
      </c>
      <c r="H201" s="6">
        <v>1.1790144443511961</v>
      </c>
      <c r="I201" s="6">
        <v>-0.156186178326607</v>
      </c>
      <c r="J201" s="6">
        <v>0.38965329527854903</v>
      </c>
      <c r="K201" s="6">
        <v>-0.45426774024963401</v>
      </c>
      <c r="L201" s="6">
        <v>-7.3371753096581005E-2</v>
      </c>
      <c r="M201" s="6">
        <v>-0.26977753639221203</v>
      </c>
      <c r="N201" s="6">
        <v>1.906401000184923</v>
      </c>
      <c r="O201" s="6">
        <v>2.3407177738826692</v>
      </c>
      <c r="P201" s="6">
        <v>5.1685613312883314</v>
      </c>
      <c r="Q201" s="6">
        <v>5.916729878958952</v>
      </c>
      <c r="R201" s="6">
        <v>11.644912526114634</v>
      </c>
      <c r="S201" s="6">
        <v>13.973106477478751</v>
      </c>
      <c r="T201" s="6">
        <v>48.355411529541016</v>
      </c>
      <c r="U201" s="6">
        <f>_xll.BDP($A201,"TRAILING_12M_R&amp;D_%_SALES",$A$1,$A$2)</f>
        <v>4.7545692993047171</v>
      </c>
      <c r="V201" s="6">
        <v>20</v>
      </c>
      <c r="W201" s="6">
        <v>201060</v>
      </c>
      <c r="X201" s="6">
        <v>20106015</v>
      </c>
      <c r="Y201" s="7" t="s">
        <v>38</v>
      </c>
      <c r="Z201" s="7" t="s">
        <v>493</v>
      </c>
      <c r="AA201" s="7" t="s">
        <v>596</v>
      </c>
      <c r="AB201" s="6">
        <v>62.176841735839844</v>
      </c>
      <c r="AC201" s="6">
        <v>0.96213707101004009</v>
      </c>
      <c r="AD201" s="6">
        <v>-5.4556380135736724</v>
      </c>
      <c r="AE201" s="6">
        <v>82956</v>
      </c>
      <c r="AF201" s="6">
        <v>74000</v>
      </c>
    </row>
    <row r="202" spans="1:32" s="4" customFormat="1" ht="12.75" x14ac:dyDescent="0.2">
      <c r="A202" s="7" t="s">
        <v>731</v>
      </c>
      <c r="B202" s="7" t="s">
        <v>732</v>
      </c>
      <c r="C202" s="7" t="s">
        <v>733</v>
      </c>
      <c r="D202" s="6">
        <v>-8.1743322312832004E-2</v>
      </c>
      <c r="E202" s="6">
        <v>-0.92926418781280506</v>
      </c>
      <c r="F202" s="6">
        <v>-0.32337000966072105</v>
      </c>
      <c r="G202" s="6">
        <v>1.8074150085449221</v>
      </c>
      <c r="H202" s="6">
        <v>1.044564843177795</v>
      </c>
      <c r="I202" s="6">
        <v>1.5905138254165649</v>
      </c>
      <c r="J202" s="6">
        <v>0.53380060195922907</v>
      </c>
      <c r="K202" s="6">
        <v>-1.2533830404281621</v>
      </c>
      <c r="L202" s="6">
        <v>0.275759726762772</v>
      </c>
      <c r="M202" s="6">
        <v>-0.70271551609039307</v>
      </c>
      <c r="N202" s="6">
        <v>0.60581318278824303</v>
      </c>
      <c r="O202" s="6">
        <v>0.59155313590877701</v>
      </c>
      <c r="P202" s="6"/>
      <c r="Q202" s="6"/>
      <c r="R202" s="6">
        <v>15.096332517555176</v>
      </c>
      <c r="S202" s="6">
        <v>10.853185579642338</v>
      </c>
      <c r="T202" s="6"/>
      <c r="U202" s="6">
        <f>_xll.BDP($A202,"TRAILING_12M_R&amp;D_%_SALES",$A$1,$A$2)</f>
        <v>3.2029884792867827</v>
      </c>
      <c r="V202" s="6">
        <v>45</v>
      </c>
      <c r="W202" s="6">
        <v>452020</v>
      </c>
      <c r="X202" s="6">
        <v>45202030</v>
      </c>
      <c r="Y202" s="7" t="s">
        <v>56</v>
      </c>
      <c r="Z202" s="7" t="s">
        <v>57</v>
      </c>
      <c r="AA202" s="7" t="s">
        <v>57</v>
      </c>
      <c r="AB202" s="6">
        <v>62.870937347412109</v>
      </c>
      <c r="AC202" s="6">
        <v>0.99666147068935307</v>
      </c>
      <c r="AD202" s="6">
        <v>97.811157274244522</v>
      </c>
      <c r="AE202" s="6">
        <v>133000</v>
      </c>
      <c r="AF202" s="6">
        <v>145000</v>
      </c>
    </row>
    <row r="203" spans="1:32" s="4" customFormat="1" ht="12.75" x14ac:dyDescent="0.2">
      <c r="A203" s="7" t="s">
        <v>734</v>
      </c>
      <c r="B203" s="7" t="s">
        <v>735</v>
      </c>
      <c r="C203" s="7" t="s">
        <v>736</v>
      </c>
      <c r="D203" s="6">
        <v>-0.58587712049484308</v>
      </c>
      <c r="E203" s="6">
        <v>-7.8337430953979006E-2</v>
      </c>
      <c r="F203" s="6">
        <v>0.80188959836959806</v>
      </c>
      <c r="G203" s="6">
        <v>0.22813116014003801</v>
      </c>
      <c r="H203" s="6">
        <v>0.66565394401550304</v>
      </c>
      <c r="I203" s="6">
        <v>-0.70775866508483909</v>
      </c>
      <c r="J203" s="6">
        <v>2.0101463794708252</v>
      </c>
      <c r="K203" s="6">
        <v>-0.83337247371673606</v>
      </c>
      <c r="L203" s="6">
        <v>0.7305772304534911</v>
      </c>
      <c r="M203" s="6">
        <v>-0.94403243064880404</v>
      </c>
      <c r="N203" s="6">
        <v>1.4866172597228799</v>
      </c>
      <c r="O203" s="6">
        <v>1.6955025192459821</v>
      </c>
      <c r="P203" s="6">
        <v>2.1324979158106938</v>
      </c>
      <c r="Q203" s="6">
        <v>1.7701568180056841</v>
      </c>
      <c r="R203" s="6">
        <v>8.3382791806260776</v>
      </c>
      <c r="S203" s="6">
        <v>9.030216224209358</v>
      </c>
      <c r="T203" s="6">
        <v>26.444528579711914</v>
      </c>
      <c r="U203" s="6" t="str">
        <f>_xll.BDP($A203,"TRAILING_12M_R&amp;D_%_SALES",$A$1,$A$2)</f>
        <v>#N/A N/A</v>
      </c>
      <c r="V203" s="6">
        <v>40</v>
      </c>
      <c r="W203" s="6">
        <v>402020</v>
      </c>
      <c r="X203" s="6">
        <v>40202010</v>
      </c>
      <c r="Y203" s="7" t="s">
        <v>43</v>
      </c>
      <c r="Z203" s="7" t="s">
        <v>188</v>
      </c>
      <c r="AA203" s="7" t="s">
        <v>188</v>
      </c>
      <c r="AB203" s="6">
        <v>45.689567565917969</v>
      </c>
      <c r="AC203" s="6">
        <v>1.3035648765245711</v>
      </c>
      <c r="AD203" s="6">
        <v>18.670902976250737</v>
      </c>
      <c r="AE203" s="6">
        <v>20200</v>
      </c>
      <c r="AF203" s="6">
        <v>16500</v>
      </c>
    </row>
    <row r="204" spans="1:32" s="4" customFormat="1" ht="12.75" x14ac:dyDescent="0.2">
      <c r="A204" s="7" t="s">
        <v>737</v>
      </c>
      <c r="B204" s="7" t="s">
        <v>738</v>
      </c>
      <c r="C204" s="7" t="s">
        <v>739</v>
      </c>
      <c r="D204" s="6">
        <v>-0.81511455774307306</v>
      </c>
      <c r="E204" s="6">
        <v>-0.43299865722656306</v>
      </c>
      <c r="F204" s="6">
        <v>1.9222167730331421</v>
      </c>
      <c r="G204" s="6">
        <v>0.80895698070526101</v>
      </c>
      <c r="H204" s="6">
        <v>1.5059084892272949</v>
      </c>
      <c r="I204" s="6">
        <v>-2.7442488670349121</v>
      </c>
      <c r="J204" s="6">
        <v>0.53334295749664307</v>
      </c>
      <c r="K204" s="6">
        <v>-0.20797728002071403</v>
      </c>
      <c r="L204" s="6">
        <v>0.27694228291511502</v>
      </c>
      <c r="M204" s="6">
        <v>-0.25917273759841902</v>
      </c>
      <c r="N204" s="6">
        <v>0.7659546701795491</v>
      </c>
      <c r="O204" s="6">
        <v>0.7451411955551851</v>
      </c>
      <c r="P204" s="6">
        <v>4.6249537436182742</v>
      </c>
      <c r="Q204" s="6">
        <v>3.91319042980333</v>
      </c>
      <c r="R204" s="6">
        <v>15.644418418073807</v>
      </c>
      <c r="S204" s="6">
        <v>18.247891669784334</v>
      </c>
      <c r="T204" s="6">
        <v>30.585739135742188</v>
      </c>
      <c r="U204" s="6" t="str">
        <f>_xll.BDP($A204,"TRAILING_12M_R&amp;D_%_SALES",$A$1,$A$2)</f>
        <v>#N/A N/A</v>
      </c>
      <c r="V204" s="6">
        <v>30</v>
      </c>
      <c r="W204" s="6">
        <v>301010</v>
      </c>
      <c r="X204" s="6">
        <v>30101040</v>
      </c>
      <c r="Y204" s="7" t="s">
        <v>106</v>
      </c>
      <c r="Z204" s="7" t="s">
        <v>107</v>
      </c>
      <c r="AA204" s="7" t="s">
        <v>243</v>
      </c>
      <c r="AB204" s="6">
        <v>44.5025634765625</v>
      </c>
      <c r="AC204" s="6">
        <v>0.56669616411035406</v>
      </c>
      <c r="AD204" s="6">
        <v>-44.404750970056902</v>
      </c>
      <c r="AE204" s="6">
        <v>170000</v>
      </c>
      <c r="AF204" s="6">
        <v>129000</v>
      </c>
    </row>
    <row r="205" spans="1:32" s="4" customFormat="1" ht="12.75" x14ac:dyDescent="0.2">
      <c r="A205" s="7" t="s">
        <v>740</v>
      </c>
      <c r="B205" s="7" t="s">
        <v>741</v>
      </c>
      <c r="C205" s="7" t="s">
        <v>742</v>
      </c>
      <c r="D205" s="6">
        <v>-0.68639409542083707</v>
      </c>
      <c r="E205" s="6">
        <v>-0.14689131081104301</v>
      </c>
      <c r="F205" s="6">
        <v>-0.40795388817787204</v>
      </c>
      <c r="G205" s="6">
        <v>0.40665122866630604</v>
      </c>
      <c r="H205" s="6">
        <v>-0.45695447921752902</v>
      </c>
      <c r="I205" s="6">
        <v>1.070478677749634</v>
      </c>
      <c r="J205" s="6">
        <v>1.1702896356582639</v>
      </c>
      <c r="K205" s="6">
        <v>1.1612410545349121</v>
      </c>
      <c r="L205" s="6">
        <v>-0.28839075565338101</v>
      </c>
      <c r="M205" s="6">
        <v>1.020819783210754</v>
      </c>
      <c r="N205" s="6">
        <v>1.4583864623950751</v>
      </c>
      <c r="O205" s="6">
        <v>1.3676804042533091</v>
      </c>
      <c r="P205" s="6">
        <v>2.2422379243876009</v>
      </c>
      <c r="Q205" s="6">
        <v>1.8495791516756732</v>
      </c>
      <c r="R205" s="6">
        <v>10.836797281759553</v>
      </c>
      <c r="S205" s="6">
        <v>10.596396227292574</v>
      </c>
      <c r="T205" s="6">
        <v>22.548910140991211</v>
      </c>
      <c r="U205" s="6" t="str">
        <f>_xll.BDP($A205,"TRAILING_12M_R&amp;D_%_SALES",$A$1,$A$2)</f>
        <v>#N/A N/A</v>
      </c>
      <c r="V205" s="6">
        <v>25</v>
      </c>
      <c r="W205" s="6">
        <v>252010</v>
      </c>
      <c r="X205" s="6">
        <v>25201030</v>
      </c>
      <c r="Y205" s="7" t="s">
        <v>85</v>
      </c>
      <c r="Z205" s="7" t="s">
        <v>743</v>
      </c>
      <c r="AA205" s="7" t="s">
        <v>744</v>
      </c>
      <c r="AB205" s="6">
        <v>54.340610504150391</v>
      </c>
      <c r="AC205" s="6">
        <v>1.0635041837470141</v>
      </c>
      <c r="AD205" s="6">
        <v>71.56491805625258</v>
      </c>
      <c r="AE205" s="6">
        <v>13450</v>
      </c>
      <c r="AF205" s="6">
        <v>8437</v>
      </c>
    </row>
    <row r="206" spans="1:32" s="4" customFormat="1" ht="12.75" x14ac:dyDescent="0.2">
      <c r="A206" s="7" t="s">
        <v>745</v>
      </c>
      <c r="B206" s="7" t="s">
        <v>746</v>
      </c>
      <c r="C206" s="7" t="s">
        <v>747</v>
      </c>
      <c r="D206" s="6">
        <v>-0.129357665777206</v>
      </c>
      <c r="E206" s="6">
        <v>-0.56966394186019909</v>
      </c>
      <c r="F206" s="6">
        <v>0.43189311027526905</v>
      </c>
      <c r="G206" s="6">
        <v>-0.94514149427413907</v>
      </c>
      <c r="H206" s="6">
        <v>0.312334835529327</v>
      </c>
      <c r="I206" s="6">
        <v>-7.3606193065643005E-2</v>
      </c>
      <c r="J206" s="6">
        <v>1.1693927049636841</v>
      </c>
      <c r="K206" s="6">
        <v>-0.22959849238395702</v>
      </c>
      <c r="L206" s="6">
        <v>1.4825259447097781</v>
      </c>
      <c r="M206" s="6">
        <v>-8.2954198122025008E-2</v>
      </c>
      <c r="N206" s="6">
        <v>0.64126217919389006</v>
      </c>
      <c r="O206" s="6">
        <v>0.65244286553114406</v>
      </c>
      <c r="P206" s="6">
        <v>2.3018013353360569</v>
      </c>
      <c r="Q206" s="6">
        <v>2.1096231252447311</v>
      </c>
      <c r="R206" s="6">
        <v>13.443498771672234</v>
      </c>
      <c r="S206" s="6">
        <v>13.340685912949603</v>
      </c>
      <c r="T206" s="6">
        <v>17.297088623046875</v>
      </c>
      <c r="U206" s="6">
        <f>_xll.BDP($A206,"TRAILING_12M_R&amp;D_%_SALES",$A$1,$A$2)</f>
        <v>0</v>
      </c>
      <c r="V206" s="6">
        <v>20</v>
      </c>
      <c r="W206" s="6">
        <v>203010</v>
      </c>
      <c r="X206" s="6">
        <v>20301010</v>
      </c>
      <c r="Y206" s="7" t="s">
        <v>38</v>
      </c>
      <c r="Z206" s="7" t="s">
        <v>748</v>
      </c>
      <c r="AA206" s="7" t="s">
        <v>748</v>
      </c>
      <c r="AB206" s="6">
        <v>56.111053466796875</v>
      </c>
      <c r="AC206" s="6">
        <v>0.97778571018520211</v>
      </c>
      <c r="AD206" s="6">
        <v>36.962150091037714</v>
      </c>
      <c r="AE206" s="6">
        <v>554975</v>
      </c>
      <c r="AF206" s="6">
        <v>519544</v>
      </c>
    </row>
    <row r="207" spans="1:32" s="4" customFormat="1" ht="12.75" x14ac:dyDescent="0.2">
      <c r="A207" s="7" t="s">
        <v>749</v>
      </c>
      <c r="B207" s="7" t="s">
        <v>750</v>
      </c>
      <c r="C207" s="7" t="s">
        <v>751</v>
      </c>
      <c r="D207" s="6">
        <v>6.3003249466419012E-2</v>
      </c>
      <c r="E207" s="6">
        <v>-0.20017424225807201</v>
      </c>
      <c r="F207" s="6">
        <v>-0.1169827952981</v>
      </c>
      <c r="G207" s="6">
        <v>-0.6121246218681341</v>
      </c>
      <c r="H207" s="6">
        <v>-0.39064019918441806</v>
      </c>
      <c r="I207" s="6">
        <v>-0.85919541120529208</v>
      </c>
      <c r="J207" s="6">
        <v>-0.13174179196357702</v>
      </c>
      <c r="K207" s="6">
        <v>-0.39536628127098106</v>
      </c>
      <c r="L207" s="6">
        <v>-0.49618279933929405</v>
      </c>
      <c r="M207" s="6">
        <v>-0.49074855446815502</v>
      </c>
      <c r="N207" s="6">
        <v>5.7390250042112161</v>
      </c>
      <c r="O207" s="6">
        <v>7.0626968730382496</v>
      </c>
      <c r="P207" s="6">
        <v>3.261723254865097</v>
      </c>
      <c r="Q207" s="6">
        <v>2.9607728932360322</v>
      </c>
      <c r="R207" s="6">
        <v>28.210910828589551</v>
      </c>
      <c r="S207" s="6">
        <v>29.724062407678094</v>
      </c>
      <c r="T207" s="6">
        <v>12.021612167358398</v>
      </c>
      <c r="U207" s="6">
        <f>_xll.BDP($A207,"TRAILING_12M_R&amp;D_%_SALES",$A$1,$A$2)</f>
        <v>6.6345549738219889</v>
      </c>
      <c r="V207" s="6">
        <v>35</v>
      </c>
      <c r="W207" s="6">
        <v>352030</v>
      </c>
      <c r="X207" s="6">
        <v>35203010</v>
      </c>
      <c r="Y207" s="7" t="s">
        <v>72</v>
      </c>
      <c r="Z207" s="7" t="s">
        <v>752</v>
      </c>
      <c r="AA207" s="7" t="s">
        <v>752</v>
      </c>
      <c r="AB207" s="6">
        <v>56.322303771972656</v>
      </c>
      <c r="AC207" s="6">
        <v>0.93926148936701404</v>
      </c>
      <c r="AD207" s="6">
        <v>-1.7553161364019521</v>
      </c>
      <c r="AE207" s="6">
        <v>79000</v>
      </c>
      <c r="AF207" s="6">
        <v>67000</v>
      </c>
    </row>
    <row r="208" spans="1:32" s="4" customFormat="1" ht="12.75" x14ac:dyDescent="0.2">
      <c r="A208" s="7" t="s">
        <v>753</v>
      </c>
      <c r="B208" s="7" t="s">
        <v>754</v>
      </c>
      <c r="C208" s="7" t="s">
        <v>755</v>
      </c>
      <c r="D208" s="6">
        <v>0.51526308059692405</v>
      </c>
      <c r="E208" s="6">
        <v>-1.074130654335022</v>
      </c>
      <c r="F208" s="6">
        <v>-0.104010723531246</v>
      </c>
      <c r="G208" s="6">
        <v>4.6669833362103001E-2</v>
      </c>
      <c r="H208" s="6">
        <v>-0.10563952475786201</v>
      </c>
      <c r="I208" s="6">
        <v>-1.453250408172607</v>
      </c>
      <c r="J208" s="6">
        <v>0.10016860812902501</v>
      </c>
      <c r="K208" s="6">
        <v>-0.97764313220977805</v>
      </c>
      <c r="L208" s="6">
        <v>-0.72281217575073209</v>
      </c>
      <c r="M208" s="6">
        <v>-0.74252498149871804</v>
      </c>
      <c r="N208" s="6">
        <v>1.8567981848722921</v>
      </c>
      <c r="O208" s="6">
        <v>1.761741017615158</v>
      </c>
      <c r="P208" s="6">
        <v>1.619775912465105</v>
      </c>
      <c r="Q208" s="6">
        <v>1.5279102159372639</v>
      </c>
      <c r="R208" s="6">
        <v>31.626637301311376</v>
      </c>
      <c r="S208" s="6">
        <v>19.562849202804586</v>
      </c>
      <c r="T208" s="6">
        <v>2.4232439994812012</v>
      </c>
      <c r="U208" s="6" t="str">
        <f>_xll.BDP($A208,"TRAILING_12M_R&amp;D_%_SALES",$A$1,$A$2)</f>
        <v>#N/A N/A</v>
      </c>
      <c r="V208" s="6">
        <v>50</v>
      </c>
      <c r="W208" s="6">
        <v>502020</v>
      </c>
      <c r="X208" s="6">
        <v>50202010</v>
      </c>
      <c r="Y208" s="7" t="s">
        <v>311</v>
      </c>
      <c r="Z208" s="7" t="s">
        <v>756</v>
      </c>
      <c r="AA208" s="7" t="s">
        <v>757</v>
      </c>
      <c r="AB208" s="6">
        <v>52.962478637695313</v>
      </c>
      <c r="AC208" s="6">
        <v>1.0574951422820349</v>
      </c>
      <c r="AD208" s="6">
        <v>3.9020656987804441</v>
      </c>
      <c r="AE208" s="6">
        <v>173250</v>
      </c>
      <c r="AF208" s="6">
        <v>201000</v>
      </c>
    </row>
    <row r="209" spans="1:32" s="4" customFormat="1" ht="12.75" x14ac:dyDescent="0.2">
      <c r="A209" s="7" t="s">
        <v>758</v>
      </c>
      <c r="B209" s="7" t="s">
        <v>759</v>
      </c>
      <c r="C209" s="7" t="s">
        <v>760</v>
      </c>
      <c r="D209" s="6">
        <v>-0.63005775213241599</v>
      </c>
      <c r="E209" s="6">
        <v>-0.71394735574722301</v>
      </c>
      <c r="F209" s="6">
        <v>0.74684292078018211</v>
      </c>
      <c r="G209" s="6">
        <v>-0.76459461450576804</v>
      </c>
      <c r="H209" s="6">
        <v>-0.99695473909378107</v>
      </c>
      <c r="I209" s="6">
        <v>-0.26602497696876504</v>
      </c>
      <c r="J209" s="6">
        <v>1.0170018300414E-2</v>
      </c>
      <c r="K209" s="6">
        <v>-0.46163970232009904</v>
      </c>
      <c r="L209" s="6">
        <v>-0.25153738260269204</v>
      </c>
      <c r="M209" s="6">
        <v>-0.51604449748992909</v>
      </c>
      <c r="N209" s="6">
        <v>1.6069805895767211</v>
      </c>
      <c r="O209" s="6">
        <v>1.4728802460527841</v>
      </c>
      <c r="P209" s="6">
        <v>2.656145294961112</v>
      </c>
      <c r="Q209" s="6">
        <v>2.4716968725380002</v>
      </c>
      <c r="R209" s="6">
        <v>26.451464503968541</v>
      </c>
      <c r="S209" s="6">
        <v>21.970854344583863</v>
      </c>
      <c r="T209" s="6">
        <v>10.652383804321289</v>
      </c>
      <c r="U209" s="6">
        <f>_xll.BDP($A209,"TRAILING_12M_R&amp;D_%_SALES",$A$1,$A$2)</f>
        <v>2.8044891636607758</v>
      </c>
      <c r="V209" s="6">
        <v>20</v>
      </c>
      <c r="W209" s="6">
        <v>201020</v>
      </c>
      <c r="X209" s="6">
        <v>20102010</v>
      </c>
      <c r="Y209" s="7" t="s">
        <v>38</v>
      </c>
      <c r="Z209" s="7" t="s">
        <v>489</v>
      </c>
      <c r="AA209" s="7" t="s">
        <v>489</v>
      </c>
      <c r="AB209" s="6">
        <v>59.923549652099609</v>
      </c>
      <c r="AC209" s="6">
        <v>0.60312201295006806</v>
      </c>
      <c r="AD209" s="6">
        <v>6.7394241546379741</v>
      </c>
      <c r="AE209" s="6">
        <v>96337</v>
      </c>
      <c r="AF209" s="6">
        <v>70263</v>
      </c>
    </row>
    <row r="210" spans="1:32" s="4" customFormat="1" ht="12.75" x14ac:dyDescent="0.2">
      <c r="A210" s="7" t="s">
        <v>761</v>
      </c>
      <c r="B210" s="7" t="s">
        <v>762</v>
      </c>
      <c r="C210" s="7" t="s">
        <v>763</v>
      </c>
      <c r="D210" s="6">
        <v>-0.63005775213241599</v>
      </c>
      <c r="E210" s="6">
        <v>-0.71394735574722301</v>
      </c>
      <c r="F210" s="6">
        <v>0.74684292078018211</v>
      </c>
      <c r="G210" s="6">
        <v>-0.76459461450576804</v>
      </c>
      <c r="H210" s="6">
        <v>-0.99695473909378107</v>
      </c>
      <c r="I210" s="6">
        <v>-0.26602497696876504</v>
      </c>
      <c r="J210" s="6">
        <v>1.0170018300414E-2</v>
      </c>
      <c r="K210" s="6">
        <v>-0.46163970232009904</v>
      </c>
      <c r="L210" s="6">
        <v>-0.25153738260269204</v>
      </c>
      <c r="M210" s="6">
        <v>-0.51604449748992909</v>
      </c>
      <c r="N210" s="6">
        <v>1.6069805895767211</v>
      </c>
      <c r="O210" s="6">
        <v>1.490133636526938</v>
      </c>
      <c r="P210" s="6">
        <v>2.656145294961112</v>
      </c>
      <c r="Q210" s="6"/>
      <c r="R210" s="6">
        <v>26.451464503968541</v>
      </c>
      <c r="S210" s="6">
        <v>21.832290407750158</v>
      </c>
      <c r="T210" s="6">
        <v>10.652383804321289</v>
      </c>
      <c r="U210" s="6">
        <f>_xll.BDP($A210,"TRAILING_12M_R&amp;D_%_SALES",$A$1,$A$2)</f>
        <v>2.8044891636607758</v>
      </c>
      <c r="V210" s="6">
        <v>20</v>
      </c>
      <c r="W210" s="6">
        <v>201020</v>
      </c>
      <c r="X210" s="6">
        <v>20102010</v>
      </c>
      <c r="Y210" s="7" t="s">
        <v>38</v>
      </c>
      <c r="Z210" s="7" t="s">
        <v>489</v>
      </c>
      <c r="AA210" s="7" t="s">
        <v>489</v>
      </c>
      <c r="AB210" s="6">
        <v>59.923549652099609</v>
      </c>
      <c r="AC210" s="6">
        <v>0.94074490280726708</v>
      </c>
      <c r="AD210" s="6">
        <v>6.0506008907375897</v>
      </c>
      <c r="AE210" s="6">
        <v>96337</v>
      </c>
      <c r="AF210" s="6">
        <v>70263</v>
      </c>
    </row>
    <row r="211" spans="1:32" s="4" customFormat="1" ht="12.75" x14ac:dyDescent="0.2">
      <c r="A211" s="7" t="s">
        <v>764</v>
      </c>
      <c r="B211" s="7" t="s">
        <v>722</v>
      </c>
      <c r="C211" s="7" t="s">
        <v>765</v>
      </c>
      <c r="D211" s="6">
        <v>1.8416637554765001E-2</v>
      </c>
      <c r="E211" s="6">
        <v>-1.15749180316925</v>
      </c>
      <c r="F211" s="6">
        <v>5.9919081628323004E-2</v>
      </c>
      <c r="G211" s="6">
        <v>-0.56511163711547907</v>
      </c>
      <c r="H211" s="6">
        <v>-0.58460402488708507</v>
      </c>
      <c r="I211" s="6">
        <v>0.58766669034957908</v>
      </c>
      <c r="J211" s="6">
        <v>0.57356554269790605</v>
      </c>
      <c r="K211" s="6">
        <v>-1.4057186841964722</v>
      </c>
      <c r="L211" s="6">
        <v>0.55690169334411599</v>
      </c>
      <c r="M211" s="6">
        <v>-0.96666699647903409</v>
      </c>
      <c r="N211" s="6">
        <v>0.301899390354607</v>
      </c>
      <c r="O211" s="6"/>
      <c r="P211" s="6">
        <v>0.97931138971524412</v>
      </c>
      <c r="Q211" s="6"/>
      <c r="R211" s="6">
        <v>12.273109509907204</v>
      </c>
      <c r="S211" s="6"/>
      <c r="T211" s="6">
        <v>7.0868592262268066</v>
      </c>
      <c r="U211" s="6" t="str">
        <f>_xll.BDP($A211,"TRAILING_12M_R&amp;D_%_SALES",$A$1,$A$2)</f>
        <v>#N/A N/A</v>
      </c>
      <c r="V211" s="6">
        <v>40</v>
      </c>
      <c r="W211" s="6">
        <v>403010</v>
      </c>
      <c r="X211" s="6">
        <v>40301020</v>
      </c>
      <c r="Y211" s="7" t="s">
        <v>43</v>
      </c>
      <c r="Z211" s="7" t="s">
        <v>44</v>
      </c>
      <c r="AA211" s="7" t="s">
        <v>45</v>
      </c>
      <c r="AB211" s="6">
        <v>57.137107849121094</v>
      </c>
      <c r="AC211" s="6">
        <v>0.68512110805611204</v>
      </c>
      <c r="AD211" s="6">
        <v>-4.764040145023074</v>
      </c>
      <c r="AE211" s="6">
        <v>60997</v>
      </c>
      <c r="AF211" s="6">
        <v>62943</v>
      </c>
    </row>
    <row r="212" spans="1:32" s="4" customFormat="1" ht="12.75" x14ac:dyDescent="0.2">
      <c r="A212" s="7" t="s">
        <v>766</v>
      </c>
      <c r="B212" s="7" t="s">
        <v>767</v>
      </c>
      <c r="C212" s="7" t="s">
        <v>768</v>
      </c>
      <c r="D212" s="6">
        <v>-0.95755273103714011</v>
      </c>
      <c r="E212" s="6">
        <v>-0.82747852802276611</v>
      </c>
      <c r="F212" s="6">
        <v>0.19992828369140603</v>
      </c>
      <c r="G212" s="6">
        <v>0.75192332267761208</v>
      </c>
      <c r="H212" s="6">
        <v>0.66646975278854403</v>
      </c>
      <c r="I212" s="6">
        <v>-1.1911642551422119</v>
      </c>
      <c r="J212" s="6">
        <v>0.26098260283470204</v>
      </c>
      <c r="K212" s="6">
        <v>-0.20241500437259702</v>
      </c>
      <c r="L212" s="6">
        <v>-0.72281217575073209</v>
      </c>
      <c r="M212" s="6">
        <v>-0.13855230808258101</v>
      </c>
      <c r="N212" s="6">
        <v>1.0542390936210191</v>
      </c>
      <c r="O212" s="6">
        <v>0.97898803856739902</v>
      </c>
      <c r="P212" s="6">
        <v>3.439225705964954</v>
      </c>
      <c r="Q212" s="6">
        <v>2.8956682860080152</v>
      </c>
      <c r="R212" s="6">
        <v>26.954459574812589</v>
      </c>
      <c r="S212" s="6">
        <v>20.478185054518804</v>
      </c>
      <c r="T212" s="6">
        <v>13.472660064697266</v>
      </c>
      <c r="U212" s="6">
        <f>_xll.BDP($A212,"TRAILING_12M_R&amp;D_%_SALES",$A$1,$A$2)</f>
        <v>0</v>
      </c>
      <c r="V212" s="6">
        <v>30</v>
      </c>
      <c r="W212" s="6">
        <v>301010</v>
      </c>
      <c r="X212" s="6">
        <v>30101040</v>
      </c>
      <c r="Y212" s="7" t="s">
        <v>106</v>
      </c>
      <c r="Z212" s="7" t="s">
        <v>107</v>
      </c>
      <c r="AA212" s="7" t="s">
        <v>243</v>
      </c>
      <c r="AB212" s="6">
        <v>46.615028381347656</v>
      </c>
      <c r="AC212" s="6">
        <v>0.83669292739509804</v>
      </c>
      <c r="AD212" s="6">
        <v>-0.657390310717343</v>
      </c>
      <c r="AE212" s="6">
        <v>65025</v>
      </c>
      <c r="AF212" s="6">
        <v>56300</v>
      </c>
    </row>
    <row r="213" spans="1:32" s="4" customFormat="1" ht="12.75" x14ac:dyDescent="0.2">
      <c r="A213" s="7" t="s">
        <v>769</v>
      </c>
      <c r="B213" s="7" t="s">
        <v>770</v>
      </c>
      <c r="C213" s="7" t="s">
        <v>771</v>
      </c>
      <c r="D213" s="6">
        <v>-0.31133145093917802</v>
      </c>
      <c r="E213" s="6">
        <v>-1.2832250595092769</v>
      </c>
      <c r="F213" s="6">
        <v>-3.5831984132528E-2</v>
      </c>
      <c r="G213" s="6">
        <v>-0.97379040718078602</v>
      </c>
      <c r="H213" s="6">
        <v>1.759490489959717</v>
      </c>
      <c r="I213" s="6">
        <v>1.253181576728821</v>
      </c>
      <c r="J213" s="6">
        <v>1.546810984611511</v>
      </c>
      <c r="K213" s="6">
        <v>-1.1408659219741821</v>
      </c>
      <c r="L213" s="6">
        <v>1.278347492218018</v>
      </c>
      <c r="M213" s="6">
        <v>-0.91881138086319003</v>
      </c>
      <c r="N213" s="6">
        <v>1.6279172942083311</v>
      </c>
      <c r="O213" s="6"/>
      <c r="P213" s="6">
        <v>0.91873246296922007</v>
      </c>
      <c r="Q213" s="6"/>
      <c r="R213" s="6">
        <v>7.6856531675140385</v>
      </c>
      <c r="S213" s="6"/>
      <c r="T213" s="6">
        <v>12.355598449707031</v>
      </c>
      <c r="U213" s="6" t="str">
        <f>_xll.BDP($A213,"TRAILING_12M_R&amp;D_%_SALES",$A$1,$A$2)</f>
        <v>#N/A N/A</v>
      </c>
      <c r="V213" s="6">
        <v>40</v>
      </c>
      <c r="W213" s="6">
        <v>401010</v>
      </c>
      <c r="X213" s="6">
        <v>40101010</v>
      </c>
      <c r="Y213" s="7" t="s">
        <v>43</v>
      </c>
      <c r="Z213" s="7" t="s">
        <v>67</v>
      </c>
      <c r="AA213" s="7" t="s">
        <v>68</v>
      </c>
      <c r="AB213" s="6">
        <v>55.919929504394531</v>
      </c>
      <c r="AC213" s="6">
        <v>0.64901976172088605</v>
      </c>
      <c r="AD213" s="6">
        <v>41.87909382741082</v>
      </c>
      <c r="AE213" s="6">
        <v>21022</v>
      </c>
      <c r="AF213" s="6">
        <v>19768</v>
      </c>
    </row>
    <row r="214" spans="1:32" s="4" customFormat="1" ht="12.75" x14ac:dyDescent="0.2">
      <c r="A214" s="7" t="s">
        <v>772</v>
      </c>
      <c r="B214" s="7" t="s">
        <v>773</v>
      </c>
      <c r="C214" s="7" t="s">
        <v>774</v>
      </c>
      <c r="D214" s="6">
        <v>-0.31133145093917802</v>
      </c>
      <c r="E214" s="6">
        <v>-1.2832250595092769</v>
      </c>
      <c r="F214" s="6">
        <v>-3.5831984132528E-2</v>
      </c>
      <c r="G214" s="6">
        <v>-0.97379040718078602</v>
      </c>
      <c r="H214" s="6">
        <v>1.759490489959717</v>
      </c>
      <c r="I214" s="6">
        <v>1.253181576728821</v>
      </c>
      <c r="J214" s="6">
        <v>1.546810984611511</v>
      </c>
      <c r="K214" s="6">
        <v>-1.1408659219741821</v>
      </c>
      <c r="L214" s="6">
        <v>1.278347492218018</v>
      </c>
      <c r="M214" s="6">
        <v>-0.91881138086319003</v>
      </c>
      <c r="N214" s="6">
        <v>1.6279172942083311</v>
      </c>
      <c r="O214" s="6">
        <v>2.8096086758458831</v>
      </c>
      <c r="P214" s="6">
        <v>0.91873246296922007</v>
      </c>
      <c r="Q214" s="6">
        <v>0.83871807119835606</v>
      </c>
      <c r="R214" s="6">
        <v>7.6856531675140385</v>
      </c>
      <c r="S214" s="6">
        <v>7.5618539246367833</v>
      </c>
      <c r="T214" s="6">
        <v>12.355598449707031</v>
      </c>
      <c r="U214" s="6" t="str">
        <f>_xll.BDP($A214,"TRAILING_12M_R&amp;D_%_SALES",$A$1,$A$2)</f>
        <v>#N/A N/A</v>
      </c>
      <c r="V214" s="6">
        <v>40</v>
      </c>
      <c r="W214" s="6">
        <v>401010</v>
      </c>
      <c r="X214" s="6">
        <v>40101010</v>
      </c>
      <c r="Y214" s="7" t="s">
        <v>43</v>
      </c>
      <c r="Z214" s="7" t="s">
        <v>67</v>
      </c>
      <c r="AA214" s="7" t="s">
        <v>68</v>
      </c>
      <c r="AB214" s="6">
        <v>55.919929504394531</v>
      </c>
      <c r="AC214" s="6">
        <v>0.24758940854456701</v>
      </c>
      <c r="AD214" s="6">
        <v>69.691934678526394</v>
      </c>
      <c r="AE214" s="6">
        <v>21022</v>
      </c>
      <c r="AF214" s="6">
        <v>19768</v>
      </c>
    </row>
    <row r="215" spans="1:32" s="4" customFormat="1" ht="12.75" x14ac:dyDescent="0.2">
      <c r="A215" s="7" t="s">
        <v>775</v>
      </c>
      <c r="B215" s="7" t="s">
        <v>776</v>
      </c>
      <c r="C215" s="7" t="s">
        <v>777</v>
      </c>
      <c r="D215" s="6">
        <v>-0.35313221812248202</v>
      </c>
      <c r="E215" s="6">
        <v>-0.84006011486053511</v>
      </c>
      <c r="F215" s="6">
        <v>-0.18324522674083701</v>
      </c>
      <c r="G215" s="6">
        <v>-0.96690320968627907</v>
      </c>
      <c r="H215" s="6">
        <v>-0.89550024271011408</v>
      </c>
      <c r="I215" s="6">
        <v>0.79635226726532005</v>
      </c>
      <c r="J215" s="6">
        <v>0.67146486043930109</v>
      </c>
      <c r="K215" s="6">
        <v>-0.90803742408752408</v>
      </c>
      <c r="L215" s="6">
        <v>0.286999881267548</v>
      </c>
      <c r="M215" s="6">
        <v>-0.57371646165847801</v>
      </c>
      <c r="N215" s="6">
        <v>0.92475647329197008</v>
      </c>
      <c r="O215" s="6">
        <v>0.87263987240920504</v>
      </c>
      <c r="P215" s="6">
        <v>1.247958629192349</v>
      </c>
      <c r="Q215" s="6">
        <v>1.200244456185839</v>
      </c>
      <c r="R215" s="6">
        <v>16.879277747224545</v>
      </c>
      <c r="S215" s="6">
        <v>11.533393592886771</v>
      </c>
      <c r="T215" s="6">
        <v>8.0494279861450195</v>
      </c>
      <c r="U215" s="6">
        <f>_xll.BDP($A215,"TRAILING_12M_R&amp;D_%_SALES",$A$1,$A$2)</f>
        <v>8.4506544799225569</v>
      </c>
      <c r="V215" s="6">
        <v>25</v>
      </c>
      <c r="W215" s="6">
        <v>251010</v>
      </c>
      <c r="X215" s="6">
        <v>25101010</v>
      </c>
      <c r="Y215" s="7" t="s">
        <v>85</v>
      </c>
      <c r="Z215" s="7" t="s">
        <v>430</v>
      </c>
      <c r="AA215" s="7" t="s">
        <v>673</v>
      </c>
      <c r="AB215" s="6">
        <v>52.972537994384766</v>
      </c>
      <c r="AC215" s="6">
        <v>0.39697392357552203</v>
      </c>
      <c r="AD215" s="6">
        <v>18.246503414630055</v>
      </c>
      <c r="AE215" s="6">
        <v>164572</v>
      </c>
      <c r="AF215" s="6">
        <v>168813</v>
      </c>
    </row>
    <row r="216" spans="1:32" s="4" customFormat="1" ht="12.75" x14ac:dyDescent="0.2">
      <c r="A216" s="7" t="s">
        <v>778</v>
      </c>
      <c r="B216" s="7" t="s">
        <v>779</v>
      </c>
      <c r="C216" s="7" t="s">
        <v>780</v>
      </c>
      <c r="D216" s="6">
        <v>-0.35313221812248202</v>
      </c>
      <c r="E216" s="6">
        <v>-0.84006011486053511</v>
      </c>
      <c r="F216" s="6">
        <v>-0.18324522674083701</v>
      </c>
      <c r="G216" s="6">
        <v>-0.96690320968627907</v>
      </c>
      <c r="H216" s="6">
        <v>-0.89550024271011408</v>
      </c>
      <c r="I216" s="6">
        <v>0.79635226726532005</v>
      </c>
      <c r="J216" s="6">
        <v>0.67146486043930109</v>
      </c>
      <c r="K216" s="6">
        <v>-0.90803742408752408</v>
      </c>
      <c r="L216" s="6">
        <v>0.286999881267548</v>
      </c>
      <c r="M216" s="6">
        <v>-0.57371646165847801</v>
      </c>
      <c r="N216" s="6">
        <v>0.92475647329197008</v>
      </c>
      <c r="O216" s="6"/>
      <c r="P216" s="6">
        <v>1.247958629192349</v>
      </c>
      <c r="Q216" s="6"/>
      <c r="R216" s="6">
        <v>16.879277747224545</v>
      </c>
      <c r="S216" s="6"/>
      <c r="T216" s="6">
        <v>8.0494279861450195</v>
      </c>
      <c r="U216" s="6">
        <f>_xll.BDP($A216,"TRAILING_12M_R&amp;D_%_SALES",$A$1,$A$2)</f>
        <v>8.4506544799225569</v>
      </c>
      <c r="V216" s="6">
        <v>25</v>
      </c>
      <c r="W216" s="6">
        <v>251010</v>
      </c>
      <c r="X216" s="6">
        <v>25101010</v>
      </c>
      <c r="Y216" s="7" t="s">
        <v>85</v>
      </c>
      <c r="Z216" s="7" t="s">
        <v>430</v>
      </c>
      <c r="AA216" s="7" t="s">
        <v>673</v>
      </c>
      <c r="AB216" s="6">
        <v>52.972537994384766</v>
      </c>
      <c r="AC216" s="6">
        <v>0.85062341303718303</v>
      </c>
      <c r="AD216" s="6">
        <v>22.910750112367452</v>
      </c>
      <c r="AE216" s="6">
        <v>164572</v>
      </c>
      <c r="AF216" s="6">
        <v>168813</v>
      </c>
    </row>
    <row r="217" spans="1:32" s="4" customFormat="1" ht="12.75" x14ac:dyDescent="0.2">
      <c r="A217" s="7" t="s">
        <v>781</v>
      </c>
      <c r="B217" s="7" t="s">
        <v>782</v>
      </c>
      <c r="C217" s="7" t="s">
        <v>783</v>
      </c>
      <c r="D217" s="6">
        <v>-0.43585115671157804</v>
      </c>
      <c r="E217" s="6">
        <v>-0.95230388641357411</v>
      </c>
      <c r="F217" s="6">
        <v>-0.24310089647769903</v>
      </c>
      <c r="G217" s="6">
        <v>3.6710873246193002E-2</v>
      </c>
      <c r="H217" s="6">
        <v>0.301044762134552</v>
      </c>
      <c r="I217" s="6">
        <v>-1.6924433410168003E-2</v>
      </c>
      <c r="J217" s="6">
        <v>0.63660949468612704</v>
      </c>
      <c r="K217" s="6">
        <v>-0.60069465637207009</v>
      </c>
      <c r="L217" s="6">
        <v>1.7611159086227421</v>
      </c>
      <c r="M217" s="6">
        <v>-0.16324202716350603</v>
      </c>
      <c r="N217" s="6">
        <v>0.84564554421482208</v>
      </c>
      <c r="O217" s="6">
        <v>0.83507981646832008</v>
      </c>
      <c r="P217" s="6">
        <v>1.9657899224116142</v>
      </c>
      <c r="Q217" s="6">
        <v>1.9588722023244611</v>
      </c>
      <c r="R217" s="6">
        <v>23.716327050463214</v>
      </c>
      <c r="S217" s="6">
        <v>16.76843677321968</v>
      </c>
      <c r="T217" s="6">
        <v>6.9207091331481934</v>
      </c>
      <c r="U217" s="6">
        <f>_xll.BDP($A217,"TRAILING_12M_R&amp;D_%_SALES",$A$1,$A$2)</f>
        <v>1.8852993203612327</v>
      </c>
      <c r="V217" s="6">
        <v>15</v>
      </c>
      <c r="W217" s="6">
        <v>151010</v>
      </c>
      <c r="X217" s="6">
        <v>15101010</v>
      </c>
      <c r="Y217" s="7" t="s">
        <v>61</v>
      </c>
      <c r="Z217" s="7" t="s">
        <v>250</v>
      </c>
      <c r="AA217" s="7" t="s">
        <v>784</v>
      </c>
      <c r="AB217" s="6">
        <v>80.826881408691406</v>
      </c>
      <c r="AC217" s="6">
        <v>0.96526973251534309</v>
      </c>
      <c r="AD217" s="6">
        <v>14.108594630870886</v>
      </c>
      <c r="AE217" s="6">
        <v>37800</v>
      </c>
      <c r="AF217" s="6"/>
    </row>
    <row r="218" spans="1:32" s="4" customFormat="1" ht="12.75" x14ac:dyDescent="0.2">
      <c r="A218" s="7" t="s">
        <v>785</v>
      </c>
      <c r="B218" s="7" t="s">
        <v>786</v>
      </c>
      <c r="C218" s="7" t="s">
        <v>787</v>
      </c>
      <c r="D218" s="6">
        <v>-0.129357665777206</v>
      </c>
      <c r="E218" s="6">
        <v>-0.56966394186019909</v>
      </c>
      <c r="F218" s="6">
        <v>0.43189311027526905</v>
      </c>
      <c r="G218" s="6">
        <v>-0.94514149427413907</v>
      </c>
      <c r="H218" s="6">
        <v>0.312334835529327</v>
      </c>
      <c r="I218" s="6">
        <v>-7.3606193065643005E-2</v>
      </c>
      <c r="J218" s="6">
        <v>1.1693927049636841</v>
      </c>
      <c r="K218" s="6">
        <v>-0.22959849238395702</v>
      </c>
      <c r="L218" s="6">
        <v>1.4825259447097781</v>
      </c>
      <c r="M218" s="6">
        <v>-8.2954198122025008E-2</v>
      </c>
      <c r="N218" s="6">
        <v>0.64126217919389006</v>
      </c>
      <c r="O218" s="6">
        <v>0.65957985802880104</v>
      </c>
      <c r="P218" s="6">
        <v>2.3018013353360569</v>
      </c>
      <c r="Q218" s="6">
        <v>2.132699994411293</v>
      </c>
      <c r="R218" s="6">
        <v>13.443498771672234</v>
      </c>
      <c r="S218" s="6">
        <v>13.486617790412133</v>
      </c>
      <c r="T218" s="6">
        <v>17.297088623046875</v>
      </c>
      <c r="U218" s="6">
        <f>_xll.BDP($A218,"TRAILING_12M_R&amp;D_%_SALES",$A$1,$A$2)</f>
        <v>0</v>
      </c>
      <c r="V218" s="6">
        <v>20</v>
      </c>
      <c r="W218" s="6">
        <v>203010</v>
      </c>
      <c r="X218" s="6">
        <v>20301010</v>
      </c>
      <c r="Y218" s="7" t="s">
        <v>38</v>
      </c>
      <c r="Z218" s="7" t="s">
        <v>748</v>
      </c>
      <c r="AA218" s="7" t="s">
        <v>748</v>
      </c>
      <c r="AB218" s="6">
        <v>56.111053466796875</v>
      </c>
      <c r="AC218" s="6">
        <v>0.63918667097867909</v>
      </c>
      <c r="AD218" s="6">
        <v>39.776216144636336</v>
      </c>
      <c r="AE218" s="6">
        <v>554975</v>
      </c>
      <c r="AF218" s="6">
        <v>519544</v>
      </c>
    </row>
    <row r="219" spans="1:32" s="4" customFormat="1" ht="12.75" x14ac:dyDescent="0.2">
      <c r="A219" s="7" t="s">
        <v>788</v>
      </c>
      <c r="B219" s="7" t="s">
        <v>789</v>
      </c>
      <c r="C219" s="7" t="s">
        <v>790</v>
      </c>
      <c r="D219" s="6">
        <v>-0.96892386674881004</v>
      </c>
      <c r="E219" s="6">
        <v>-0.84411591291427601</v>
      </c>
      <c r="F219" s="6">
        <v>-0.40798437595367404</v>
      </c>
      <c r="G219" s="6">
        <v>-0.13033513724803902</v>
      </c>
      <c r="H219" s="6">
        <v>1.3068393468856812</v>
      </c>
      <c r="I219" s="6">
        <v>-1.1586288213729861</v>
      </c>
      <c r="J219" s="6">
        <v>0.47418805956840504</v>
      </c>
      <c r="K219" s="6">
        <v>-0.86777979135513306</v>
      </c>
      <c r="L219" s="6">
        <v>1.056072950363159</v>
      </c>
      <c r="M219" s="6">
        <v>-0.80965018272399902</v>
      </c>
      <c r="N219" s="6">
        <v>1.6295739043656721</v>
      </c>
      <c r="O219" s="6">
        <v>1.3202578055238769</v>
      </c>
      <c r="P219" s="6">
        <v>2.0960448970179359</v>
      </c>
      <c r="Q219" s="6">
        <v>1.975277727320627</v>
      </c>
      <c r="R219" s="6">
        <v>17.881316073831655</v>
      </c>
      <c r="S219" s="6">
        <v>16.540654660375125</v>
      </c>
      <c r="T219" s="6">
        <v>12.536561012268066</v>
      </c>
      <c r="U219" s="6" t="str">
        <f>_xll.BDP($A219,"TRAILING_12M_R&amp;D_%_SALES",$A$1,$A$2)</f>
        <v>#N/A N/A</v>
      </c>
      <c r="V219" s="6">
        <v>55</v>
      </c>
      <c r="W219" s="6">
        <v>551030</v>
      </c>
      <c r="X219" s="6">
        <v>55103010</v>
      </c>
      <c r="Y219" s="7" t="s">
        <v>154</v>
      </c>
      <c r="Z219" s="7" t="s">
        <v>703</v>
      </c>
      <c r="AA219" s="7" t="s">
        <v>703</v>
      </c>
      <c r="AB219" s="6">
        <v>58.012271881103516</v>
      </c>
      <c r="AC219" s="6">
        <v>0.68229215911877206</v>
      </c>
      <c r="AD219" s="6">
        <v>-4.1598424539432406</v>
      </c>
      <c r="AE219" s="6">
        <v>10250</v>
      </c>
      <c r="AF219" s="6">
        <v>10200</v>
      </c>
    </row>
    <row r="220" spans="1:32" s="4" customFormat="1" ht="12.75" x14ac:dyDescent="0.2">
      <c r="A220" s="7" t="s">
        <v>791</v>
      </c>
      <c r="B220" s="7" t="s">
        <v>792</v>
      </c>
      <c r="C220" s="7" t="s">
        <v>793</v>
      </c>
      <c r="D220" s="6">
        <v>-0.41584658622741705</v>
      </c>
      <c r="E220" s="6">
        <v>-0.7778044939041141</v>
      </c>
      <c r="F220" s="6">
        <v>0.56707173585891701</v>
      </c>
      <c r="G220" s="6">
        <v>-0.98801285028457608</v>
      </c>
      <c r="H220" s="6">
        <v>0.40151911973953203</v>
      </c>
      <c r="I220" s="6">
        <v>0.56217622756958008</v>
      </c>
      <c r="J220" s="6">
        <v>1.0724219083786011</v>
      </c>
      <c r="K220" s="6">
        <v>-1.1005153656005859</v>
      </c>
      <c r="L220" s="6">
        <v>1.1145545244216919</v>
      </c>
      <c r="M220" s="6">
        <v>-0.41627031564712502</v>
      </c>
      <c r="N220" s="6">
        <v>0.50197009497010203</v>
      </c>
      <c r="O220" s="6">
        <v>0.51311017856669905</v>
      </c>
      <c r="P220" s="6">
        <v>1.3100993378577921</v>
      </c>
      <c r="Q220" s="6">
        <v>1.1528074761596101</v>
      </c>
      <c r="R220" s="6">
        <v>9.0137640510567749</v>
      </c>
      <c r="S220" s="6">
        <v>8.2969753011086809</v>
      </c>
      <c r="T220" s="6">
        <v>14.917618751525879</v>
      </c>
      <c r="U220" s="6">
        <f>_xll.BDP($A220,"TRAILING_12M_R&amp;D_%_SALES",$A$1,$A$2)</f>
        <v>3.0158381798895348</v>
      </c>
      <c r="V220" s="6">
        <v>20</v>
      </c>
      <c r="W220" s="6">
        <v>201060</v>
      </c>
      <c r="X220" s="6">
        <v>20106010</v>
      </c>
      <c r="Y220" s="7" t="s">
        <v>38</v>
      </c>
      <c r="Z220" s="7" t="s">
        <v>493</v>
      </c>
      <c r="AA220" s="7" t="s">
        <v>494</v>
      </c>
      <c r="AB220" s="6">
        <v>66.311233520507813</v>
      </c>
      <c r="AC220" s="6">
        <v>0.51304608622222203</v>
      </c>
      <c r="AD220" s="6">
        <v>26.972715625860076</v>
      </c>
      <c r="AE220" s="6">
        <v>100000</v>
      </c>
      <c r="AF220" s="6"/>
    </row>
    <row r="221" spans="1:32" s="4" customFormat="1" ht="12.75" x14ac:dyDescent="0.2">
      <c r="A221" s="7" t="s">
        <v>794</v>
      </c>
      <c r="B221" s="7" t="s">
        <v>795</v>
      </c>
      <c r="C221" s="7" t="s">
        <v>796</v>
      </c>
      <c r="D221" s="6">
        <v>-0.41584658622741705</v>
      </c>
      <c r="E221" s="6">
        <v>-0.7778044939041141</v>
      </c>
      <c r="F221" s="6">
        <v>0.56707173585891701</v>
      </c>
      <c r="G221" s="6">
        <v>-0.98801285028457608</v>
      </c>
      <c r="H221" s="6">
        <v>0.40151911973953203</v>
      </c>
      <c r="I221" s="6">
        <v>0.56217622756958008</v>
      </c>
      <c r="J221" s="6">
        <v>1.0724219083786011</v>
      </c>
      <c r="K221" s="6">
        <v>-1.1005153656005859</v>
      </c>
      <c r="L221" s="6">
        <v>1.1145545244216919</v>
      </c>
      <c r="M221" s="6">
        <v>-0.41627031564712502</v>
      </c>
      <c r="N221" s="6">
        <v>0.50197009497010203</v>
      </c>
      <c r="O221" s="6"/>
      <c r="P221" s="6">
        <v>1.3100993378577921</v>
      </c>
      <c r="Q221" s="6"/>
      <c r="R221" s="6">
        <v>9.0137640510567749</v>
      </c>
      <c r="S221" s="6"/>
      <c r="T221" s="6">
        <v>14.917618751525879</v>
      </c>
      <c r="U221" s="6">
        <f>_xll.BDP($A221,"TRAILING_12M_R&amp;D_%_SALES",$A$1,$A$2)</f>
        <v>3.0158381798895348</v>
      </c>
      <c r="V221" s="6">
        <v>20</v>
      </c>
      <c r="W221" s="6">
        <v>201060</v>
      </c>
      <c r="X221" s="6">
        <v>20106010</v>
      </c>
      <c r="Y221" s="7" t="s">
        <v>38</v>
      </c>
      <c r="Z221" s="7" t="s">
        <v>493</v>
      </c>
      <c r="AA221" s="7" t="s">
        <v>494</v>
      </c>
      <c r="AB221" s="6">
        <v>66.311233520507813</v>
      </c>
      <c r="AC221" s="6">
        <v>0.81561952902004109</v>
      </c>
      <c r="AD221" s="6">
        <v>24.477612451943422</v>
      </c>
      <c r="AE221" s="6">
        <v>100000</v>
      </c>
      <c r="AF221" s="6"/>
    </row>
    <row r="222" spans="1:32" s="4" customFormat="1" ht="12.75" x14ac:dyDescent="0.2">
      <c r="A222" s="7" t="s">
        <v>797</v>
      </c>
      <c r="B222" s="7" t="s">
        <v>798</v>
      </c>
      <c r="C222" s="7" t="s">
        <v>799</v>
      </c>
      <c r="D222" s="6">
        <v>-3.0640998855233002E-2</v>
      </c>
      <c r="E222" s="6">
        <v>-0.76805251836776711</v>
      </c>
      <c r="F222" s="6">
        <v>-7.7656120061874001E-2</v>
      </c>
      <c r="G222" s="6">
        <v>-0.58228754997253407</v>
      </c>
      <c r="H222" s="6">
        <v>1.305962085723877</v>
      </c>
      <c r="I222" s="6">
        <v>-0.90940791368484508</v>
      </c>
      <c r="J222" s="6">
        <v>0.38249871134758001</v>
      </c>
      <c r="K222" s="6">
        <v>-1.0110607147216799</v>
      </c>
      <c r="L222" s="6">
        <v>1.435760617256165</v>
      </c>
      <c r="M222" s="6">
        <v>-0.99330902099609408</v>
      </c>
      <c r="N222" s="6">
        <v>2.56067659925306</v>
      </c>
      <c r="O222" s="6">
        <v>2.4687386723791889</v>
      </c>
      <c r="P222" s="6">
        <v>1.5903800914324071</v>
      </c>
      <c r="Q222" s="6">
        <v>1.418008644804148</v>
      </c>
      <c r="R222" s="6">
        <v>18.773410025602836</v>
      </c>
      <c r="S222" s="6">
        <v>16.235189694495503</v>
      </c>
      <c r="T222" s="6">
        <v>2.5422570705413818</v>
      </c>
      <c r="U222" s="6" t="str">
        <f>_xll.BDP($A222,"TRAILING_12M_R&amp;D_%_SALES",$A$1,$A$2)</f>
        <v>#N/A N/A</v>
      </c>
      <c r="V222" s="6">
        <v>55</v>
      </c>
      <c r="W222" s="6">
        <v>551010</v>
      </c>
      <c r="X222" s="6">
        <v>55101010</v>
      </c>
      <c r="Y222" s="7" t="s">
        <v>154</v>
      </c>
      <c r="Z222" s="7" t="s">
        <v>155</v>
      </c>
      <c r="AA222" s="7" t="s">
        <v>155</v>
      </c>
      <c r="AB222" s="6">
        <v>71.029075622558594</v>
      </c>
      <c r="AC222" s="6">
        <v>0.64020598978180809</v>
      </c>
      <c r="AD222" s="6">
        <v>-2.4438981891121809</v>
      </c>
      <c r="AE222" s="6">
        <v>27859</v>
      </c>
      <c r="AF222" s="6">
        <v>29060</v>
      </c>
    </row>
    <row r="223" spans="1:32" s="4" customFormat="1" ht="12.75" x14ac:dyDescent="0.2">
      <c r="A223" s="7" t="s">
        <v>800</v>
      </c>
      <c r="B223" s="7" t="s">
        <v>801</v>
      </c>
      <c r="C223" s="7" t="s">
        <v>802</v>
      </c>
      <c r="D223" s="6">
        <v>-0.8323199748992921</v>
      </c>
      <c r="E223" s="6">
        <v>-0.74634283781051602</v>
      </c>
      <c r="F223" s="6">
        <v>-0.36342695355415305</v>
      </c>
      <c r="G223" s="6">
        <v>-0.90467923879623402</v>
      </c>
      <c r="H223" s="6">
        <v>0.40207785367965704</v>
      </c>
      <c r="I223" s="6">
        <v>0.68580752611160301</v>
      </c>
      <c r="J223" s="6">
        <v>1.2643271684646611</v>
      </c>
      <c r="K223" s="6">
        <v>-1.1162790060043331</v>
      </c>
      <c r="L223" s="6">
        <v>0.86457777023315407</v>
      </c>
      <c r="M223" s="6">
        <v>-0.81674474477767911</v>
      </c>
      <c r="N223" s="6">
        <v>0.54109788051047103</v>
      </c>
      <c r="O223" s="6">
        <v>0.51643581246490999</v>
      </c>
      <c r="P223" s="6">
        <v>1.1608915149245389</v>
      </c>
      <c r="Q223" s="6">
        <v>1.0838726975295041</v>
      </c>
      <c r="R223" s="6">
        <v>7.8801742021644898</v>
      </c>
      <c r="S223" s="6">
        <v>9.9738896940386841</v>
      </c>
      <c r="T223" s="6">
        <v>15.644302368164063</v>
      </c>
      <c r="U223" s="6" t="str">
        <f>_xll.BDP($A223,"TRAILING_12M_R&amp;D_%_SALES",$A$1,$A$2)</f>
        <v>#N/A N/A</v>
      </c>
      <c r="V223" s="6">
        <v>60</v>
      </c>
      <c r="W223" s="6">
        <v>602010</v>
      </c>
      <c r="X223" s="6">
        <v>60201010</v>
      </c>
      <c r="Y223" s="7" t="s">
        <v>221</v>
      </c>
      <c r="Z223" s="7" t="s">
        <v>478</v>
      </c>
      <c r="AA223" s="7" t="s">
        <v>803</v>
      </c>
      <c r="AB223" s="6">
        <v>62.46856689453125</v>
      </c>
      <c r="AC223" s="6">
        <v>0.27471657131460803</v>
      </c>
      <c r="AD223" s="6">
        <v>48.983697487729572</v>
      </c>
      <c r="AE223" s="6">
        <v>49768</v>
      </c>
      <c r="AF223" s="6">
        <v>64402</v>
      </c>
    </row>
    <row r="224" spans="1:32" s="4" customFormat="1" ht="12.75" x14ac:dyDescent="0.2">
      <c r="A224" s="7" t="s">
        <v>804</v>
      </c>
      <c r="B224" s="7" t="s">
        <v>805</v>
      </c>
      <c r="C224" s="7" t="s">
        <v>806</v>
      </c>
      <c r="D224" s="6">
        <v>-0.8323199748992921</v>
      </c>
      <c r="E224" s="6">
        <v>-0.74634283781051602</v>
      </c>
      <c r="F224" s="6">
        <v>-0.36342695355415305</v>
      </c>
      <c r="G224" s="6">
        <v>-0.90467923879623402</v>
      </c>
      <c r="H224" s="6">
        <v>0.40207785367965704</v>
      </c>
      <c r="I224" s="6">
        <v>0.68580752611160301</v>
      </c>
      <c r="J224" s="6">
        <v>1.2643271684646611</v>
      </c>
      <c r="K224" s="6">
        <v>-1.1162790060043331</v>
      </c>
      <c r="L224" s="6">
        <v>0.86457777023315407</v>
      </c>
      <c r="M224" s="6">
        <v>-0.81674474477767911</v>
      </c>
      <c r="N224" s="6">
        <v>0.54109788051047103</v>
      </c>
      <c r="O224" s="6"/>
      <c r="P224" s="6">
        <v>1.1608915149245389</v>
      </c>
      <c r="Q224" s="6"/>
      <c r="R224" s="6">
        <v>7.8801742021644898</v>
      </c>
      <c r="S224" s="6"/>
      <c r="T224" s="6">
        <v>15.644302368164063</v>
      </c>
      <c r="U224" s="6" t="str">
        <f>_xll.BDP($A224,"TRAILING_12M_R&amp;D_%_SALES",$A$1,$A$2)</f>
        <v>#N/A N/A</v>
      </c>
      <c r="V224" s="6">
        <v>60</v>
      </c>
      <c r="W224" s="6">
        <v>602010</v>
      </c>
      <c r="X224" s="6">
        <v>60201010</v>
      </c>
      <c r="Y224" s="7" t="s">
        <v>221</v>
      </c>
      <c r="Z224" s="7" t="s">
        <v>478</v>
      </c>
      <c r="AA224" s="7" t="s">
        <v>803</v>
      </c>
      <c r="AB224" s="6">
        <v>62.46856689453125</v>
      </c>
      <c r="AC224" s="6">
        <v>0.54160331604358902</v>
      </c>
      <c r="AD224" s="6">
        <v>36.791623625282632</v>
      </c>
      <c r="AE224" s="6">
        <v>49768</v>
      </c>
      <c r="AF224" s="6">
        <v>64402</v>
      </c>
    </row>
    <row r="225" spans="1:32" s="4" customFormat="1" ht="12.75" x14ac:dyDescent="0.2">
      <c r="A225" s="7" t="s">
        <v>807</v>
      </c>
      <c r="B225" s="7" t="s">
        <v>808</v>
      </c>
      <c r="C225" s="7" t="s">
        <v>809</v>
      </c>
      <c r="D225" s="6">
        <v>0.156771555542946</v>
      </c>
      <c r="E225" s="6">
        <v>-0.67799621820449807</v>
      </c>
      <c r="F225" s="6">
        <v>0.49196580052375805</v>
      </c>
      <c r="G225" s="6">
        <v>-0.63007676601409901</v>
      </c>
      <c r="H225" s="6">
        <v>7.102143764495801E-2</v>
      </c>
      <c r="I225" s="6">
        <v>0.61515575647354104</v>
      </c>
      <c r="J225" s="6">
        <v>2.5532150268554692</v>
      </c>
      <c r="K225" s="6">
        <v>-0.28771799802780201</v>
      </c>
      <c r="L225" s="6">
        <v>2.0918176174163818</v>
      </c>
      <c r="M225" s="6">
        <v>0.26774245500564603</v>
      </c>
      <c r="N225" s="6">
        <v>0.50934411352156905</v>
      </c>
      <c r="O225" s="6">
        <v>0.521271944966884</v>
      </c>
      <c r="P225" s="6">
        <v>0.91146219692060404</v>
      </c>
      <c r="Q225" s="6">
        <v>0.83233600290042309</v>
      </c>
      <c r="R225" s="6">
        <v>9.9272594941452947</v>
      </c>
      <c r="S225" s="6">
        <v>6.291682396265653</v>
      </c>
      <c r="T225" s="6">
        <v>9.1499719619750977</v>
      </c>
      <c r="U225" s="6" t="str">
        <f>_xll.BDP($A225,"TRAILING_12M_R&amp;D_%_SALES",$A$1,$A$2)</f>
        <v>#N/A N/A</v>
      </c>
      <c r="V225" s="6">
        <v>10</v>
      </c>
      <c r="W225" s="6">
        <v>101020</v>
      </c>
      <c r="X225" s="6">
        <v>10102010</v>
      </c>
      <c r="Y225" s="7" t="s">
        <v>387</v>
      </c>
      <c r="Z225" s="7" t="s">
        <v>516</v>
      </c>
      <c r="AA225" s="7" t="s">
        <v>693</v>
      </c>
      <c r="AB225" s="6">
        <v>76.290115356445313</v>
      </c>
      <c r="AC225" s="6">
        <v>0.79464568183405704</v>
      </c>
      <c r="AD225" s="6">
        <v>25.661492222265458</v>
      </c>
      <c r="AE225" s="6">
        <v>30801</v>
      </c>
      <c r="AF225" s="6">
        <v>32934</v>
      </c>
    </row>
    <row r="226" spans="1:32" s="4" customFormat="1" ht="12.75" x14ac:dyDescent="0.2">
      <c r="A226" s="7" t="s">
        <v>810</v>
      </c>
      <c r="B226" s="7" t="s">
        <v>811</v>
      </c>
      <c r="C226" s="7" t="s">
        <v>812</v>
      </c>
      <c r="D226" s="6">
        <v>-0.88676774501800504</v>
      </c>
      <c r="E226" s="6">
        <v>-0.55717355012893699</v>
      </c>
      <c r="F226" s="6">
        <v>-0.31520292162895203</v>
      </c>
      <c r="G226" s="6">
        <v>-0.55219459533691406</v>
      </c>
      <c r="H226" s="6">
        <v>0.35566434264183</v>
      </c>
      <c r="I226" s="6">
        <v>-0.26244312524795504</v>
      </c>
      <c r="J226" s="6">
        <v>-0.31334859132766701</v>
      </c>
      <c r="K226" s="6">
        <v>-0.79752969741821311</v>
      </c>
      <c r="L226" s="6">
        <v>-0.15608862042427102</v>
      </c>
      <c r="M226" s="6">
        <v>-0.52260297536850009</v>
      </c>
      <c r="N226" s="6">
        <v>3.752852165073123</v>
      </c>
      <c r="O226" s="6">
        <v>3.5167096811410681</v>
      </c>
      <c r="P226" s="6">
        <v>7.2385873382999177</v>
      </c>
      <c r="Q226" s="6">
        <v>6.755606370604764</v>
      </c>
      <c r="R226" s="6">
        <v>40.709828024339764</v>
      </c>
      <c r="S226" s="6">
        <v>32.353039331444847</v>
      </c>
      <c r="T226" s="6">
        <v>16.576482772827148</v>
      </c>
      <c r="U226" s="6" t="str">
        <f>_xll.BDP($A226,"TRAILING_12M_R&amp;D_%_SALES",$A$1,$A$2)</f>
        <v>#N/A N/A</v>
      </c>
      <c r="V226" s="6">
        <v>15</v>
      </c>
      <c r="W226" s="6">
        <v>151010</v>
      </c>
      <c r="X226" s="6">
        <v>15101050</v>
      </c>
      <c r="Y226" s="7" t="s">
        <v>61</v>
      </c>
      <c r="Z226" s="7" t="s">
        <v>250</v>
      </c>
      <c r="AA226" s="7" t="s">
        <v>727</v>
      </c>
      <c r="AB226" s="6">
        <v>76.913787841796875</v>
      </c>
      <c r="AC226" s="6">
        <v>0.96410413739032208</v>
      </c>
      <c r="AD226" s="6">
        <v>35.931150317401126</v>
      </c>
      <c r="AE226" s="6">
        <v>47000</v>
      </c>
      <c r="AF226" s="6">
        <v>48400</v>
      </c>
    </row>
    <row r="227" spans="1:32" s="4" customFormat="1" ht="12.75" x14ac:dyDescent="0.2">
      <c r="A227" s="7" t="s">
        <v>813</v>
      </c>
      <c r="B227" s="7" t="s">
        <v>814</v>
      </c>
      <c r="C227" s="7" t="s">
        <v>815</v>
      </c>
      <c r="D227" s="6">
        <v>-0.7417106628417971</v>
      </c>
      <c r="E227" s="6">
        <v>-0.70456463098526001</v>
      </c>
      <c r="F227" s="6">
        <v>-8.5911318659782007E-2</v>
      </c>
      <c r="G227" s="6">
        <v>-0.32319402694702104</v>
      </c>
      <c r="H227" s="6">
        <v>0.766437768936157</v>
      </c>
      <c r="I227" s="6">
        <v>-0.73820775747299205</v>
      </c>
      <c r="J227" s="6">
        <v>0.570085048675537</v>
      </c>
      <c r="K227" s="6">
        <v>-0.89437097311019909</v>
      </c>
      <c r="L227" s="6">
        <v>1.021883964538574</v>
      </c>
      <c r="M227" s="6">
        <v>-0.97525435686111506</v>
      </c>
      <c r="N227" s="6">
        <v>2.0879491689700971</v>
      </c>
      <c r="O227" s="6">
        <v>2.0827934322672572</v>
      </c>
      <c r="P227" s="6">
        <v>1.4889766449617221</v>
      </c>
      <c r="Q227" s="6">
        <v>1.4644826461750471</v>
      </c>
      <c r="R227" s="6">
        <v>18.877940447478512</v>
      </c>
      <c r="S227" s="6">
        <v>17.170631114426431</v>
      </c>
      <c r="T227" s="6">
        <v>11.356572151184082</v>
      </c>
      <c r="U227" s="6" t="str">
        <f>_xll.BDP($A227,"TRAILING_12M_R&amp;D_%_SALES",$A$1,$A$2)</f>
        <v>#N/A N/A</v>
      </c>
      <c r="V227" s="6">
        <v>55</v>
      </c>
      <c r="W227" s="6">
        <v>551030</v>
      </c>
      <c r="X227" s="6">
        <v>55103010</v>
      </c>
      <c r="Y227" s="7" t="s">
        <v>154</v>
      </c>
      <c r="Z227" s="7" t="s">
        <v>703</v>
      </c>
      <c r="AA227" s="7" t="s">
        <v>703</v>
      </c>
      <c r="AB227" s="6">
        <v>53.837642669677734</v>
      </c>
      <c r="AC227" s="6">
        <v>0.59548576426223709</v>
      </c>
      <c r="AD227" s="6">
        <v>-2.331648192037628</v>
      </c>
      <c r="AE227" s="6">
        <v>14319</v>
      </c>
      <c r="AF227" s="6">
        <v>15591</v>
      </c>
    </row>
    <row r="228" spans="1:32" s="4" customFormat="1" ht="12.75" x14ac:dyDescent="0.2">
      <c r="A228" s="7" t="s">
        <v>816</v>
      </c>
      <c r="B228" s="7" t="s">
        <v>817</v>
      </c>
      <c r="C228" s="7" t="s">
        <v>818</v>
      </c>
      <c r="D228" s="6">
        <v>-7.7647462487221E-2</v>
      </c>
      <c r="E228" s="6">
        <v>-3.0001873970031738</v>
      </c>
      <c r="F228" s="6">
        <v>-8.2659974694252E-2</v>
      </c>
      <c r="G228" s="6">
        <v>3.0003211498260498</v>
      </c>
      <c r="H228" s="6">
        <v>0.81491261720657304</v>
      </c>
      <c r="I228" s="6">
        <v>1.677161812782288</v>
      </c>
      <c r="J228" s="6">
        <v>0.21772909164428703</v>
      </c>
      <c r="K228" s="6">
        <v>-1.0496582984924321</v>
      </c>
      <c r="L228" s="6">
        <v>-0.79459333419799805</v>
      </c>
      <c r="M228" s="6">
        <v>1.7185424566268921</v>
      </c>
      <c r="N228" s="6"/>
      <c r="O228" s="6"/>
      <c r="P228" s="6">
        <v>1.9262854000000002E-8</v>
      </c>
      <c r="Q228" s="6"/>
      <c r="R228" s="6"/>
      <c r="S228" s="6"/>
      <c r="T228" s="6">
        <v>-30.49342155456543</v>
      </c>
      <c r="U228" s="6" t="str">
        <f>_xll.BDP($A228,"TRAILING_12M_R&amp;D_%_SALES",$A$1,$A$2)</f>
        <v>#N/A N/A</v>
      </c>
      <c r="V228" s="6">
        <v>60</v>
      </c>
      <c r="W228" s="6">
        <v>602010</v>
      </c>
      <c r="X228" s="6">
        <v>60201010</v>
      </c>
      <c r="Y228" s="7" t="s">
        <v>221</v>
      </c>
      <c r="Z228" s="7" t="s">
        <v>478</v>
      </c>
      <c r="AA228" s="7" t="s">
        <v>803</v>
      </c>
      <c r="AB228" s="6"/>
      <c r="AC228" s="6">
        <v>2.8414511752869842</v>
      </c>
      <c r="AD228" s="6">
        <v>132.69230163044492</v>
      </c>
      <c r="AE228" s="6">
        <v>6</v>
      </c>
      <c r="AF228" s="6">
        <v>3</v>
      </c>
    </row>
    <row r="229" spans="1:32" s="4" customFormat="1" ht="12.75" x14ac:dyDescent="0.2">
      <c r="A229" s="7" t="s">
        <v>819</v>
      </c>
      <c r="B229" s="7" t="s">
        <v>820</v>
      </c>
      <c r="C229" s="7" t="s">
        <v>821</v>
      </c>
      <c r="D229" s="6">
        <v>0.156771555542946</v>
      </c>
      <c r="E229" s="6">
        <v>-0.67799621820449807</v>
      </c>
      <c r="F229" s="6">
        <v>0.49196580052375805</v>
      </c>
      <c r="G229" s="6">
        <v>-0.63007676601409901</v>
      </c>
      <c r="H229" s="6">
        <v>7.102143764495801E-2</v>
      </c>
      <c r="I229" s="6">
        <v>0.61515575647354104</v>
      </c>
      <c r="J229" s="6">
        <v>2.5532150268554692</v>
      </c>
      <c r="K229" s="6">
        <v>-0.28771799802780201</v>
      </c>
      <c r="L229" s="6">
        <v>2.0918176174163818</v>
      </c>
      <c r="M229" s="6">
        <v>0.26774245500564603</v>
      </c>
      <c r="N229" s="6">
        <v>0.50934411352156905</v>
      </c>
      <c r="O229" s="6">
        <v>0.44632280378737405</v>
      </c>
      <c r="P229" s="6">
        <v>0.91146219692060404</v>
      </c>
      <c r="Q229" s="6">
        <v>0.71266172210576106</v>
      </c>
      <c r="R229" s="6">
        <v>9.9272594941452947</v>
      </c>
      <c r="S229" s="6">
        <v>5.387045623323691</v>
      </c>
      <c r="T229" s="6">
        <v>9.1499719619750977</v>
      </c>
      <c r="U229" s="6" t="str">
        <f>_xll.BDP($A229,"TRAILING_12M_R&amp;D_%_SALES",$A$1,$A$2)</f>
        <v>#N/A N/A</v>
      </c>
      <c r="V229" s="6">
        <v>10</v>
      </c>
      <c r="W229" s="6">
        <v>101020</v>
      </c>
      <c r="X229" s="6">
        <v>10102010</v>
      </c>
      <c r="Y229" s="7" t="s">
        <v>387</v>
      </c>
      <c r="Z229" s="7" t="s">
        <v>516</v>
      </c>
      <c r="AA229" s="7" t="s">
        <v>693</v>
      </c>
      <c r="AB229" s="6">
        <v>76.290115356445313</v>
      </c>
      <c r="AC229" s="6">
        <v>0.61823760653762005</v>
      </c>
      <c r="AD229" s="6">
        <v>4.2116767186025417</v>
      </c>
      <c r="AE229" s="6">
        <v>30801</v>
      </c>
      <c r="AF229" s="6">
        <v>32934</v>
      </c>
    </row>
    <row r="230" spans="1:32" s="4" customFormat="1" ht="12.75" x14ac:dyDescent="0.2">
      <c r="A230" s="7" t="s">
        <v>822</v>
      </c>
      <c r="B230" s="7" t="s">
        <v>823</v>
      </c>
      <c r="C230" s="7" t="s">
        <v>824</v>
      </c>
      <c r="D230" s="6">
        <v>-0.7291289567947391</v>
      </c>
      <c r="E230" s="6">
        <v>-0.92095512151718106</v>
      </c>
      <c r="F230" s="6">
        <v>-5.1226180046797007E-2</v>
      </c>
      <c r="G230" s="6">
        <v>-0.43155914545059204</v>
      </c>
      <c r="H230" s="6">
        <v>1.5274968147277832</v>
      </c>
      <c r="I230" s="6">
        <v>-0.40782117843627902</v>
      </c>
      <c r="J230" s="6">
        <v>0.45387509465217601</v>
      </c>
      <c r="K230" s="6">
        <v>-0.71786373853683505</v>
      </c>
      <c r="L230" s="6">
        <v>1.461650609970093</v>
      </c>
      <c r="M230" s="6">
        <v>-0.78340971469879206</v>
      </c>
      <c r="N230" s="6">
        <v>1.6415559752973981</v>
      </c>
      <c r="O230" s="6">
        <v>1.5070190404338102</v>
      </c>
      <c r="P230" s="6">
        <v>2.0027216371543011</v>
      </c>
      <c r="Q230" s="6">
        <v>1.7390774275497081</v>
      </c>
      <c r="R230" s="6">
        <v>17.692977952149516</v>
      </c>
      <c r="S230" s="6">
        <v>13.998049194762983</v>
      </c>
      <c r="T230" s="6">
        <v>9.1046590805053711</v>
      </c>
      <c r="U230" s="6" t="str">
        <f>_xll.BDP($A230,"TRAILING_12M_R&amp;D_%_SALES",$A$1,$A$2)</f>
        <v>#N/A N/A</v>
      </c>
      <c r="V230" s="6">
        <v>55</v>
      </c>
      <c r="W230" s="6">
        <v>551010</v>
      </c>
      <c r="X230" s="6">
        <v>55101010</v>
      </c>
      <c r="Y230" s="7" t="s">
        <v>154</v>
      </c>
      <c r="Z230" s="7" t="s">
        <v>155</v>
      </c>
      <c r="AA230" s="7" t="s">
        <v>155</v>
      </c>
      <c r="AB230" s="6">
        <v>67.377525329589844</v>
      </c>
      <c r="AC230" s="6">
        <v>0.82040672666926007</v>
      </c>
      <c r="AD230" s="6">
        <v>15.940661303232574</v>
      </c>
      <c r="AE230" s="6">
        <v>12831</v>
      </c>
      <c r="AF230" s="6">
        <v>12521</v>
      </c>
    </row>
    <row r="231" spans="1:32" s="4" customFormat="1" ht="12.75" x14ac:dyDescent="0.2">
      <c r="A231" s="7" t="s">
        <v>825</v>
      </c>
      <c r="B231" s="7" t="s">
        <v>826</v>
      </c>
      <c r="C231" s="7" t="s">
        <v>827</v>
      </c>
      <c r="D231" s="6">
        <v>-0.79443871974945102</v>
      </c>
      <c r="E231" s="6">
        <v>-0.96105486154556308</v>
      </c>
      <c r="F231" s="6">
        <v>-0.62018895149231001</v>
      </c>
      <c r="G231" s="6">
        <v>-0.60408860445022605</v>
      </c>
      <c r="H231" s="6">
        <v>1.6449118852615361</v>
      </c>
      <c r="I231" s="6">
        <v>-0.14753273129463201</v>
      </c>
      <c r="J231" s="6">
        <v>0.72979158163070701</v>
      </c>
      <c r="K231" s="6">
        <v>-1.258713364601135</v>
      </c>
      <c r="L231" s="6">
        <v>-2.2600967437029003E-2</v>
      </c>
      <c r="M231" s="6">
        <v>-0.23282229900360102</v>
      </c>
      <c r="N231" s="6">
        <v>1.181460872862991</v>
      </c>
      <c r="O231" s="6">
        <v>0.99244049224589703</v>
      </c>
      <c r="P231" s="6">
        <v>1.17818405912989</v>
      </c>
      <c r="Q231" s="6"/>
      <c r="R231" s="6">
        <v>16.184200087114963</v>
      </c>
      <c r="S231" s="6"/>
      <c r="T231" s="6">
        <v>7.5617470741271973</v>
      </c>
      <c r="U231" s="6" t="str">
        <f>_xll.BDP($A231,"TRAILING_12M_R&amp;D_%_SALES",$A$1,$A$2)</f>
        <v>#N/A N/A</v>
      </c>
      <c r="V231" s="6">
        <v>20</v>
      </c>
      <c r="W231" s="6">
        <v>203040</v>
      </c>
      <c r="X231" s="6">
        <v>20304010</v>
      </c>
      <c r="Y231" s="7" t="s">
        <v>38</v>
      </c>
      <c r="Z231" s="7" t="s">
        <v>561</v>
      </c>
      <c r="AA231" s="7" t="s">
        <v>562</v>
      </c>
      <c r="AB231" s="6">
        <v>49.431648254394531</v>
      </c>
      <c r="AC231" s="6">
        <v>0.35495387699501502</v>
      </c>
      <c r="AD231" s="6">
        <v>-4.1505253285703088</v>
      </c>
      <c r="AE231" s="6">
        <v>69235</v>
      </c>
      <c r="AF231" s="6">
        <v>73193</v>
      </c>
    </row>
    <row r="232" spans="1:32" s="4" customFormat="1" ht="12.75" x14ac:dyDescent="0.2">
      <c r="A232" s="7" t="s">
        <v>828</v>
      </c>
      <c r="B232" s="7" t="s">
        <v>829</v>
      </c>
      <c r="C232" s="7" t="s">
        <v>830</v>
      </c>
      <c r="D232" s="6">
        <v>-0.82953935861587502</v>
      </c>
      <c r="E232" s="6">
        <v>-1.0063067674636841</v>
      </c>
      <c r="F232" s="6">
        <v>-0.67968851327896107</v>
      </c>
      <c r="G232" s="6">
        <v>-0.62556195259094205</v>
      </c>
      <c r="H232" s="6">
        <v>1.5354266166687012</v>
      </c>
      <c r="I232" s="6">
        <v>0.126237377524376</v>
      </c>
      <c r="J232" s="6">
        <v>0.67538505792617809</v>
      </c>
      <c r="K232" s="6">
        <v>-1.3439515829086299</v>
      </c>
      <c r="L232" s="6">
        <v>-9.1407999396324005E-2</v>
      </c>
      <c r="M232" s="6">
        <v>-0.314003735780716</v>
      </c>
      <c r="N232" s="6">
        <v>1.181460872862991</v>
      </c>
      <c r="O232" s="6"/>
      <c r="P232" s="6">
        <v>1.17818405912989</v>
      </c>
      <c r="Q232" s="6"/>
      <c r="R232" s="6">
        <v>16.184200087114963</v>
      </c>
      <c r="S232" s="6"/>
      <c r="T232" s="6">
        <v>7.5617470741271973</v>
      </c>
      <c r="U232" s="6" t="str">
        <f>_xll.BDP($A232,"TRAILING_12M_R&amp;D_%_SALES",$A$1,$A$2)</f>
        <v>#N/A N/A</v>
      </c>
      <c r="V232" s="6">
        <v>20</v>
      </c>
      <c r="W232" s="6">
        <v>203040</v>
      </c>
      <c r="X232" s="6">
        <v>20304010</v>
      </c>
      <c r="Y232" s="7" t="s">
        <v>38</v>
      </c>
      <c r="Z232" s="7" t="s">
        <v>561</v>
      </c>
      <c r="AA232" s="7" t="s">
        <v>562</v>
      </c>
      <c r="AB232" s="6">
        <v>49.431648254394531</v>
      </c>
      <c r="AC232" s="6">
        <v>0.53774023764520307</v>
      </c>
      <c r="AD232" s="6">
        <v>2.8927512781806053</v>
      </c>
      <c r="AE232" s="6">
        <v>69235</v>
      </c>
      <c r="AF232" s="6">
        <v>73193</v>
      </c>
    </row>
    <row r="233" spans="1:32" s="4" customFormat="1" ht="12.75" x14ac:dyDescent="0.2">
      <c r="A233" s="7" t="s">
        <v>831</v>
      </c>
      <c r="B233" s="7" t="s">
        <v>832</v>
      </c>
      <c r="C233" s="7" t="s">
        <v>833</v>
      </c>
      <c r="D233" s="6">
        <v>-0.82780331373214711</v>
      </c>
      <c r="E233" s="6">
        <v>-0.69804733991622903</v>
      </c>
      <c r="F233" s="6">
        <v>1.284776091575623</v>
      </c>
      <c r="G233" s="6">
        <v>0.26260054111480702</v>
      </c>
      <c r="H233" s="6">
        <v>0.43438181281089805</v>
      </c>
      <c r="I233" s="6">
        <v>-1.996564507484436</v>
      </c>
      <c r="J233" s="6">
        <v>-0.39589270949363703</v>
      </c>
      <c r="K233" s="6">
        <v>-0.24435411393642401</v>
      </c>
      <c r="L233" s="6">
        <v>0.11788937449455301</v>
      </c>
      <c r="M233" s="6">
        <v>-0.30257236957550004</v>
      </c>
      <c r="N233" s="6">
        <v>3.3787806981885962</v>
      </c>
      <c r="O233" s="6">
        <v>3.1838011585958341</v>
      </c>
      <c r="P233" s="6">
        <v>9.7968051224343196</v>
      </c>
      <c r="Q233" s="6">
        <v>8.783673801409364</v>
      </c>
      <c r="R233" s="6">
        <v>66.555749767946438</v>
      </c>
      <c r="S233" s="6">
        <v>45.117876066359599</v>
      </c>
      <c r="T233" s="6">
        <v>10.093009948730469</v>
      </c>
      <c r="U233" s="6" t="str">
        <f>_xll.BDP($A233,"TRAILING_12M_R&amp;D_%_SALES",$A$1,$A$2)</f>
        <v>#N/A N/A</v>
      </c>
      <c r="V233" s="6">
        <v>30</v>
      </c>
      <c r="W233" s="6">
        <v>303020</v>
      </c>
      <c r="X233" s="6">
        <v>30302010</v>
      </c>
      <c r="Y233" s="7" t="s">
        <v>106</v>
      </c>
      <c r="Z233" s="7" t="s">
        <v>834</v>
      </c>
      <c r="AA233" s="7" t="s">
        <v>834</v>
      </c>
      <c r="AB233" s="6">
        <v>70.415451049804688</v>
      </c>
      <c r="AC233" s="6">
        <v>1.186752613029862</v>
      </c>
      <c r="AD233" s="6">
        <v>-40.574114674504116</v>
      </c>
      <c r="AE233" s="6">
        <v>44020</v>
      </c>
      <c r="AF233" s="6">
        <v>46000</v>
      </c>
    </row>
    <row r="234" spans="1:32" s="4" customFormat="1" ht="12.75" x14ac:dyDescent="0.2">
      <c r="A234" s="7" t="s">
        <v>835</v>
      </c>
      <c r="B234" s="7" t="s">
        <v>836</v>
      </c>
      <c r="C234" s="7" t="s">
        <v>837</v>
      </c>
      <c r="D234" s="6">
        <v>0.36825907230377203</v>
      </c>
      <c r="E234" s="6">
        <v>-0.60360246896743808</v>
      </c>
      <c r="F234" s="6">
        <v>0.33158788084983803</v>
      </c>
      <c r="G234" s="6">
        <v>-0.41352537274360701</v>
      </c>
      <c r="H234" s="6">
        <v>-2.0787939429283003E-2</v>
      </c>
      <c r="I234" s="6">
        <v>-0.66443359851837203</v>
      </c>
      <c r="J234" s="6">
        <v>0.47726842761039706</v>
      </c>
      <c r="K234" s="6">
        <v>0.16142454743385301</v>
      </c>
      <c r="L234" s="6">
        <v>-0.10992000252008401</v>
      </c>
      <c r="M234" s="6">
        <v>1.8436158075929E-2</v>
      </c>
      <c r="N234" s="6">
        <v>0.66436110621327105</v>
      </c>
      <c r="O234" s="6">
        <v>0.63050112501371702</v>
      </c>
      <c r="P234" s="6">
        <v>2.8829799996604319</v>
      </c>
      <c r="Q234" s="6">
        <v>2.5155903707685061</v>
      </c>
      <c r="R234" s="6">
        <v>15.754975277191647</v>
      </c>
      <c r="S234" s="6">
        <v>12.715996176661919</v>
      </c>
      <c r="T234" s="6">
        <v>16.11524772644043</v>
      </c>
      <c r="U234" s="6">
        <f>_xll.BDP($A234,"TRAILING_12M_R&amp;D_%_SALES",$A$1,$A$2)</f>
        <v>0</v>
      </c>
      <c r="V234" s="6">
        <v>35</v>
      </c>
      <c r="W234" s="6">
        <v>351020</v>
      </c>
      <c r="X234" s="6">
        <v>35102030</v>
      </c>
      <c r="Y234" s="7" t="s">
        <v>72</v>
      </c>
      <c r="Z234" s="7" t="s">
        <v>467</v>
      </c>
      <c r="AA234" s="7" t="s">
        <v>592</v>
      </c>
      <c r="AB234" s="6">
        <v>56.100994110107422</v>
      </c>
      <c r="AC234" s="6">
        <v>0.67825750496846005</v>
      </c>
      <c r="AD234" s="6">
        <v>-6.8787015634741211</v>
      </c>
      <c r="AE234" s="6">
        <v>102300</v>
      </c>
      <c r="AF234" s="6">
        <v>56000</v>
      </c>
    </row>
    <row r="235" spans="1:32" s="4" customFormat="1" ht="12.75" x14ac:dyDescent="0.2">
      <c r="A235" s="7" t="s">
        <v>838</v>
      </c>
      <c r="B235" s="7" t="s">
        <v>839</v>
      </c>
      <c r="C235" s="7" t="s">
        <v>840</v>
      </c>
      <c r="D235" s="6">
        <v>-0.64347904920578003</v>
      </c>
      <c r="E235" s="6">
        <v>-0.71413362026214611</v>
      </c>
      <c r="F235" s="6">
        <v>-1.2000389099121089</v>
      </c>
      <c r="G235" s="6">
        <v>-0.30840578675270103</v>
      </c>
      <c r="H235" s="6">
        <v>-0.41766309738159202</v>
      </c>
      <c r="I235" s="6">
        <v>8.4160119295120003E-2</v>
      </c>
      <c r="J235" s="6">
        <v>-6.378322094678901E-2</v>
      </c>
      <c r="K235" s="6">
        <v>0.35771337151527405</v>
      </c>
      <c r="L235" s="6">
        <v>0.27347311377525302</v>
      </c>
      <c r="M235" s="6">
        <v>0.8374109268188481</v>
      </c>
      <c r="N235" s="6">
        <v>3.6885056272370109</v>
      </c>
      <c r="O235" s="6">
        <v>3.1541287624550378</v>
      </c>
      <c r="P235" s="6">
        <v>2.690935469166825</v>
      </c>
      <c r="Q235" s="6">
        <v>2.2295151097746482</v>
      </c>
      <c r="R235" s="6">
        <v>24.861719511821732</v>
      </c>
      <c r="S235" s="6">
        <v>18.142050856201422</v>
      </c>
      <c r="T235" s="6">
        <v>85.138313293457031</v>
      </c>
      <c r="U235" s="6" t="str">
        <f>_xll.BDP($A235,"TRAILING_12M_R&amp;D_%_SALES",$A$1,$A$2)</f>
        <v>#N/A N/A</v>
      </c>
      <c r="V235" s="6">
        <v>20</v>
      </c>
      <c r="W235" s="6">
        <v>201040</v>
      </c>
      <c r="X235" s="6">
        <v>20104010</v>
      </c>
      <c r="Y235" s="7" t="s">
        <v>38</v>
      </c>
      <c r="Z235" s="7" t="s">
        <v>841</v>
      </c>
      <c r="AA235" s="7" t="s">
        <v>842</v>
      </c>
      <c r="AB235" s="6">
        <v>58.314052581787109</v>
      </c>
      <c r="AC235" s="6">
        <v>0.97291008078808705</v>
      </c>
      <c r="AD235" s="6">
        <v>3.4377889293873749</v>
      </c>
      <c r="AE235" s="6">
        <v>67000</v>
      </c>
      <c r="AF235" s="6">
        <v>87500</v>
      </c>
    </row>
    <row r="236" spans="1:32" s="4" customFormat="1" ht="12.75" x14ac:dyDescent="0.2">
      <c r="A236" s="7" t="s">
        <v>843</v>
      </c>
      <c r="B236" s="7" t="s">
        <v>844</v>
      </c>
      <c r="C236" s="7" t="s">
        <v>845</v>
      </c>
      <c r="D236" s="6">
        <v>-8.3650231361389008E-2</v>
      </c>
      <c r="E236" s="6">
        <v>-1.180806517601013</v>
      </c>
      <c r="F236" s="6">
        <v>3.8539800792933003E-2</v>
      </c>
      <c r="G236" s="6">
        <v>-0.92038094997406006</v>
      </c>
      <c r="H236" s="6">
        <v>1.005086421966553</v>
      </c>
      <c r="I236" s="6">
        <v>0.526095330715179</v>
      </c>
      <c r="J236" s="6">
        <v>0.90523701906204213</v>
      </c>
      <c r="K236" s="6">
        <v>-0.15876933932304402</v>
      </c>
      <c r="L236" s="6">
        <v>1.4312340021133421</v>
      </c>
      <c r="M236" s="6">
        <v>-5.5088445544243005E-2</v>
      </c>
      <c r="N236" s="6">
        <v>0.30691599758995203</v>
      </c>
      <c r="O236" s="6">
        <v>0.32627416654006203</v>
      </c>
      <c r="P236" s="6">
        <v>2.0316548919424369</v>
      </c>
      <c r="Q236" s="6">
        <v>1.7214261835949389</v>
      </c>
      <c r="R236" s="6"/>
      <c r="S236" s="6">
        <v>11.890523839341602</v>
      </c>
      <c r="T236" s="6">
        <v>-4.667564868927002</v>
      </c>
      <c r="U236" s="6" t="str">
        <f>_xll.BDP($A236,"TRAILING_12M_R&amp;D_%_SALES",$A$1,$A$2)</f>
        <v>#N/A N/A</v>
      </c>
      <c r="V236" s="6">
        <v>55</v>
      </c>
      <c r="W236" s="6">
        <v>551030</v>
      </c>
      <c r="X236" s="6">
        <v>55103010</v>
      </c>
      <c r="Y236" s="7" t="s">
        <v>154</v>
      </c>
      <c r="Z236" s="7" t="s">
        <v>703</v>
      </c>
      <c r="AA236" s="7" t="s">
        <v>703</v>
      </c>
      <c r="AB236" s="6">
        <v>69.821952819824219</v>
      </c>
      <c r="AC236" s="6">
        <v>0.47781987427652306</v>
      </c>
      <c r="AD236" s="6">
        <v>44.887184399106083</v>
      </c>
      <c r="AE236" s="6">
        <v>68888</v>
      </c>
      <c r="AF236" s="6">
        <v>42699</v>
      </c>
    </row>
    <row r="237" spans="1:32" s="4" customFormat="1" ht="12.75" x14ac:dyDescent="0.2">
      <c r="A237" s="7" t="s">
        <v>846</v>
      </c>
      <c r="B237" s="7" t="s">
        <v>847</v>
      </c>
      <c r="C237" s="7" t="s">
        <v>848</v>
      </c>
      <c r="D237" s="6">
        <v>-7.3267795145512002E-2</v>
      </c>
      <c r="E237" s="6">
        <v>-0.92562747001647905</v>
      </c>
      <c r="F237" s="6">
        <v>3.3304505050182003E-2</v>
      </c>
      <c r="G237" s="6">
        <v>-0.30227190256118802</v>
      </c>
      <c r="H237" s="6">
        <v>1.147631764411926</v>
      </c>
      <c r="I237" s="6">
        <v>-0.80473375320434604</v>
      </c>
      <c r="J237" s="6">
        <v>0.38298109173774703</v>
      </c>
      <c r="K237" s="6">
        <v>-1.0884085893630979</v>
      </c>
      <c r="L237" s="6">
        <v>3.0000102519989009</v>
      </c>
      <c r="M237" s="6">
        <v>-0.9213231205940251</v>
      </c>
      <c r="N237" s="6">
        <v>2.1232793068037381</v>
      </c>
      <c r="O237" s="6">
        <v>2.2303762420570279</v>
      </c>
      <c r="P237" s="6">
        <v>1.74752724583945</v>
      </c>
      <c r="Q237" s="6">
        <v>1.7361902910245122</v>
      </c>
      <c r="R237" s="6">
        <v>16.198363043088332</v>
      </c>
      <c r="S237" s="6">
        <v>17.054363239055171</v>
      </c>
      <c r="T237" s="6">
        <v>5.2387180328369141</v>
      </c>
      <c r="U237" s="6" t="str">
        <f>_xll.BDP($A237,"TRAILING_12M_R&amp;D_%_SALES",$A$1,$A$2)</f>
        <v>#N/A N/A</v>
      </c>
      <c r="V237" s="6">
        <v>10</v>
      </c>
      <c r="W237" s="6">
        <v>101020</v>
      </c>
      <c r="X237" s="6">
        <v>10102040</v>
      </c>
      <c r="Y237" s="7" t="s">
        <v>387</v>
      </c>
      <c r="Z237" s="7" t="s">
        <v>516</v>
      </c>
      <c r="AA237" s="7" t="s">
        <v>849</v>
      </c>
      <c r="AB237" s="6">
        <v>79.991950988769531</v>
      </c>
      <c r="AC237" s="6">
        <v>0.80002996169374807</v>
      </c>
      <c r="AD237" s="6">
        <v>-1.5189098192011969</v>
      </c>
      <c r="AE237" s="6"/>
      <c r="AF237" s="6">
        <v>8500</v>
      </c>
    </row>
    <row r="238" spans="1:32" s="4" customFormat="1" ht="12.75" x14ac:dyDescent="0.2">
      <c r="A238" s="7" t="s">
        <v>850</v>
      </c>
      <c r="B238" s="7" t="s">
        <v>851</v>
      </c>
      <c r="C238" s="7" t="s">
        <v>852</v>
      </c>
      <c r="D238" s="6">
        <v>8.6190201342106004E-2</v>
      </c>
      <c r="E238" s="6">
        <v>-1.8444628715515141</v>
      </c>
      <c r="F238" s="6">
        <v>0.52408480644226108</v>
      </c>
      <c r="G238" s="6">
        <v>-0.91999399662017811</v>
      </c>
      <c r="H238" s="6">
        <v>0.57547163963317904</v>
      </c>
      <c r="I238" s="6">
        <v>0.27628859877586404</v>
      </c>
      <c r="J238" s="6">
        <v>0.30516764521598805</v>
      </c>
      <c r="K238" s="6">
        <v>-1.278064966201782</v>
      </c>
      <c r="L238" s="6">
        <v>3.0000102519989009</v>
      </c>
      <c r="M238" s="6">
        <v>-0.66056829690933205</v>
      </c>
      <c r="N238" s="6">
        <v>0.38911912595333603</v>
      </c>
      <c r="O238" s="6"/>
      <c r="P238" s="6">
        <v>1.3320802276036909</v>
      </c>
      <c r="Q238" s="6"/>
      <c r="R238" s="6"/>
      <c r="S238" s="6"/>
      <c r="T238" s="6">
        <v>-15.179147720336914</v>
      </c>
      <c r="U238" s="6" t="str">
        <f>_xll.BDP($A238,"TRAILING_12M_R&amp;D_%_SALES",$A$1,$A$2)</f>
        <v>#N/A N/A</v>
      </c>
      <c r="V238" s="6">
        <v>55</v>
      </c>
      <c r="W238" s="6">
        <v>551030</v>
      </c>
      <c r="X238" s="6">
        <v>55103010</v>
      </c>
      <c r="Y238" s="7" t="s">
        <v>154</v>
      </c>
      <c r="Z238" s="7" t="s">
        <v>703</v>
      </c>
      <c r="AA238" s="7" t="s">
        <v>703</v>
      </c>
      <c r="AB238" s="6">
        <v>67.095863342285156</v>
      </c>
      <c r="AC238" s="6">
        <v>0.5805100419314051</v>
      </c>
      <c r="AD238" s="6">
        <v>34.101663172043459</v>
      </c>
      <c r="AE238" s="6">
        <v>96454</v>
      </c>
      <c r="AF238" s="6"/>
    </row>
    <row r="239" spans="1:32" s="4" customFormat="1" ht="12.75" x14ac:dyDescent="0.2">
      <c r="A239" s="7" t="s">
        <v>853</v>
      </c>
      <c r="B239" s="7" t="s">
        <v>854</v>
      </c>
      <c r="C239" s="7" t="s">
        <v>855</v>
      </c>
      <c r="D239" s="6">
        <v>8.6190201342106004E-2</v>
      </c>
      <c r="E239" s="6">
        <v>-1.8444628715515141</v>
      </c>
      <c r="F239" s="6">
        <v>0.52408480644226108</v>
      </c>
      <c r="G239" s="6">
        <v>-0.91999399662017811</v>
      </c>
      <c r="H239" s="6">
        <v>0.57547163963317904</v>
      </c>
      <c r="I239" s="6">
        <v>0.27628859877586404</v>
      </c>
      <c r="J239" s="6">
        <v>0.30516764521598805</v>
      </c>
      <c r="K239" s="6">
        <v>-1.278064966201782</v>
      </c>
      <c r="L239" s="6">
        <v>3.0000102519989009</v>
      </c>
      <c r="M239" s="6">
        <v>-0.66056829690933205</v>
      </c>
      <c r="N239" s="6">
        <v>0.38911912595333603</v>
      </c>
      <c r="O239" s="6">
        <v>0.42374804794857102</v>
      </c>
      <c r="P239" s="6">
        <v>1.3320802276036909</v>
      </c>
      <c r="Q239" s="6">
        <v>1.032587760640755</v>
      </c>
      <c r="R239" s="6"/>
      <c r="S239" s="6">
        <v>8.9746248673376705</v>
      </c>
      <c r="T239" s="6">
        <v>-15.179147720336914</v>
      </c>
      <c r="U239" s="6" t="str">
        <f>_xll.BDP($A239,"TRAILING_12M_R&amp;D_%_SALES",$A$1,$A$2)</f>
        <v>#N/A N/A</v>
      </c>
      <c r="V239" s="6">
        <v>55</v>
      </c>
      <c r="W239" s="6">
        <v>551030</v>
      </c>
      <c r="X239" s="6">
        <v>55103010</v>
      </c>
      <c r="Y239" s="7" t="s">
        <v>154</v>
      </c>
      <c r="Z239" s="7" t="s">
        <v>703</v>
      </c>
      <c r="AA239" s="7" t="s">
        <v>703</v>
      </c>
      <c r="AB239" s="6">
        <v>67.095863342285156</v>
      </c>
      <c r="AC239" s="6">
        <v>0.51808781174977803</v>
      </c>
      <c r="AD239" s="6">
        <v>33.849899430554565</v>
      </c>
      <c r="AE239" s="6">
        <v>96454</v>
      </c>
      <c r="AF239" s="6"/>
    </row>
    <row r="240" spans="1:32" s="4" customFormat="1" ht="12.75" x14ac:dyDescent="0.2">
      <c r="A240" s="7" t="s">
        <v>856</v>
      </c>
      <c r="B240" s="7" t="s">
        <v>857</v>
      </c>
      <c r="C240" s="7" t="s">
        <v>858</v>
      </c>
      <c r="D240" s="6">
        <v>0.31112909317016602</v>
      </c>
      <c r="E240" s="6">
        <v>-0.77613925933837902</v>
      </c>
      <c r="F240" s="6">
        <v>1.042550802230835</v>
      </c>
      <c r="G240" s="6">
        <v>-0.84502178430557306</v>
      </c>
      <c r="H240" s="6">
        <v>1.2933263778686519</v>
      </c>
      <c r="I240" s="6">
        <v>0.506844222545624</v>
      </c>
      <c r="J240" s="6">
        <v>1.339092493057251</v>
      </c>
      <c r="K240" s="6">
        <v>-0.92540025711059604</v>
      </c>
      <c r="L240" s="6">
        <v>2.540859699249268</v>
      </c>
      <c r="M240" s="6">
        <v>-0.70167374610900901</v>
      </c>
      <c r="N240" s="6">
        <v>0.70485973929270007</v>
      </c>
      <c r="O240" s="6"/>
      <c r="P240" s="6">
        <v>1.9887730362360032</v>
      </c>
      <c r="Q240" s="6"/>
      <c r="R240" s="6">
        <v>10.753461220213287</v>
      </c>
      <c r="S240" s="6"/>
      <c r="T240" s="6">
        <v>12.898841857910156</v>
      </c>
      <c r="U240" s="6" t="str">
        <f>_xll.BDP($A240,"TRAILING_12M_R&amp;D_%_SALES",$A$1,$A$2)</f>
        <v>#N/A N/A</v>
      </c>
      <c r="V240" s="6">
        <v>55</v>
      </c>
      <c r="W240" s="6">
        <v>551010</v>
      </c>
      <c r="X240" s="6">
        <v>55101010</v>
      </c>
      <c r="Y240" s="7" t="s">
        <v>154</v>
      </c>
      <c r="Z240" s="7" t="s">
        <v>155</v>
      </c>
      <c r="AA240" s="7" t="s">
        <v>155</v>
      </c>
      <c r="AB240" s="6">
        <v>80.223320007324219</v>
      </c>
      <c r="AC240" s="6">
        <v>0.86923483654724409</v>
      </c>
      <c r="AD240" s="6">
        <v>46.589208228008005</v>
      </c>
      <c r="AE240" s="6">
        <v>65124</v>
      </c>
      <c r="AF240" s="6">
        <v>62900</v>
      </c>
    </row>
    <row r="241" spans="1:32" s="4" customFormat="1" ht="12.75" x14ac:dyDescent="0.2">
      <c r="A241" s="7" t="s">
        <v>859</v>
      </c>
      <c r="B241" s="7" t="s">
        <v>860</v>
      </c>
      <c r="C241" s="7" t="s">
        <v>861</v>
      </c>
      <c r="D241" s="6">
        <v>-0.47065681219101002</v>
      </c>
      <c r="E241" s="6">
        <v>0.56566202640533403</v>
      </c>
      <c r="F241" s="6">
        <v>0.65625190734863303</v>
      </c>
      <c r="G241" s="6">
        <v>-0.15467678010463701</v>
      </c>
      <c r="H241" s="6">
        <v>-0.94406068325042702</v>
      </c>
      <c r="I241" s="6">
        <v>-0.35015258193016102</v>
      </c>
      <c r="J241" s="6">
        <v>1.225202322006226</v>
      </c>
      <c r="K241" s="6">
        <v>2.7516594156623001E-2</v>
      </c>
      <c r="L241" s="6">
        <v>0.53073883056640603</v>
      </c>
      <c r="M241" s="6">
        <v>0.70199388265609708</v>
      </c>
      <c r="N241" s="6">
        <v>3.0129464131401962</v>
      </c>
      <c r="O241" s="6">
        <v>2.9605166720966638</v>
      </c>
      <c r="P241" s="6">
        <v>2.5405215396916683</v>
      </c>
      <c r="Q241" s="6">
        <v>2.1730927250781349</v>
      </c>
      <c r="R241" s="6">
        <v>10.001718919871021</v>
      </c>
      <c r="S241" s="6">
        <v>9.570873633865812</v>
      </c>
      <c r="T241" s="6">
        <v>30.550119400024414</v>
      </c>
      <c r="U241" s="6">
        <f>_xll.BDP($A241,"TRAILING_12M_R&amp;D_%_SALES",$A$1,$A$2)</f>
        <v>0</v>
      </c>
      <c r="V241" s="6">
        <v>10</v>
      </c>
      <c r="W241" s="6">
        <v>101020</v>
      </c>
      <c r="X241" s="6">
        <v>10102020</v>
      </c>
      <c r="Y241" s="7" t="s">
        <v>387</v>
      </c>
      <c r="Z241" s="7" t="s">
        <v>516</v>
      </c>
      <c r="AA241" s="7" t="s">
        <v>603</v>
      </c>
      <c r="AB241" s="6">
        <v>63.715923309326172</v>
      </c>
      <c r="AC241" s="6">
        <v>0.84117350581246708</v>
      </c>
      <c r="AD241" s="6">
        <v>-1.3128319056736171</v>
      </c>
      <c r="AE241" s="6">
        <v>2850</v>
      </c>
      <c r="AF241" s="6">
        <v>2664</v>
      </c>
    </row>
    <row r="242" spans="1:32" s="4" customFormat="1" ht="12.75" x14ac:dyDescent="0.2">
      <c r="A242" s="7" t="s">
        <v>862</v>
      </c>
      <c r="B242" s="7" t="s">
        <v>863</v>
      </c>
      <c r="C242" s="7" t="s">
        <v>864</v>
      </c>
      <c r="D242" s="6">
        <v>-8.3650231361389008E-2</v>
      </c>
      <c r="E242" s="6">
        <v>-1.180806517601013</v>
      </c>
      <c r="F242" s="6">
        <v>3.8539800792933003E-2</v>
      </c>
      <c r="G242" s="6">
        <v>-0.92038094997406006</v>
      </c>
      <c r="H242" s="6">
        <v>1.005086421966553</v>
      </c>
      <c r="I242" s="6">
        <v>0.526095330715179</v>
      </c>
      <c r="J242" s="6">
        <v>0.90523701906204213</v>
      </c>
      <c r="K242" s="6">
        <v>-0.15876933932304402</v>
      </c>
      <c r="L242" s="6">
        <v>1.4312340021133421</v>
      </c>
      <c r="M242" s="6">
        <v>-5.5088445544243005E-2</v>
      </c>
      <c r="N242" s="6">
        <v>0.30691599758995203</v>
      </c>
      <c r="O242" s="6"/>
      <c r="P242" s="6">
        <v>2.0316548919424369</v>
      </c>
      <c r="Q242" s="6"/>
      <c r="R242" s="6"/>
      <c r="S242" s="6"/>
      <c r="T242" s="6">
        <v>-4.667564868927002</v>
      </c>
      <c r="U242" s="6" t="str">
        <f>_xll.BDP($A242,"TRAILING_12M_R&amp;D_%_SALES",$A$1,$A$2)</f>
        <v>#N/A N/A</v>
      </c>
      <c r="V242" s="6">
        <v>55</v>
      </c>
      <c r="W242" s="6">
        <v>551030</v>
      </c>
      <c r="X242" s="6">
        <v>55103010</v>
      </c>
      <c r="Y242" s="7" t="s">
        <v>154</v>
      </c>
      <c r="Z242" s="7" t="s">
        <v>703</v>
      </c>
      <c r="AA242" s="7" t="s">
        <v>703</v>
      </c>
      <c r="AB242" s="6">
        <v>69.821952819824219</v>
      </c>
      <c r="AC242" s="6">
        <v>0.66396422468417704</v>
      </c>
      <c r="AD242" s="6">
        <v>41.13144344804163</v>
      </c>
      <c r="AE242" s="6">
        <v>68888</v>
      </c>
      <c r="AF242" s="6">
        <v>42699</v>
      </c>
    </row>
    <row r="243" spans="1:32" s="4" customFormat="1" ht="12.75" x14ac:dyDescent="0.2">
      <c r="A243" s="7" t="s">
        <v>865</v>
      </c>
      <c r="B243" s="7" t="s">
        <v>866</v>
      </c>
      <c r="C243" s="7" t="s">
        <v>867</v>
      </c>
      <c r="D243" s="6">
        <v>-0.21577723324298903</v>
      </c>
      <c r="E243" s="6">
        <v>-0.53207796812057506</v>
      </c>
      <c r="F243" s="6">
        <v>-0.329186230897903</v>
      </c>
      <c r="G243" s="6">
        <v>-0.89881759881973311</v>
      </c>
      <c r="H243" s="6">
        <v>0.75567692518234308</v>
      </c>
      <c r="I243" s="6">
        <v>-0.31591466069221502</v>
      </c>
      <c r="J243" s="6">
        <v>0.69031780958175704</v>
      </c>
      <c r="K243" s="6">
        <v>-0.516604363918304</v>
      </c>
      <c r="L243" s="6">
        <v>2.636992216110229</v>
      </c>
      <c r="M243" s="6">
        <v>-0.49743273854255704</v>
      </c>
      <c r="N243" s="6">
        <v>1.1804349438415001</v>
      </c>
      <c r="O243" s="6">
        <v>1.149932017691861</v>
      </c>
      <c r="P243" s="6">
        <v>2.1078826328794862</v>
      </c>
      <c r="Q243" s="6">
        <v>1.9977256421340992</v>
      </c>
      <c r="R243" s="6">
        <v>10.595533497807743</v>
      </c>
      <c r="S243" s="6">
        <v>9.9877188554310887</v>
      </c>
      <c r="T243" s="6">
        <v>20.116640090942383</v>
      </c>
      <c r="U243" s="6" t="str">
        <f>_xll.BDP($A243,"TRAILING_12M_R&amp;D_%_SALES",$A$1,$A$2)</f>
        <v>#N/A N/A</v>
      </c>
      <c r="V243" s="6">
        <v>10</v>
      </c>
      <c r="W243" s="6">
        <v>101020</v>
      </c>
      <c r="X243" s="6">
        <v>10102040</v>
      </c>
      <c r="Y243" s="7" t="s">
        <v>387</v>
      </c>
      <c r="Z243" s="7" t="s">
        <v>516</v>
      </c>
      <c r="AA243" s="7" t="s">
        <v>849</v>
      </c>
      <c r="AB243" s="6">
        <v>48.294940948486328</v>
      </c>
      <c r="AC243" s="6">
        <v>0.56216238377737104</v>
      </c>
      <c r="AD243" s="6">
        <v>17.254633556274324</v>
      </c>
      <c r="AE243" s="6">
        <v>7300</v>
      </c>
      <c r="AF243" s="6">
        <v>6700</v>
      </c>
    </row>
    <row r="244" spans="1:32" s="4" customFormat="1" ht="12.75" x14ac:dyDescent="0.2">
      <c r="A244" s="7" t="s">
        <v>868</v>
      </c>
      <c r="B244" s="7" t="s">
        <v>869</v>
      </c>
      <c r="C244" s="7" t="s">
        <v>870</v>
      </c>
      <c r="D244" s="6">
        <v>-0.82857143878936812</v>
      </c>
      <c r="E244" s="6">
        <v>-0.509637951850891</v>
      </c>
      <c r="F244" s="6">
        <v>8.9465547353030014E-3</v>
      </c>
      <c r="G244" s="6">
        <v>0.122370205819607</v>
      </c>
      <c r="H244" s="6">
        <v>0.136542499065399</v>
      </c>
      <c r="I244" s="6">
        <v>-0.44608175754547102</v>
      </c>
      <c r="J244" s="6">
        <v>0.84308505058288608</v>
      </c>
      <c r="K244" s="6">
        <v>-0.82454961538314808</v>
      </c>
      <c r="L244" s="6">
        <v>0.76320987939834606</v>
      </c>
      <c r="M244" s="6">
        <v>-1.0432672500610349</v>
      </c>
      <c r="N244" s="6">
        <v>1.155827175376871</v>
      </c>
      <c r="O244" s="6">
        <v>0.78320283441585403</v>
      </c>
      <c r="P244" s="6">
        <v>142.38861658273836</v>
      </c>
      <c r="Q244" s="6">
        <v>2.083072632923801</v>
      </c>
      <c r="R244" s="6">
        <v>3.6792904209510069</v>
      </c>
      <c r="S244" s="6">
        <v>5.5481506233442381</v>
      </c>
      <c r="T244" s="6">
        <v>211.75213623046875</v>
      </c>
      <c r="U244" s="6" t="str">
        <f>_xll.BDP($A244,"TRAILING_12M_R&amp;D_%_SALES",$A$1,$A$2)</f>
        <v>#N/A N/A</v>
      </c>
      <c r="V244" s="6">
        <v>40</v>
      </c>
      <c r="W244" s="6">
        <v>402010</v>
      </c>
      <c r="X244" s="6">
        <v>40201020</v>
      </c>
      <c r="Y244" s="7" t="s">
        <v>43</v>
      </c>
      <c r="Z244" s="7" t="s">
        <v>255</v>
      </c>
      <c r="AA244" s="7" t="s">
        <v>256</v>
      </c>
      <c r="AB244" s="6">
        <v>46.946987152099609</v>
      </c>
      <c r="AC244" s="6">
        <v>1.347605916214591</v>
      </c>
      <c r="AD244" s="6">
        <v>18.449045808492471</v>
      </c>
      <c r="AE244" s="6">
        <v>8200</v>
      </c>
      <c r="AF244" s="6"/>
    </row>
    <row r="245" spans="1:32" s="4" customFormat="1" ht="12.75" x14ac:dyDescent="0.2">
      <c r="A245" s="7" t="s">
        <v>871</v>
      </c>
      <c r="B245" s="7" t="s">
        <v>872</v>
      </c>
      <c r="C245" s="7" t="s">
        <v>873</v>
      </c>
      <c r="D245" s="6">
        <v>-0.81423068046569802</v>
      </c>
      <c r="E245" s="6">
        <v>-0.76125895977020308</v>
      </c>
      <c r="F245" s="6">
        <v>0.26556622982025102</v>
      </c>
      <c r="G245" s="6">
        <v>-0.44176793098449701</v>
      </c>
      <c r="H245" s="6">
        <v>0.77196133136749301</v>
      </c>
      <c r="I245" s="6">
        <v>0.16111442446708701</v>
      </c>
      <c r="J245" s="6">
        <v>-0.49951189756393405</v>
      </c>
      <c r="K245" s="6">
        <v>-0.52336031198501609</v>
      </c>
      <c r="L245" s="6">
        <v>0.14102262258529702</v>
      </c>
      <c r="M245" s="6">
        <v>-0.84651458263397206</v>
      </c>
      <c r="N245" s="6">
        <v>9.4439072289170642</v>
      </c>
      <c r="O245" s="6">
        <v>8.4879589555803108</v>
      </c>
      <c r="P245" s="6">
        <v>6.361017029223393</v>
      </c>
      <c r="Q245" s="6">
        <v>6.3863581627189152</v>
      </c>
      <c r="R245" s="6">
        <v>86.991959879434759</v>
      </c>
      <c r="S245" s="6">
        <v>70.030871169339662</v>
      </c>
      <c r="T245" s="6">
        <v>7.5549068450927734</v>
      </c>
      <c r="U245" s="6" t="str">
        <f>_xll.BDP($A245,"TRAILING_12M_R&amp;D_%_SALES",$A$1,$A$2)</f>
        <v>#N/A N/A</v>
      </c>
      <c r="V245" s="6">
        <v>60</v>
      </c>
      <c r="W245" s="6">
        <v>601080</v>
      </c>
      <c r="X245" s="6">
        <v>60108050</v>
      </c>
      <c r="Y245" s="7" t="s">
        <v>221</v>
      </c>
      <c r="Z245" s="7" t="s">
        <v>222</v>
      </c>
      <c r="AA245" s="7" t="s">
        <v>874</v>
      </c>
      <c r="AB245" s="6">
        <v>58.485061645507813</v>
      </c>
      <c r="AC245" s="6">
        <v>1.0386564783468151</v>
      </c>
      <c r="AD245" s="6">
        <v>23.448383029015286</v>
      </c>
      <c r="AE245" s="6">
        <v>12097</v>
      </c>
      <c r="AF245" s="6">
        <v>7273</v>
      </c>
    </row>
    <row r="246" spans="1:32" s="4" customFormat="1" ht="12.75" x14ac:dyDescent="0.2">
      <c r="A246" s="7" t="s">
        <v>875</v>
      </c>
      <c r="B246" s="7" t="s">
        <v>876</v>
      </c>
      <c r="C246" s="7" t="s">
        <v>877</v>
      </c>
      <c r="D246" s="6">
        <v>-0.96419382095336903</v>
      </c>
      <c r="E246" s="6">
        <v>-0.90089684724807706</v>
      </c>
      <c r="F246" s="6">
        <v>0.278425753116608</v>
      </c>
      <c r="G246" s="6">
        <v>-0.29631575942039501</v>
      </c>
      <c r="H246" s="6">
        <v>1.322419285774231</v>
      </c>
      <c r="I246" s="6">
        <v>-1.570171713829041</v>
      </c>
      <c r="J246" s="6">
        <v>0.55345755815506004</v>
      </c>
      <c r="K246" s="6">
        <v>-0.71543633937835704</v>
      </c>
      <c r="L246" s="6">
        <v>1.458964943885803</v>
      </c>
      <c r="M246" s="6">
        <v>-0.97203308343887307</v>
      </c>
      <c r="N246" s="6">
        <v>1.7603153798185032</v>
      </c>
      <c r="O246" s="6">
        <v>1.593301328884333</v>
      </c>
      <c r="P246" s="6">
        <v>1.3743072308421891</v>
      </c>
      <c r="Q246" s="6">
        <v>1.250455834590009</v>
      </c>
      <c r="R246" s="6">
        <v>14.392723745505391</v>
      </c>
      <c r="S246" s="6">
        <v>13.431992173851411</v>
      </c>
      <c r="T246" s="6">
        <v>7.5336518287658691</v>
      </c>
      <c r="U246" s="6" t="str">
        <f>_xll.BDP($A246,"TRAILING_12M_R&amp;D_%_SALES",$A$1,$A$2)</f>
        <v>#N/A N/A</v>
      </c>
      <c r="V246" s="6">
        <v>55</v>
      </c>
      <c r="W246" s="6">
        <v>551010</v>
      </c>
      <c r="X246" s="6">
        <v>55101010</v>
      </c>
      <c r="Y246" s="7" t="s">
        <v>154</v>
      </c>
      <c r="Z246" s="7" t="s">
        <v>155</v>
      </c>
      <c r="AA246" s="7" t="s">
        <v>155</v>
      </c>
      <c r="AB246" s="6">
        <v>69.369277954101563</v>
      </c>
      <c r="AC246" s="6">
        <v>0.81966488987828612</v>
      </c>
      <c r="AD246" s="6">
        <v>-24.508023379492716</v>
      </c>
      <c r="AE246" s="6">
        <v>9626</v>
      </c>
      <c r="AF246" s="6">
        <v>8084</v>
      </c>
    </row>
    <row r="247" spans="1:32" s="4" customFormat="1" ht="12.75" x14ac:dyDescent="0.2">
      <c r="A247" s="7" t="s">
        <v>878</v>
      </c>
      <c r="B247" s="7" t="s">
        <v>879</v>
      </c>
      <c r="C247" s="7" t="s">
        <v>880</v>
      </c>
      <c r="D247" s="6">
        <v>0.31112909317016602</v>
      </c>
      <c r="E247" s="6">
        <v>-0.77613925933837902</v>
      </c>
      <c r="F247" s="6">
        <v>1.042550802230835</v>
      </c>
      <c r="G247" s="6">
        <v>-0.84502178430557306</v>
      </c>
      <c r="H247" s="6">
        <v>1.2933263778686519</v>
      </c>
      <c r="I247" s="6">
        <v>0.506844222545624</v>
      </c>
      <c r="J247" s="6">
        <v>1.339092493057251</v>
      </c>
      <c r="K247" s="6">
        <v>-0.92540025711059604</v>
      </c>
      <c r="L247" s="6">
        <v>2.540859699249268</v>
      </c>
      <c r="M247" s="6">
        <v>-0.70167374610900901</v>
      </c>
      <c r="N247" s="6">
        <v>0.70485973929270007</v>
      </c>
      <c r="O247" s="6">
        <v>0.649693980861761</v>
      </c>
      <c r="P247" s="6">
        <v>1.9887730362360032</v>
      </c>
      <c r="Q247" s="6">
        <v>1.984272557363989</v>
      </c>
      <c r="R247" s="6">
        <v>10.753461220213287</v>
      </c>
      <c r="S247" s="6">
        <v>10.02951246690732</v>
      </c>
      <c r="T247" s="6">
        <v>12.898841857910156</v>
      </c>
      <c r="U247" s="6" t="str">
        <f>_xll.BDP($A247,"TRAILING_12M_R&amp;D_%_SALES",$A$1,$A$2)</f>
        <v>#N/A N/A</v>
      </c>
      <c r="V247" s="6">
        <v>55</v>
      </c>
      <c r="W247" s="6">
        <v>551010</v>
      </c>
      <c r="X247" s="6">
        <v>55101010</v>
      </c>
      <c r="Y247" s="7" t="s">
        <v>154</v>
      </c>
      <c r="Z247" s="7" t="s">
        <v>155</v>
      </c>
      <c r="AA247" s="7" t="s">
        <v>155</v>
      </c>
      <c r="AB247" s="6">
        <v>80.223320007324219</v>
      </c>
      <c r="AC247" s="6">
        <v>0.69166780844052</v>
      </c>
      <c r="AD247" s="6">
        <v>46.435861195305336</v>
      </c>
      <c r="AE247" s="6">
        <v>65124</v>
      </c>
      <c r="AF247" s="6">
        <v>62900</v>
      </c>
    </row>
    <row r="248" spans="1:32" s="4" customFormat="1" ht="12.75" x14ac:dyDescent="0.2">
      <c r="A248" s="7" t="s">
        <v>881</v>
      </c>
      <c r="B248" s="7" t="s">
        <v>882</v>
      </c>
      <c r="C248" s="7" t="s">
        <v>883</v>
      </c>
      <c r="D248" s="6">
        <v>-0.10740875452756901</v>
      </c>
      <c r="E248" s="6">
        <v>-0.71936601400375411</v>
      </c>
      <c r="F248" s="6">
        <v>-2.5717854499817002E-2</v>
      </c>
      <c r="G248" s="6">
        <v>-0.40979802608490001</v>
      </c>
      <c r="H248" s="6">
        <v>1.359151363372803</v>
      </c>
      <c r="I248" s="6">
        <v>0.19055132567882502</v>
      </c>
      <c r="J248" s="6">
        <v>1.310012578964233</v>
      </c>
      <c r="K248" s="6">
        <v>-0.76890695095062311</v>
      </c>
      <c r="L248" s="6">
        <v>3.0000102519989009</v>
      </c>
      <c r="M248" s="6">
        <v>-0.42046654224395802</v>
      </c>
      <c r="N248" s="6">
        <v>0.54706497833455703</v>
      </c>
      <c r="O248" s="6">
        <v>0.53847162210488508</v>
      </c>
      <c r="P248" s="6">
        <v>1.6050581739137861</v>
      </c>
      <c r="Q248" s="6">
        <v>1.450596113458541</v>
      </c>
      <c r="R248" s="6">
        <v>11.095994886725407</v>
      </c>
      <c r="S248" s="6">
        <v>9.7036861131077501</v>
      </c>
      <c r="T248" s="6">
        <v>12.32084846496582</v>
      </c>
      <c r="U248" s="6" t="str">
        <f>_xll.BDP($A248,"TRAILING_12M_R&amp;D_%_SALES",$A$1,$A$2)</f>
        <v>#N/A N/A</v>
      </c>
      <c r="V248" s="6">
        <v>10</v>
      </c>
      <c r="W248" s="6">
        <v>101020</v>
      </c>
      <c r="X248" s="6">
        <v>10102040</v>
      </c>
      <c r="Y248" s="7" t="s">
        <v>387</v>
      </c>
      <c r="Z248" s="7" t="s">
        <v>516</v>
      </c>
      <c r="AA248" s="7" t="s">
        <v>849</v>
      </c>
      <c r="AB248" s="6">
        <v>33.889949798583984</v>
      </c>
      <c r="AC248" s="6">
        <v>0.74760570308092</v>
      </c>
      <c r="AD248" s="6">
        <v>27.999820609968573</v>
      </c>
      <c r="AE248" s="6">
        <v>12565</v>
      </c>
      <c r="AF248" s="6">
        <v>29486</v>
      </c>
    </row>
    <row r="249" spans="1:32" s="4" customFormat="1" ht="12.75" x14ac:dyDescent="0.2">
      <c r="A249" s="7" t="s">
        <v>884</v>
      </c>
      <c r="B249" s="7" t="s">
        <v>885</v>
      </c>
      <c r="C249" s="7" t="s">
        <v>886</v>
      </c>
      <c r="D249" s="6">
        <v>-0.46142172813415505</v>
      </c>
      <c r="E249" s="6">
        <v>-0.45415869355201705</v>
      </c>
      <c r="F249" s="6">
        <v>5.9649880975485008E-2</v>
      </c>
      <c r="G249" s="6">
        <v>-0.38086113333702104</v>
      </c>
      <c r="H249" s="6">
        <v>-0.26148098707199102</v>
      </c>
      <c r="I249" s="6">
        <v>0.82448512315750111</v>
      </c>
      <c r="J249" s="6">
        <v>-0.24019961059093503</v>
      </c>
      <c r="K249" s="6">
        <v>-0.79315584897995006</v>
      </c>
      <c r="L249" s="6">
        <v>2.2251036018133E-2</v>
      </c>
      <c r="M249" s="6">
        <v>-0.77737575769424405</v>
      </c>
      <c r="N249" s="6">
        <v>4.2461986631401363</v>
      </c>
      <c r="O249" s="6">
        <v>3.8960437512073272</v>
      </c>
      <c r="P249" s="6">
        <v>5.2306044637868823</v>
      </c>
      <c r="Q249" s="6">
        <v>4.8478141091430711</v>
      </c>
      <c r="R249" s="6">
        <v>29.590990534212288</v>
      </c>
      <c r="S249" s="6">
        <v>24.169470124462425</v>
      </c>
      <c r="T249" s="6">
        <v>17.380704879760742</v>
      </c>
      <c r="U249" s="6">
        <f>_xll.BDP($A249,"TRAILING_12M_R&amp;D_%_SALES",$A$1,$A$2)</f>
        <v>3.1875552697162148</v>
      </c>
      <c r="V249" s="6">
        <v>20</v>
      </c>
      <c r="W249" s="6">
        <v>201040</v>
      </c>
      <c r="X249" s="6">
        <v>20104010</v>
      </c>
      <c r="Y249" s="7" t="s">
        <v>38</v>
      </c>
      <c r="Z249" s="7" t="s">
        <v>841</v>
      </c>
      <c r="AA249" s="7" t="s">
        <v>842</v>
      </c>
      <c r="AB249" s="6">
        <v>66.27099609375</v>
      </c>
      <c r="AC249" s="6">
        <v>1.0733334926696869</v>
      </c>
      <c r="AD249" s="6">
        <v>55.798866551542936</v>
      </c>
      <c r="AE249" s="6">
        <v>92000</v>
      </c>
      <c r="AF249" s="6">
        <v>96000</v>
      </c>
    </row>
    <row r="250" spans="1:32" s="4" customFormat="1" ht="12.75" x14ac:dyDescent="0.2">
      <c r="A250" s="7" t="s">
        <v>887</v>
      </c>
      <c r="B250" s="7" t="s">
        <v>888</v>
      </c>
      <c r="C250" s="7" t="s">
        <v>889</v>
      </c>
      <c r="D250" s="6">
        <v>-0.93348079919815108</v>
      </c>
      <c r="E250" s="6">
        <v>-0.79450953006744407</v>
      </c>
      <c r="F250" s="6">
        <v>-0.26620325446128801</v>
      </c>
      <c r="G250" s="6">
        <v>-6.7925348877907007E-2</v>
      </c>
      <c r="H250" s="6">
        <v>1.4221476316452031</v>
      </c>
      <c r="I250" s="6">
        <v>-1.040162920951843</v>
      </c>
      <c r="J250" s="6">
        <v>0.76847487688064609</v>
      </c>
      <c r="K250" s="6">
        <v>-0.88709741830825806</v>
      </c>
      <c r="L250" s="6">
        <v>1.4092204570770259</v>
      </c>
      <c r="M250" s="6">
        <v>-0.96575015783309903</v>
      </c>
      <c r="N250" s="6">
        <v>1.678049668592593</v>
      </c>
      <c r="O250" s="6">
        <v>1.569433895942365</v>
      </c>
      <c r="P250" s="6">
        <v>1.5629318907524752</v>
      </c>
      <c r="Q250" s="6">
        <v>1.506431353164702</v>
      </c>
      <c r="R250" s="6">
        <v>13.978965660316426</v>
      </c>
      <c r="S250" s="6">
        <v>14.051727320860202</v>
      </c>
      <c r="T250" s="6">
        <v>11.442673683166504</v>
      </c>
      <c r="U250" s="6" t="str">
        <f>_xll.BDP($A250,"TRAILING_12M_R&amp;D_%_SALES",$A$1,$A$2)</f>
        <v>#N/A N/A</v>
      </c>
      <c r="V250" s="6">
        <v>55</v>
      </c>
      <c r="W250" s="6">
        <v>551010</v>
      </c>
      <c r="X250" s="6">
        <v>55101010</v>
      </c>
      <c r="Y250" s="7" t="s">
        <v>154</v>
      </c>
      <c r="Z250" s="7" t="s">
        <v>155</v>
      </c>
      <c r="AA250" s="7" t="s">
        <v>155</v>
      </c>
      <c r="AB250" s="6">
        <v>65.717735290527344</v>
      </c>
      <c r="AC250" s="6">
        <v>0.78158956998314311</v>
      </c>
      <c r="AD250" s="6">
        <v>-7.3811101172521543</v>
      </c>
      <c r="AE250" s="6">
        <v>11707</v>
      </c>
      <c r="AF250" s="6">
        <v>13504</v>
      </c>
    </row>
    <row r="251" spans="1:32" s="4" customFormat="1" ht="12.75" x14ac:dyDescent="0.2">
      <c r="A251" s="7" t="s">
        <v>890</v>
      </c>
      <c r="B251" s="7" t="s">
        <v>891</v>
      </c>
      <c r="C251" s="7" t="s">
        <v>892</v>
      </c>
      <c r="D251" s="6">
        <v>-0.48206809163093606</v>
      </c>
      <c r="E251" s="6">
        <v>-0.83246284723281905</v>
      </c>
      <c r="F251" s="6">
        <v>-0.45905071496963501</v>
      </c>
      <c r="G251" s="6">
        <v>-2.6294043287635002E-2</v>
      </c>
      <c r="H251" s="6">
        <v>1.2767066955566411</v>
      </c>
      <c r="I251" s="6">
        <v>-0.7223928570747381</v>
      </c>
      <c r="J251" s="6">
        <v>0.38862702250480702</v>
      </c>
      <c r="K251" s="6">
        <v>-1.5818885564804082</v>
      </c>
      <c r="L251" s="6">
        <v>1.0224540233612061</v>
      </c>
      <c r="M251" s="6">
        <v>-0.7831672430038451</v>
      </c>
      <c r="N251" s="6">
        <v>1.6984287250854651</v>
      </c>
      <c r="O251" s="6">
        <v>1.687499152830862</v>
      </c>
      <c r="P251" s="6">
        <v>1.402453922178089</v>
      </c>
      <c r="Q251" s="6">
        <v>1.339677235122859</v>
      </c>
      <c r="R251" s="6">
        <v>16.253059395794942</v>
      </c>
      <c r="S251" s="6">
        <v>14.716855327483231</v>
      </c>
      <c r="T251" s="6">
        <v>8.5670900344848633</v>
      </c>
      <c r="U251" s="6" t="str">
        <f>_xll.BDP($A251,"TRAILING_12M_R&amp;D_%_SALES",$A$1,$A$2)</f>
        <v>#N/A N/A</v>
      </c>
      <c r="V251" s="6">
        <v>55</v>
      </c>
      <c r="W251" s="6">
        <v>551010</v>
      </c>
      <c r="X251" s="6">
        <v>55101010</v>
      </c>
      <c r="Y251" s="7" t="s">
        <v>154</v>
      </c>
      <c r="Z251" s="7" t="s">
        <v>155</v>
      </c>
      <c r="AA251" s="7" t="s">
        <v>155</v>
      </c>
      <c r="AB251" s="6">
        <v>59.148979187011719</v>
      </c>
      <c r="AC251" s="6">
        <v>0.68540431221563602</v>
      </c>
      <c r="AD251" s="6">
        <v>-13.77645225663896</v>
      </c>
      <c r="AE251" s="6">
        <v>19063</v>
      </c>
      <c r="AF251" s="6">
        <v>34621</v>
      </c>
    </row>
    <row r="252" spans="1:32" s="4" customFormat="1" ht="12.75" x14ac:dyDescent="0.2">
      <c r="A252" s="7" t="s">
        <v>893</v>
      </c>
      <c r="B252" s="7" t="s">
        <v>894</v>
      </c>
      <c r="C252" s="7" t="s">
        <v>895</v>
      </c>
      <c r="D252" s="6">
        <v>0.36526331305503801</v>
      </c>
      <c r="E252" s="6">
        <v>-1.0341179370880129</v>
      </c>
      <c r="F252" s="6">
        <v>-0.80132651329040505</v>
      </c>
      <c r="G252" s="6">
        <v>1.783959627151489</v>
      </c>
      <c r="H252" s="6">
        <v>1.5799893140792851</v>
      </c>
      <c r="I252" s="6">
        <v>-0.63892245292663608</v>
      </c>
      <c r="J252" s="6">
        <v>1.499714255332947</v>
      </c>
      <c r="K252" s="6">
        <v>-1.0291411876678469</v>
      </c>
      <c r="L252" s="6">
        <v>1.546106696128845</v>
      </c>
      <c r="M252" s="6">
        <v>-0.71573120355606101</v>
      </c>
      <c r="N252" s="6">
        <v>0.279891205811092</v>
      </c>
      <c r="O252" s="6">
        <v>0.28666608177244701</v>
      </c>
      <c r="P252" s="6">
        <v>1.1024108740567691</v>
      </c>
      <c r="Q252" s="6">
        <v>1.003184774362829</v>
      </c>
      <c r="R252" s="6">
        <v>5.3406071249021654</v>
      </c>
      <c r="S252" s="6">
        <v>7.2363534717568356</v>
      </c>
      <c r="T252" s="6">
        <v>14.265870094299316</v>
      </c>
      <c r="U252" s="6" t="str">
        <f>_xll.BDP($A252,"TRAILING_12M_R&amp;D_%_SALES",$A$1,$A$2)</f>
        <v>#N/A N/A</v>
      </c>
      <c r="V252" s="6">
        <v>25</v>
      </c>
      <c r="W252" s="6">
        <v>251020</v>
      </c>
      <c r="X252" s="6">
        <v>25102010</v>
      </c>
      <c r="Y252" s="7" t="s">
        <v>85</v>
      </c>
      <c r="Z252" s="7" t="s">
        <v>316</v>
      </c>
      <c r="AA252" s="7" t="s">
        <v>317</v>
      </c>
      <c r="AB252" s="6">
        <v>71.95452880859375</v>
      </c>
      <c r="AC252" s="6">
        <v>1.267534986791093</v>
      </c>
      <c r="AD252" s="6">
        <v>16.691502821535089</v>
      </c>
      <c r="AE252" s="6">
        <v>173000</v>
      </c>
      <c r="AF252" s="6">
        <v>202000</v>
      </c>
    </row>
    <row r="253" spans="1:32" s="4" customFormat="1" ht="12.75" x14ac:dyDescent="0.2">
      <c r="A253" s="7" t="s">
        <v>896</v>
      </c>
      <c r="B253" s="7" t="s">
        <v>897</v>
      </c>
      <c r="C253" s="7" t="s">
        <v>898</v>
      </c>
      <c r="D253" s="6">
        <v>-0.77524787187576305</v>
      </c>
      <c r="E253" s="6">
        <v>-0.68951886892318703</v>
      </c>
      <c r="F253" s="6">
        <v>-0.55580091476440407</v>
      </c>
      <c r="G253" s="6">
        <v>-0.89310050010681208</v>
      </c>
      <c r="H253" s="6">
        <v>-1.2841141223907471</v>
      </c>
      <c r="I253" s="6">
        <v>-0.28693819046020502</v>
      </c>
      <c r="J253" s="6">
        <v>0.84152442216873202</v>
      </c>
      <c r="K253" s="6">
        <v>-0.88661181926727306</v>
      </c>
      <c r="L253" s="6">
        <v>2.069165945053101</v>
      </c>
      <c r="M253" s="6">
        <v>-0.95345771312713612</v>
      </c>
      <c r="N253" s="6">
        <v>1.9196160649526579</v>
      </c>
      <c r="O253" s="6">
        <v>2.6215103750042661</v>
      </c>
      <c r="P253" s="6">
        <v>2.2789372862558253</v>
      </c>
      <c r="Q253" s="6">
        <v>1.9290869941046571</v>
      </c>
      <c r="R253" s="6">
        <v>11.217763228410966</v>
      </c>
      <c r="S253" s="6">
        <v>9.5956286214701638</v>
      </c>
      <c r="T253" s="6">
        <v>21.01373291015625</v>
      </c>
      <c r="U253" s="6" t="str">
        <f>_xll.BDP($A253,"TRAILING_12M_R&amp;D_%_SALES",$A$1,$A$2)</f>
        <v>#N/A N/A</v>
      </c>
      <c r="V253" s="6">
        <v>40</v>
      </c>
      <c r="W253" s="6">
        <v>402010</v>
      </c>
      <c r="X253" s="6">
        <v>40201020</v>
      </c>
      <c r="Y253" s="7" t="s">
        <v>43</v>
      </c>
      <c r="Z253" s="7" t="s">
        <v>255</v>
      </c>
      <c r="AA253" s="7" t="s">
        <v>256</v>
      </c>
      <c r="AB253" s="6">
        <v>48.667137145996094</v>
      </c>
      <c r="AC253" s="6">
        <v>0.41056976308200405</v>
      </c>
      <c r="AD253" s="6">
        <v>13.46565661916619</v>
      </c>
      <c r="AE253" s="6">
        <v>50493</v>
      </c>
      <c r="AF253" s="6">
        <v>46284</v>
      </c>
    </row>
    <row r="254" spans="1:32" s="4" customFormat="1" ht="12.75" x14ac:dyDescent="0.2">
      <c r="A254" s="7" t="s">
        <v>899</v>
      </c>
      <c r="B254" s="7" t="s">
        <v>900</v>
      </c>
      <c r="C254" s="7" t="s">
        <v>901</v>
      </c>
      <c r="D254" s="6">
        <v>-0.77524787187576305</v>
      </c>
      <c r="E254" s="6">
        <v>-0.68951886892318703</v>
      </c>
      <c r="F254" s="6">
        <v>-0.55580091476440407</v>
      </c>
      <c r="G254" s="6">
        <v>-0.89310050010681208</v>
      </c>
      <c r="H254" s="6">
        <v>-1.2841141223907471</v>
      </c>
      <c r="I254" s="6">
        <v>-0.28693819046020502</v>
      </c>
      <c r="J254" s="6">
        <v>0.84152442216873202</v>
      </c>
      <c r="K254" s="6">
        <v>-0.88661181926727306</v>
      </c>
      <c r="L254" s="6">
        <v>2.069165945053101</v>
      </c>
      <c r="M254" s="6">
        <v>-0.95345771312713612</v>
      </c>
      <c r="N254" s="6">
        <v>1.9196160649526579</v>
      </c>
      <c r="O254" s="6"/>
      <c r="P254" s="6">
        <v>2.2789372862558253</v>
      </c>
      <c r="Q254" s="6"/>
      <c r="R254" s="6">
        <v>11.217763228410966</v>
      </c>
      <c r="S254" s="6"/>
      <c r="T254" s="6">
        <v>21.01373291015625</v>
      </c>
      <c r="U254" s="6" t="str">
        <f>_xll.BDP($A254,"TRAILING_12M_R&amp;D_%_SALES",$A$1,$A$2)</f>
        <v>#N/A N/A</v>
      </c>
      <c r="V254" s="6">
        <v>40</v>
      </c>
      <c r="W254" s="6">
        <v>402010</v>
      </c>
      <c r="X254" s="6">
        <v>40201020</v>
      </c>
      <c r="Y254" s="7" t="s">
        <v>43</v>
      </c>
      <c r="Z254" s="7" t="s">
        <v>255</v>
      </c>
      <c r="AA254" s="7" t="s">
        <v>256</v>
      </c>
      <c r="AB254" s="6">
        <v>48.667137145996094</v>
      </c>
      <c r="AC254" s="6">
        <v>0.8055147363417241</v>
      </c>
      <c r="AD254" s="6">
        <v>-4.4642670341567552</v>
      </c>
      <c r="AE254" s="6">
        <v>50493</v>
      </c>
      <c r="AF254" s="6">
        <v>46284</v>
      </c>
    </row>
    <row r="255" spans="1:32" s="4" customFormat="1" ht="12.75" x14ac:dyDescent="0.2">
      <c r="A255" s="7" t="s">
        <v>902</v>
      </c>
      <c r="B255" s="7" t="s">
        <v>903</v>
      </c>
      <c r="C255" s="7" t="s">
        <v>904</v>
      </c>
      <c r="D255" s="6">
        <v>-0.51753306388855003</v>
      </c>
      <c r="E255" s="6">
        <v>0.29317983984947205</v>
      </c>
      <c r="F255" s="6">
        <v>2.8548586368560791</v>
      </c>
      <c r="G255" s="6">
        <v>0.25816172361373901</v>
      </c>
      <c r="H255" s="6">
        <v>1.2077169418334961</v>
      </c>
      <c r="I255" s="6">
        <v>1.5382441282272339</v>
      </c>
      <c r="J255" s="6">
        <v>1.9073618650436401</v>
      </c>
      <c r="K255" s="6">
        <v>0.84215581417083707</v>
      </c>
      <c r="L255" s="6">
        <v>-0.62061548233032204</v>
      </c>
      <c r="M255" s="6">
        <v>1.9754469394684001E-2</v>
      </c>
      <c r="N255" s="6">
        <v>1.017028328266808</v>
      </c>
      <c r="O255" s="6">
        <v>2.225555854931049</v>
      </c>
      <c r="P255" s="6">
        <v>1.056161099202551</v>
      </c>
      <c r="Q255" s="6">
        <v>0.90532486727026307</v>
      </c>
      <c r="R255" s="6">
        <v>5.695610328341786</v>
      </c>
      <c r="S255" s="6">
        <v>7.5319673780247776</v>
      </c>
      <c r="T255" s="6">
        <v>77.394500732421875</v>
      </c>
      <c r="U255" s="6" t="str">
        <f>_xll.BDP($A255,"TRAILING_12M_R&amp;D_%_SALES",$A$1,$A$2)</f>
        <v>#N/A N/A</v>
      </c>
      <c r="V255" s="6">
        <v>40</v>
      </c>
      <c r="W255" s="6">
        <v>401010</v>
      </c>
      <c r="X255" s="6">
        <v>40101010</v>
      </c>
      <c r="Y255" s="7" t="s">
        <v>43</v>
      </c>
      <c r="Z255" s="7" t="s">
        <v>67</v>
      </c>
      <c r="AA255" s="7" t="s">
        <v>68</v>
      </c>
      <c r="AB255" s="6">
        <v>29.373302459716797</v>
      </c>
      <c r="AC255" s="6">
        <v>1.130527939390815</v>
      </c>
      <c r="AD255" s="6">
        <v>87.798480739277267</v>
      </c>
      <c r="AE255" s="6">
        <v>10375</v>
      </c>
      <c r="AF255" s="6">
        <v>6379</v>
      </c>
    </row>
    <row r="256" spans="1:32" s="4" customFormat="1" ht="12.75" x14ac:dyDescent="0.2">
      <c r="A256" s="7" t="s">
        <v>905</v>
      </c>
      <c r="B256" s="7" t="s">
        <v>906</v>
      </c>
      <c r="C256" s="7" t="s">
        <v>907</v>
      </c>
      <c r="D256" s="6">
        <v>-0.51753306388855003</v>
      </c>
      <c r="E256" s="6">
        <v>0.29317983984947205</v>
      </c>
      <c r="F256" s="6">
        <v>2.8548586368560791</v>
      </c>
      <c r="G256" s="6">
        <v>0.25816172361373901</v>
      </c>
      <c r="H256" s="6">
        <v>1.2077169418334961</v>
      </c>
      <c r="I256" s="6">
        <v>1.5382441282272339</v>
      </c>
      <c r="J256" s="6">
        <v>1.9073618650436401</v>
      </c>
      <c r="K256" s="6">
        <v>0.84215581417083707</v>
      </c>
      <c r="L256" s="6">
        <v>-0.62061548233032204</v>
      </c>
      <c r="M256" s="6">
        <v>1.9754469394684001E-2</v>
      </c>
      <c r="N256" s="6">
        <v>1.017028328266808</v>
      </c>
      <c r="O256" s="6"/>
      <c r="P256" s="6">
        <v>1.056161099202551</v>
      </c>
      <c r="Q256" s="6"/>
      <c r="R256" s="6">
        <v>5.695610328341786</v>
      </c>
      <c r="S256" s="6"/>
      <c r="T256" s="6">
        <v>77.394500732421875</v>
      </c>
      <c r="U256" s="6" t="str">
        <f>_xll.BDP($A256,"TRAILING_12M_R&amp;D_%_SALES",$A$1,$A$2)</f>
        <v>#N/A N/A</v>
      </c>
      <c r="V256" s="6">
        <v>40</v>
      </c>
      <c r="W256" s="6">
        <v>401010</v>
      </c>
      <c r="X256" s="6">
        <v>40101010</v>
      </c>
      <c r="Y256" s="7" t="s">
        <v>43</v>
      </c>
      <c r="Z256" s="7" t="s">
        <v>67</v>
      </c>
      <c r="AA256" s="7" t="s">
        <v>68</v>
      </c>
      <c r="AB256" s="6">
        <v>29.373302459716797</v>
      </c>
      <c r="AC256" s="6">
        <v>0.94601244383846705</v>
      </c>
      <c r="AD256" s="6">
        <v>91.069413659766326</v>
      </c>
      <c r="AE256" s="6">
        <v>10375</v>
      </c>
      <c r="AF256" s="6">
        <v>6379</v>
      </c>
    </row>
    <row r="257" spans="1:32" s="4" customFormat="1" ht="12.75" x14ac:dyDescent="0.2">
      <c r="A257" s="7" t="s">
        <v>908</v>
      </c>
      <c r="B257" s="7" t="s">
        <v>909</v>
      </c>
      <c r="C257" s="7" t="s">
        <v>910</v>
      </c>
      <c r="D257" s="6">
        <v>-0.53545087575912509</v>
      </c>
      <c r="E257" s="6">
        <v>-0.49185603857040405</v>
      </c>
      <c r="F257" s="6">
        <v>0.70025879144668601</v>
      </c>
      <c r="G257" s="6">
        <v>0.53031623363494906</v>
      </c>
      <c r="H257" s="6">
        <v>-0.23375768959522203</v>
      </c>
      <c r="I257" s="6">
        <v>0.49999406933784502</v>
      </c>
      <c r="J257" s="6">
        <v>0.32180389761924705</v>
      </c>
      <c r="K257" s="6">
        <v>-0.27642238140106201</v>
      </c>
      <c r="L257" s="6">
        <v>3.5814076662064001E-2</v>
      </c>
      <c r="M257" s="6">
        <v>4.8446629196405001E-2</v>
      </c>
      <c r="N257" s="6">
        <v>2.6911549280558149</v>
      </c>
      <c r="O257" s="6">
        <v>2.583004783528025</v>
      </c>
      <c r="P257" s="6">
        <v>3.7089360606054309</v>
      </c>
      <c r="Q257" s="6">
        <v>3.3527341478520829</v>
      </c>
      <c r="R257" s="6">
        <v>23.451444324300507</v>
      </c>
      <c r="S257" s="6">
        <v>24.304881210308803</v>
      </c>
      <c r="T257" s="6">
        <v>13.701333999633789</v>
      </c>
      <c r="U257" s="6" t="str">
        <f>_xll.BDP($A257,"TRAILING_12M_R&amp;D_%_SALES",$A$1,$A$2)</f>
        <v>#N/A N/A</v>
      </c>
      <c r="V257" s="6">
        <v>15</v>
      </c>
      <c r="W257" s="6">
        <v>151040</v>
      </c>
      <c r="X257" s="6">
        <v>15104025</v>
      </c>
      <c r="Y257" s="7" t="s">
        <v>61</v>
      </c>
      <c r="Z257" s="7" t="s">
        <v>62</v>
      </c>
      <c r="AA257" s="7" t="s">
        <v>911</v>
      </c>
      <c r="AB257" s="6">
        <v>75.223823547363281</v>
      </c>
      <c r="AC257" s="6">
        <v>1.2996604022364431</v>
      </c>
      <c r="AD257" s="6">
        <v>12.744479476145676</v>
      </c>
      <c r="AE257" s="6">
        <v>25600</v>
      </c>
      <c r="AF257" s="6">
        <v>25200</v>
      </c>
    </row>
    <row r="258" spans="1:32" s="4" customFormat="1" ht="12.75" x14ac:dyDescent="0.2">
      <c r="A258" s="7" t="s">
        <v>912</v>
      </c>
      <c r="B258" s="7" t="s">
        <v>913</v>
      </c>
      <c r="C258" s="7" t="s">
        <v>914</v>
      </c>
      <c r="D258" s="6">
        <v>1.1917755939066001E-2</v>
      </c>
      <c r="E258" s="6">
        <v>-0.81857734918594405</v>
      </c>
      <c r="F258" s="6">
        <v>-0.15086881816387201</v>
      </c>
      <c r="G258" s="6">
        <v>0.38356858491897605</v>
      </c>
      <c r="H258" s="6">
        <v>0.81317424774169911</v>
      </c>
      <c r="I258" s="6">
        <v>0.30385887622833302</v>
      </c>
      <c r="J258" s="6">
        <v>0.53913432359695401</v>
      </c>
      <c r="K258" s="6">
        <v>-0.31641787290573103</v>
      </c>
      <c r="L258" s="6">
        <v>0.155928149819374</v>
      </c>
      <c r="M258" s="6">
        <v>-0.39861506223678606</v>
      </c>
      <c r="N258" s="6">
        <v>0.72339193011583702</v>
      </c>
      <c r="O258" s="6">
        <v>0.69695883215325205</v>
      </c>
      <c r="P258" s="6">
        <v>2.3617767685982178</v>
      </c>
      <c r="Q258" s="6">
        <v>2.1667839544647531</v>
      </c>
      <c r="R258" s="6">
        <v>14.980062003945633</v>
      </c>
      <c r="S258" s="6">
        <v>12.655866721203084</v>
      </c>
      <c r="T258" s="6">
        <v>16.851083755493164</v>
      </c>
      <c r="U258" s="6" t="str">
        <f>_xll.BDP($A258,"TRAILING_12M_R&amp;D_%_SALES",$A$1,$A$2)</f>
        <v>#N/A N/A</v>
      </c>
      <c r="V258" s="6">
        <v>20</v>
      </c>
      <c r="W258" s="6">
        <v>203010</v>
      </c>
      <c r="X258" s="6">
        <v>20301010</v>
      </c>
      <c r="Y258" s="7" t="s">
        <v>38</v>
      </c>
      <c r="Z258" s="7" t="s">
        <v>748</v>
      </c>
      <c r="AA258" s="7" t="s">
        <v>748</v>
      </c>
      <c r="AB258" s="6">
        <v>63.233074188232422</v>
      </c>
      <c r="AC258" s="6">
        <v>1.0465807525697171</v>
      </c>
      <c r="AD258" s="6">
        <v>47.144048871446721</v>
      </c>
      <c r="AE258" s="6">
        <v>328000</v>
      </c>
      <c r="AF258" s="6">
        <v>192000</v>
      </c>
    </row>
    <row r="259" spans="1:32" s="4" customFormat="1" ht="12.75" x14ac:dyDescent="0.2">
      <c r="A259" s="7" t="s">
        <v>915</v>
      </c>
      <c r="B259" s="7" t="s">
        <v>916</v>
      </c>
      <c r="C259" s="7" t="s">
        <v>917</v>
      </c>
      <c r="D259" s="6">
        <v>-5.2760809659958004E-2</v>
      </c>
      <c r="E259" s="6">
        <v>-3.0002050399780269</v>
      </c>
      <c r="F259" s="6">
        <v>-0.33873793482780501</v>
      </c>
      <c r="G259" s="6">
        <v>3.000037670135498</v>
      </c>
      <c r="H259" s="6">
        <v>4.8723880201578001E-2</v>
      </c>
      <c r="I259" s="6">
        <v>3.0001323223114009</v>
      </c>
      <c r="J259" s="6">
        <v>-3.0000078678131099</v>
      </c>
      <c r="K259" s="6">
        <v>2.684235572814941</v>
      </c>
      <c r="L259" s="6">
        <v>-1.077917098999023</v>
      </c>
      <c r="M259" s="6">
        <v>3.000092744827271</v>
      </c>
      <c r="N259" s="6">
        <v>8.1168834400000007E-7</v>
      </c>
      <c r="O259" s="6"/>
      <c r="P259" s="6"/>
      <c r="Q259" s="6"/>
      <c r="R259" s="6"/>
      <c r="S259" s="6"/>
      <c r="T259" s="6"/>
      <c r="U259" s="6" t="str">
        <f>_xll.BDP($A259,"TRAILING_12M_R&amp;D_%_SALES",$A$1,$A$2)</f>
        <v>#N/A N/A</v>
      </c>
      <c r="V259" s="6"/>
      <c r="W259" s="6"/>
      <c r="X259" s="6"/>
      <c r="Y259" s="7" t="s">
        <v>918</v>
      </c>
      <c r="Z259" s="7" t="s">
        <v>918</v>
      </c>
      <c r="AA259" s="7" t="s">
        <v>918</v>
      </c>
      <c r="AB259" s="6"/>
      <c r="AC259" s="6">
        <v>-0.47408957489945103</v>
      </c>
      <c r="AD259" s="6">
        <v>33.333338507347591</v>
      </c>
      <c r="AE259" s="6">
        <v>5</v>
      </c>
      <c r="AF259" s="6"/>
    </row>
    <row r="260" spans="1:32" s="4" customFormat="1" ht="12.75" x14ac:dyDescent="0.2">
      <c r="A260" s="7" t="s">
        <v>919</v>
      </c>
      <c r="B260" s="7" t="s">
        <v>920</v>
      </c>
      <c r="C260" s="7" t="s">
        <v>921</v>
      </c>
      <c r="D260" s="6">
        <v>-0.94277733564376809</v>
      </c>
      <c r="E260" s="6">
        <v>-0.8177771568298341</v>
      </c>
      <c r="F260" s="6">
        <v>-1.4523646831512451</v>
      </c>
      <c r="G260" s="6">
        <v>-0.98475939035415605</v>
      </c>
      <c r="H260" s="6">
        <v>-0.27497044205665599</v>
      </c>
      <c r="I260" s="6">
        <v>0.22606053948402402</v>
      </c>
      <c r="J260" s="6">
        <v>0.44531252980232205</v>
      </c>
      <c r="K260" s="6">
        <v>-0.53578352928161599</v>
      </c>
      <c r="L260" s="6">
        <v>2.2498898506164551</v>
      </c>
      <c r="M260" s="6">
        <v>-0.76344227790832508</v>
      </c>
      <c r="N260" s="6">
        <v>2.771458718529209</v>
      </c>
      <c r="O260" s="6"/>
      <c r="P260" s="6">
        <v>1.5420576066838749</v>
      </c>
      <c r="Q260" s="6"/>
      <c r="R260" s="6">
        <v>16.104310931957272</v>
      </c>
      <c r="S260" s="6"/>
      <c r="T260" s="6">
        <v>10.096981048583984</v>
      </c>
      <c r="U260" s="6" t="str">
        <f>_xll.BDP($A260,"TRAILING_12M_R&amp;D_%_SALES",$A$1,$A$2)</f>
        <v>#N/A N/A</v>
      </c>
      <c r="V260" s="6">
        <v>40</v>
      </c>
      <c r="W260" s="6">
        <v>401010</v>
      </c>
      <c r="X260" s="6">
        <v>40101010</v>
      </c>
      <c r="Y260" s="7" t="s">
        <v>43</v>
      </c>
      <c r="Z260" s="7" t="s">
        <v>67</v>
      </c>
      <c r="AA260" s="7" t="s">
        <v>68</v>
      </c>
      <c r="AB260" s="6">
        <v>74.248062133789063</v>
      </c>
      <c r="AC260" s="6"/>
      <c r="AD260" s="6"/>
      <c r="AE260" s="6">
        <v>10080</v>
      </c>
      <c r="AF260" s="6">
        <v>9075</v>
      </c>
    </row>
    <row r="261" spans="1:32" s="4" customFormat="1" ht="12.75" x14ac:dyDescent="0.2">
      <c r="A261" s="7" t="s">
        <v>922</v>
      </c>
      <c r="B261" s="7" t="s">
        <v>923</v>
      </c>
      <c r="C261" s="7" t="s">
        <v>924</v>
      </c>
      <c r="D261" s="6">
        <v>-0.35720011591911305</v>
      </c>
      <c r="E261" s="6">
        <v>-0.19591847062110901</v>
      </c>
      <c r="F261" s="6">
        <v>-1.082793593406677</v>
      </c>
      <c r="G261" s="6">
        <v>-0.33934083580970803</v>
      </c>
      <c r="H261" s="6">
        <v>0.21136493980884602</v>
      </c>
      <c r="I261" s="6">
        <v>-0.18717175722122201</v>
      </c>
      <c r="J261" s="6">
        <v>0.17243805527687101</v>
      </c>
      <c r="K261" s="6">
        <v>-9.6155554056168005E-2</v>
      </c>
      <c r="L261" s="6">
        <v>-0.72281217575073209</v>
      </c>
      <c r="M261" s="6">
        <v>-0.75332981348037709</v>
      </c>
      <c r="N261" s="6">
        <v>4.3882338936873424</v>
      </c>
      <c r="O261" s="6">
        <v>4.0409051956075492</v>
      </c>
      <c r="P261" s="6">
        <v>2.7041449511811679</v>
      </c>
      <c r="Q261" s="6">
        <v>2.404343825120193</v>
      </c>
      <c r="R261" s="6">
        <v>26.588068825221217</v>
      </c>
      <c r="S261" s="6">
        <v>15.471696889306919</v>
      </c>
      <c r="T261" s="6">
        <v>9.9500827789306641</v>
      </c>
      <c r="U261" s="6">
        <f>_xll.BDP($A261,"TRAILING_12M_R&amp;D_%_SALES",$A$1,$A$2)</f>
        <v>0</v>
      </c>
      <c r="V261" s="6">
        <v>40</v>
      </c>
      <c r="W261" s="6">
        <v>402010</v>
      </c>
      <c r="X261" s="6">
        <v>40201060</v>
      </c>
      <c r="Y261" s="7" t="s">
        <v>43</v>
      </c>
      <c r="Z261" s="7" t="s">
        <v>255</v>
      </c>
      <c r="AA261" s="7" t="s">
        <v>445</v>
      </c>
      <c r="AB261" s="6">
        <v>47.530429840087891</v>
      </c>
      <c r="AC261" s="6">
        <v>0.92095110678969305</v>
      </c>
      <c r="AD261" s="6">
        <v>30.876843682650868</v>
      </c>
      <c r="AE261" s="6">
        <v>41000</v>
      </c>
      <c r="AF261" s="6">
        <v>24000</v>
      </c>
    </row>
    <row r="262" spans="1:32" s="4" customFormat="1" ht="12.75" x14ac:dyDescent="0.2">
      <c r="A262" s="7" t="s">
        <v>925</v>
      </c>
      <c r="B262" s="7" t="s">
        <v>926</v>
      </c>
      <c r="C262" s="7" t="s">
        <v>927</v>
      </c>
      <c r="D262" s="6">
        <v>-0.77053201198577903</v>
      </c>
      <c r="E262" s="6">
        <v>-3.0002379417419429</v>
      </c>
      <c r="F262" s="6">
        <v>-5.7982698082924007E-2</v>
      </c>
      <c r="G262" s="6">
        <v>0.33647942543029802</v>
      </c>
      <c r="H262" s="6">
        <v>0.52353501319885309</v>
      </c>
      <c r="I262" s="6">
        <v>-1.515870928764343</v>
      </c>
      <c r="J262" s="6">
        <v>-0.94874221086502109</v>
      </c>
      <c r="K262" s="6">
        <v>-1.8060810565948491</v>
      </c>
      <c r="L262" s="6">
        <v>1.013990044593811</v>
      </c>
      <c r="M262" s="6">
        <v>0.14946155250072501</v>
      </c>
      <c r="N262" s="6">
        <v>2.6434352980211009</v>
      </c>
      <c r="O262" s="6">
        <v>3.163852110186848</v>
      </c>
      <c r="P262" s="6">
        <v>1.8258171426795782</v>
      </c>
      <c r="Q262" s="6">
        <v>2.409382444454458</v>
      </c>
      <c r="R262" s="6">
        <v>22.538485390402382</v>
      </c>
      <c r="S262" s="6">
        <v>12.165829156405017</v>
      </c>
      <c r="T262" s="6">
        <v>-74.898544311523438</v>
      </c>
      <c r="U262" s="6" t="str">
        <f>_xll.BDP($A262,"TRAILING_12M_R&amp;D_%_SALES",$A$1,$A$2)</f>
        <v>#N/A N/A</v>
      </c>
      <c r="V262" s="6">
        <v>40</v>
      </c>
      <c r="W262" s="6">
        <v>402010</v>
      </c>
      <c r="X262" s="6">
        <v>40201060</v>
      </c>
      <c r="Y262" s="7" t="s">
        <v>43</v>
      </c>
      <c r="Z262" s="7" t="s">
        <v>255</v>
      </c>
      <c r="AA262" s="7" t="s">
        <v>445</v>
      </c>
      <c r="AB262" s="6">
        <v>55.658382415771484</v>
      </c>
      <c r="AC262" s="6">
        <v>1.1338485580061159</v>
      </c>
      <c r="AD262" s="6">
        <v>-8.2462584120760027</v>
      </c>
      <c r="AE262" s="6">
        <v>69000</v>
      </c>
      <c r="AF262" s="6">
        <v>53000</v>
      </c>
    </row>
    <row r="263" spans="1:32" s="4" customFormat="1" ht="12.75" x14ac:dyDescent="0.2">
      <c r="A263" s="7" t="s">
        <v>928</v>
      </c>
      <c r="B263" s="7" t="s">
        <v>929</v>
      </c>
      <c r="C263" s="7" t="s">
        <v>930</v>
      </c>
      <c r="D263" s="6">
        <v>-0.67765796184539806</v>
      </c>
      <c r="E263" s="6">
        <v>-0.86883324384689309</v>
      </c>
      <c r="F263" s="6">
        <v>0.49372294545173606</v>
      </c>
      <c r="G263" s="6">
        <v>0.32157769799232505</v>
      </c>
      <c r="H263" s="6">
        <v>0.20437903702259103</v>
      </c>
      <c r="I263" s="6">
        <v>-1.087935209274292</v>
      </c>
      <c r="J263" s="6">
        <v>2.02418065071106</v>
      </c>
      <c r="K263" s="6">
        <v>-1.178053736686707</v>
      </c>
      <c r="L263" s="6">
        <v>1.919851541519165</v>
      </c>
      <c r="M263" s="6">
        <v>-0.99352240562439009</v>
      </c>
      <c r="N263" s="6">
        <v>1.95962059898129</v>
      </c>
      <c r="O263" s="6">
        <v>2.7111090939305642</v>
      </c>
      <c r="P263" s="6">
        <v>1.6278995904840041</v>
      </c>
      <c r="Q263" s="6">
        <v>1.388956064678226</v>
      </c>
      <c r="R263" s="6">
        <v>9.3393544171118439</v>
      </c>
      <c r="S263" s="6">
        <v>10.741771431724063</v>
      </c>
      <c r="T263" s="6">
        <v>16.655191421508789</v>
      </c>
      <c r="U263" s="6" t="str">
        <f>_xll.BDP($A263,"TRAILING_12M_R&amp;D_%_SALES",$A$1,$A$2)</f>
        <v>#N/A N/A</v>
      </c>
      <c r="V263" s="6">
        <v>40</v>
      </c>
      <c r="W263" s="6">
        <v>401010</v>
      </c>
      <c r="X263" s="6">
        <v>40101010</v>
      </c>
      <c r="Y263" s="7" t="s">
        <v>43</v>
      </c>
      <c r="Z263" s="7" t="s">
        <v>67</v>
      </c>
      <c r="AA263" s="7" t="s">
        <v>68</v>
      </c>
      <c r="AB263" s="6">
        <v>58.786842346191406</v>
      </c>
      <c r="AC263" s="6">
        <v>1.419806599662816</v>
      </c>
      <c r="AD263" s="6">
        <v>10.382652092629963</v>
      </c>
      <c r="AE263" s="6">
        <v>19319</v>
      </c>
      <c r="AF263" s="6">
        <v>18125</v>
      </c>
    </row>
    <row r="264" spans="1:32" s="4" customFormat="1" ht="12.75" x14ac:dyDescent="0.2">
      <c r="A264" s="7" t="s">
        <v>931</v>
      </c>
      <c r="B264" s="7" t="s">
        <v>932</v>
      </c>
      <c r="C264" s="7" t="s">
        <v>933</v>
      </c>
      <c r="D264" s="6">
        <v>-0.97577553987503107</v>
      </c>
      <c r="E264" s="6">
        <v>-0.59352266788482699</v>
      </c>
      <c r="F264" s="6">
        <v>-0.44422397017478904</v>
      </c>
      <c r="G264" s="6">
        <v>-0.78206634521484408</v>
      </c>
      <c r="H264" s="6">
        <v>-1.1722673177719121</v>
      </c>
      <c r="I264" s="6">
        <v>7.484742440283001E-3</v>
      </c>
      <c r="J264" s="6">
        <v>0.58715862035751309</v>
      </c>
      <c r="K264" s="6">
        <v>-1.5493836402893071</v>
      </c>
      <c r="L264" s="6">
        <v>-3.7032879889011001E-2</v>
      </c>
      <c r="M264" s="6">
        <v>-0.24329553544521301</v>
      </c>
      <c r="N264" s="6">
        <v>1.0876214859960049</v>
      </c>
      <c r="O264" s="6">
        <v>1.0886078955834451</v>
      </c>
      <c r="P264" s="6">
        <v>2.4068480979850202</v>
      </c>
      <c r="Q264" s="6">
        <v>2.1577909539590401</v>
      </c>
      <c r="R264" s="6">
        <v>22.366720108483563</v>
      </c>
      <c r="S264" s="6">
        <v>16.335734409231566</v>
      </c>
      <c r="T264" s="6">
        <v>10.910829544067383</v>
      </c>
      <c r="U264" s="6">
        <f>_xll.BDP($A264,"TRAILING_12M_R&amp;D_%_SALES",$A$1,$A$2)</f>
        <v>2.934639331107225</v>
      </c>
      <c r="V264" s="6">
        <v>45</v>
      </c>
      <c r="W264" s="6">
        <v>451020</v>
      </c>
      <c r="X264" s="6">
        <v>45102010</v>
      </c>
      <c r="Y264" s="7" t="s">
        <v>56</v>
      </c>
      <c r="Z264" s="7" t="s">
        <v>112</v>
      </c>
      <c r="AA264" s="7" t="s">
        <v>113</v>
      </c>
      <c r="AB264" s="6">
        <v>66.391708374023438</v>
      </c>
      <c r="AC264" s="6">
        <v>0.49533739959799705</v>
      </c>
      <c r="AD264" s="6">
        <v>14.036098589436774</v>
      </c>
      <c r="AE264" s="6">
        <v>124055</v>
      </c>
      <c r="AF264" s="6">
        <v>140365</v>
      </c>
    </row>
    <row r="265" spans="1:32" s="4" customFormat="1" ht="12.75" x14ac:dyDescent="0.2">
      <c r="A265" s="7" t="s">
        <v>934</v>
      </c>
      <c r="B265" s="7" t="s">
        <v>935</v>
      </c>
      <c r="C265" s="7" t="s">
        <v>936</v>
      </c>
      <c r="D265" s="6">
        <v>-0.97577553987503107</v>
      </c>
      <c r="E265" s="6">
        <v>-0.59352266788482699</v>
      </c>
      <c r="F265" s="6">
        <v>-0.44422397017478904</v>
      </c>
      <c r="G265" s="6">
        <v>-0.78206634521484408</v>
      </c>
      <c r="H265" s="6">
        <v>-1.1722673177719121</v>
      </c>
      <c r="I265" s="6">
        <v>7.484742440283001E-3</v>
      </c>
      <c r="J265" s="6">
        <v>0.58715862035751309</v>
      </c>
      <c r="K265" s="6">
        <v>-1.5493836402893071</v>
      </c>
      <c r="L265" s="6">
        <v>-3.7032879889011001E-2</v>
      </c>
      <c r="M265" s="6">
        <v>-0.24329553544521301</v>
      </c>
      <c r="N265" s="6">
        <v>1.0876214859960049</v>
      </c>
      <c r="O265" s="6"/>
      <c r="P265" s="6">
        <v>2.4068480979850202</v>
      </c>
      <c r="Q265" s="6"/>
      <c r="R265" s="6">
        <v>22.366720108483563</v>
      </c>
      <c r="S265" s="6"/>
      <c r="T265" s="6">
        <v>10.910829544067383</v>
      </c>
      <c r="U265" s="6">
        <f>_xll.BDP($A265,"TRAILING_12M_R&amp;D_%_SALES",$A$1,$A$2)</f>
        <v>2.934639331107225</v>
      </c>
      <c r="V265" s="6">
        <v>45</v>
      </c>
      <c r="W265" s="6">
        <v>451020</v>
      </c>
      <c r="X265" s="6">
        <v>45102010</v>
      </c>
      <c r="Y265" s="7" t="s">
        <v>56</v>
      </c>
      <c r="Z265" s="7" t="s">
        <v>112</v>
      </c>
      <c r="AA265" s="7" t="s">
        <v>113</v>
      </c>
      <c r="AB265" s="6">
        <v>66.391708374023438</v>
      </c>
      <c r="AC265" s="6">
        <v>0.77336667667495906</v>
      </c>
      <c r="AD265" s="6">
        <v>12.68009229760445</v>
      </c>
      <c r="AE265" s="6">
        <v>124055</v>
      </c>
      <c r="AF265" s="6">
        <v>140365</v>
      </c>
    </row>
    <row r="266" spans="1:32" s="4" customFormat="1" ht="12.75" x14ac:dyDescent="0.2">
      <c r="A266" s="7" t="s">
        <v>937</v>
      </c>
      <c r="B266" s="7" t="s">
        <v>938</v>
      </c>
      <c r="C266" s="7" t="s">
        <v>939</v>
      </c>
      <c r="D266" s="6">
        <v>-0.29982858896255504</v>
      </c>
      <c r="E266" s="6">
        <v>-0.85662651062011708</v>
      </c>
      <c r="F266" s="6">
        <v>-0.81566703319549605</v>
      </c>
      <c r="G266" s="6">
        <v>-0.86651730537414606</v>
      </c>
      <c r="H266" s="6">
        <v>1.184496283531189</v>
      </c>
      <c r="I266" s="6">
        <v>9.1647580266000003E-3</v>
      </c>
      <c r="J266" s="6">
        <v>1.7782877683639531</v>
      </c>
      <c r="K266" s="6">
        <v>-1.2027285099029541</v>
      </c>
      <c r="L266" s="6">
        <v>2.2470934391021729</v>
      </c>
      <c r="M266" s="6">
        <v>-0.84923005104064908</v>
      </c>
      <c r="N266" s="6">
        <v>0.62676770879022004</v>
      </c>
      <c r="O266" s="6">
        <v>0.61703919711367605</v>
      </c>
      <c r="P266" s="6">
        <v>1.044238407600572</v>
      </c>
      <c r="Q266" s="6">
        <v>0.82286995311312605</v>
      </c>
      <c r="R266" s="6">
        <v>17.073199064310597</v>
      </c>
      <c r="S266" s="6">
        <v>8.8337480536888808</v>
      </c>
      <c r="T266" s="6">
        <v>6.0005612373352051</v>
      </c>
      <c r="U266" s="6" t="str">
        <f>_xll.BDP($A266,"TRAILING_12M_R&amp;D_%_SALES",$A$1,$A$2)</f>
        <v>#N/A N/A</v>
      </c>
      <c r="V266" s="6">
        <v>50</v>
      </c>
      <c r="W266" s="6">
        <v>501010</v>
      </c>
      <c r="X266" s="6">
        <v>50101020</v>
      </c>
      <c r="Y266" s="7" t="s">
        <v>311</v>
      </c>
      <c r="Z266" s="7" t="s">
        <v>346</v>
      </c>
      <c r="AA266" s="7" t="s">
        <v>347</v>
      </c>
      <c r="AB266" s="6">
        <v>63.544914245605469</v>
      </c>
      <c r="AC266" s="6">
        <v>0.40828192886667503</v>
      </c>
      <c r="AD266" s="6">
        <v>24.91660916892662</v>
      </c>
      <c r="AE266" s="6">
        <v>136430</v>
      </c>
      <c r="AF266" s="6">
        <v>138038</v>
      </c>
    </row>
    <row r="267" spans="1:32" s="4" customFormat="1" ht="12.75" x14ac:dyDescent="0.2">
      <c r="A267" s="7" t="s">
        <v>940</v>
      </c>
      <c r="B267" s="7" t="s">
        <v>941</v>
      </c>
      <c r="C267" s="7" t="s">
        <v>942</v>
      </c>
      <c r="D267" s="6">
        <v>-0.83316153287887607</v>
      </c>
      <c r="E267" s="6">
        <v>-3.000272274017334</v>
      </c>
      <c r="F267" s="6">
        <v>0.159941241145134</v>
      </c>
      <c r="G267" s="6">
        <v>3.0001823902130131</v>
      </c>
      <c r="H267" s="6">
        <v>0.575980544090271</v>
      </c>
      <c r="I267" s="6">
        <v>-0.15066091716289501</v>
      </c>
      <c r="J267" s="6">
        <v>2.2579784393310551</v>
      </c>
      <c r="K267" s="6">
        <v>0.85157281160354603</v>
      </c>
      <c r="L267" s="6">
        <v>-0.7746750116348271</v>
      </c>
      <c r="M267" s="6">
        <v>3.0000584125518799</v>
      </c>
      <c r="N267" s="6"/>
      <c r="O267" s="6"/>
      <c r="P267" s="6"/>
      <c r="Q267" s="6"/>
      <c r="R267" s="6"/>
      <c r="S267" s="6"/>
      <c r="T267" s="6"/>
      <c r="U267" s="6" t="str">
        <f>_xll.BDP($A267,"TRAILING_12M_R&amp;D_%_SALES",$A$1,$A$2)</f>
        <v>#N/A N/A</v>
      </c>
      <c r="V267" s="6">
        <v>10</v>
      </c>
      <c r="W267" s="6">
        <v>101020</v>
      </c>
      <c r="X267" s="6">
        <v>10102020</v>
      </c>
      <c r="Y267" s="7" t="s">
        <v>387</v>
      </c>
      <c r="Z267" s="7" t="s">
        <v>516</v>
      </c>
      <c r="AA267" s="7" t="s">
        <v>603</v>
      </c>
      <c r="AB267" s="6"/>
      <c r="AC267" s="6">
        <v>72.385598171852934</v>
      </c>
      <c r="AD267" s="6">
        <v>0</v>
      </c>
      <c r="AE267" s="6"/>
      <c r="AF267" s="6"/>
    </row>
    <row r="268" spans="1:32" s="4" customFormat="1" ht="12.75" x14ac:dyDescent="0.2">
      <c r="A268" s="7" t="s">
        <v>943</v>
      </c>
      <c r="B268" s="7" t="s">
        <v>944</v>
      </c>
      <c r="C268" s="7" t="s">
        <v>945</v>
      </c>
      <c r="D268" s="6">
        <v>-0.70338898897171009</v>
      </c>
      <c r="E268" s="6">
        <v>-0.45574846863746604</v>
      </c>
      <c r="F268" s="6">
        <v>0.21775369346141801</v>
      </c>
      <c r="G268" s="6">
        <v>-0.362675040960312</v>
      </c>
      <c r="H268" s="6">
        <v>-0.57704842090606701</v>
      </c>
      <c r="I268" s="6">
        <v>0.41647815704345703</v>
      </c>
      <c r="J268" s="6">
        <v>-0.266443490982056</v>
      </c>
      <c r="K268" s="6">
        <v>-0.6578648686409001</v>
      </c>
      <c r="L268" s="6">
        <v>-0.31798571348190302</v>
      </c>
      <c r="M268" s="6">
        <v>-0.39424547553062406</v>
      </c>
      <c r="N268" s="6">
        <v>3.8780944118198279</v>
      </c>
      <c r="O268" s="6">
        <v>3.5703463663312629</v>
      </c>
      <c r="P268" s="6">
        <v>5.8912339069007809</v>
      </c>
      <c r="Q268" s="6">
        <v>5.1987324311849763</v>
      </c>
      <c r="R268" s="6">
        <v>36.218532558050974</v>
      </c>
      <c r="S268" s="6">
        <v>33.772780671366</v>
      </c>
      <c r="T268" s="6">
        <v>17.512504577636719</v>
      </c>
      <c r="U268" s="6">
        <f>_xll.BDP($A268,"TRAILING_12M_R&amp;D_%_SALES",$A$1,$A$2)</f>
        <v>0</v>
      </c>
      <c r="V268" s="6">
        <v>25</v>
      </c>
      <c r="W268" s="6">
        <v>255040</v>
      </c>
      <c r="X268" s="6">
        <v>25504010</v>
      </c>
      <c r="Y268" s="7" t="s">
        <v>85</v>
      </c>
      <c r="Z268" s="7" t="s">
        <v>287</v>
      </c>
      <c r="AA268" s="7" t="s">
        <v>946</v>
      </c>
      <c r="AB268" s="6">
        <v>50.699123382568359</v>
      </c>
      <c r="AC268" s="6">
        <v>0.50934749325817608</v>
      </c>
      <c r="AD268" s="6">
        <v>31.349366496691001</v>
      </c>
      <c r="AE268" s="6">
        <v>59871</v>
      </c>
      <c r="AF268" s="6">
        <v>53839</v>
      </c>
    </row>
    <row r="269" spans="1:32" s="4" customFormat="1" ht="12.75" x14ac:dyDescent="0.2">
      <c r="A269" s="7" t="s">
        <v>947</v>
      </c>
      <c r="B269" s="7" t="s">
        <v>948</v>
      </c>
      <c r="C269" s="7" t="s">
        <v>949</v>
      </c>
      <c r="D269" s="6">
        <v>-0.70338898897171009</v>
      </c>
      <c r="E269" s="6">
        <v>-0.45574846863746604</v>
      </c>
      <c r="F269" s="6">
        <v>0.21775369346141801</v>
      </c>
      <c r="G269" s="6">
        <v>-0.362675040960312</v>
      </c>
      <c r="H269" s="6">
        <v>-0.57704842090606701</v>
      </c>
      <c r="I269" s="6">
        <v>0.41647815704345703</v>
      </c>
      <c r="J269" s="6">
        <v>-0.266443490982056</v>
      </c>
      <c r="K269" s="6">
        <v>-0.6578648686409001</v>
      </c>
      <c r="L269" s="6">
        <v>-0.31798571348190302</v>
      </c>
      <c r="M269" s="6">
        <v>-0.39424547553062406</v>
      </c>
      <c r="N269" s="6">
        <v>3.8780944118198279</v>
      </c>
      <c r="O269" s="6">
        <v>3.4720080146710441</v>
      </c>
      <c r="P269" s="6">
        <v>5.8912339069007809</v>
      </c>
      <c r="Q269" s="6"/>
      <c r="R269" s="6">
        <v>36.218532558050974</v>
      </c>
      <c r="S269" s="6">
        <v>32.549717481726091</v>
      </c>
      <c r="T269" s="6">
        <v>17.512504577636719</v>
      </c>
      <c r="U269" s="6">
        <f>_xll.BDP($A269,"TRAILING_12M_R&amp;D_%_SALES",$A$1,$A$2)</f>
        <v>0</v>
      </c>
      <c r="V269" s="6">
        <v>25</v>
      </c>
      <c r="W269" s="6">
        <v>255040</v>
      </c>
      <c r="X269" s="6">
        <v>25504010</v>
      </c>
      <c r="Y269" s="7" t="s">
        <v>85</v>
      </c>
      <c r="Z269" s="7" t="s">
        <v>287</v>
      </c>
      <c r="AA269" s="7" t="s">
        <v>946</v>
      </c>
      <c r="AB269" s="6">
        <v>50.699123382568359</v>
      </c>
      <c r="AC269" s="6">
        <v>0.88854370816176409</v>
      </c>
      <c r="AD269" s="6">
        <v>24.239790674847718</v>
      </c>
      <c r="AE269" s="6">
        <v>59871</v>
      </c>
      <c r="AF269" s="6">
        <v>53839</v>
      </c>
    </row>
    <row r="270" spans="1:32" s="4" customFormat="1" ht="12.75" x14ac:dyDescent="0.2">
      <c r="A270" s="7" t="s">
        <v>950</v>
      </c>
      <c r="B270" s="7" t="s">
        <v>951</v>
      </c>
      <c r="C270" s="7" t="s">
        <v>952</v>
      </c>
      <c r="D270" s="6">
        <v>-0.60897064208984408</v>
      </c>
      <c r="E270" s="6">
        <v>-0.47220787405967701</v>
      </c>
      <c r="F270" s="6">
        <v>0.56415849924087502</v>
      </c>
      <c r="G270" s="6">
        <v>-0.76936912536621105</v>
      </c>
      <c r="H270" s="6">
        <v>-0.20128914713859603</v>
      </c>
      <c r="I270" s="6">
        <v>1.425665140151978</v>
      </c>
      <c r="J270" s="6">
        <v>1.1824401617050171</v>
      </c>
      <c r="K270" s="6">
        <v>-0.57570433616638206</v>
      </c>
      <c r="L270" s="6">
        <v>-0.19469778239727001</v>
      </c>
      <c r="M270" s="6">
        <v>-0.66121661663055409</v>
      </c>
      <c r="N270" s="6">
        <v>0.66061383129581708</v>
      </c>
      <c r="O270" s="6">
        <v>0.81465002532947106</v>
      </c>
      <c r="P270" s="6">
        <v>1.056023142141471</v>
      </c>
      <c r="Q270" s="6">
        <v>0.86339740182201208</v>
      </c>
      <c r="R270" s="6">
        <v>7.5850780884711968</v>
      </c>
      <c r="S270" s="6">
        <v>6.1757524517296609</v>
      </c>
      <c r="T270" s="6">
        <v>31.659400939941406</v>
      </c>
      <c r="U270" s="6" t="str">
        <f>_xll.BDP($A270,"TRAILING_12M_R&amp;D_%_SALES",$A$1,$A$2)</f>
        <v>#N/A N/A</v>
      </c>
      <c r="V270" s="6">
        <v>40</v>
      </c>
      <c r="W270" s="6">
        <v>403010</v>
      </c>
      <c r="X270" s="6">
        <v>40301040</v>
      </c>
      <c r="Y270" s="7" t="s">
        <v>43</v>
      </c>
      <c r="Z270" s="7" t="s">
        <v>44</v>
      </c>
      <c r="AA270" s="7" t="s">
        <v>102</v>
      </c>
      <c r="AB270" s="6">
        <v>36.334373474121094</v>
      </c>
      <c r="AC270" s="6">
        <v>0.72357879693364202</v>
      </c>
      <c r="AD270" s="6">
        <v>58.221969946778842</v>
      </c>
      <c r="AE270" s="6">
        <v>47000</v>
      </c>
      <c r="AF270" s="6">
        <v>38000</v>
      </c>
    </row>
    <row r="271" spans="1:32" s="4" customFormat="1" ht="12.75" x14ac:dyDescent="0.2">
      <c r="A271" s="7" t="s">
        <v>953</v>
      </c>
      <c r="B271" s="7" t="s">
        <v>954</v>
      </c>
      <c r="C271" s="7" t="s">
        <v>955</v>
      </c>
      <c r="D271" s="6">
        <v>-0.62403368949890103</v>
      </c>
      <c r="E271" s="6">
        <v>-0.98855227231979403</v>
      </c>
      <c r="F271" s="6">
        <v>0.95072996616363503</v>
      </c>
      <c r="G271" s="6">
        <v>-0.86405122280120805</v>
      </c>
      <c r="H271" s="6">
        <v>1.1754468679428101</v>
      </c>
      <c r="I271" s="6">
        <v>0.30467972159385703</v>
      </c>
      <c r="J271" s="6">
        <v>1.6538625955581669</v>
      </c>
      <c r="K271" s="6">
        <v>-0.88580042123794611</v>
      </c>
      <c r="L271" s="6">
        <v>0.7706828713417051</v>
      </c>
      <c r="M271" s="6">
        <v>-0.88738924264907804</v>
      </c>
      <c r="N271" s="6">
        <v>0.43026454560220201</v>
      </c>
      <c r="O271" s="6">
        <v>0.62206408071225605</v>
      </c>
      <c r="P271" s="6">
        <v>0.78916195201376504</v>
      </c>
      <c r="Q271" s="6">
        <v>0.75039065903335811</v>
      </c>
      <c r="R271" s="6">
        <v>18.730964892201875</v>
      </c>
      <c r="S271" s="6">
        <v>9.272319257011965</v>
      </c>
      <c r="T271" s="6">
        <v>3.843924999237061</v>
      </c>
      <c r="U271" s="6">
        <f>_xll.BDP($A271,"TRAILING_12M_R&amp;D_%_SALES",$A$1,$A$2)</f>
        <v>3.633825648414986</v>
      </c>
      <c r="V271" s="6">
        <v>35</v>
      </c>
      <c r="W271" s="6">
        <v>351020</v>
      </c>
      <c r="X271" s="6">
        <v>35102015</v>
      </c>
      <c r="Y271" s="7" t="s">
        <v>72</v>
      </c>
      <c r="Z271" s="7" t="s">
        <v>467</v>
      </c>
      <c r="AA271" s="7" t="s">
        <v>551</v>
      </c>
      <c r="AB271" s="6">
        <v>47.299064636230469</v>
      </c>
      <c r="AC271" s="6">
        <v>0.268784330500072</v>
      </c>
      <c r="AD271" s="6">
        <v>11.180209372918238</v>
      </c>
      <c r="AE271" s="6">
        <v>316920</v>
      </c>
      <c r="AF271" s="6">
        <v>273249</v>
      </c>
    </row>
    <row r="272" spans="1:32" s="4" customFormat="1" ht="12.75" x14ac:dyDescent="0.2">
      <c r="A272" s="7" t="s">
        <v>956</v>
      </c>
      <c r="B272" s="7" t="s">
        <v>957</v>
      </c>
      <c r="C272" s="7" t="s">
        <v>958</v>
      </c>
      <c r="D272" s="6">
        <v>-0.62403368949890103</v>
      </c>
      <c r="E272" s="6">
        <v>-0.98855227231979403</v>
      </c>
      <c r="F272" s="6">
        <v>0.95072996616363503</v>
      </c>
      <c r="G272" s="6">
        <v>-0.86405122280120805</v>
      </c>
      <c r="H272" s="6">
        <v>1.1754468679428101</v>
      </c>
      <c r="I272" s="6">
        <v>0.30467972159385703</v>
      </c>
      <c r="J272" s="6">
        <v>1.6538625955581669</v>
      </c>
      <c r="K272" s="6">
        <v>-0.88580042123794611</v>
      </c>
      <c r="L272" s="6">
        <v>0.7706828713417051</v>
      </c>
      <c r="M272" s="6">
        <v>-0.88738924264907804</v>
      </c>
      <c r="N272" s="6">
        <v>0.43026454560220201</v>
      </c>
      <c r="O272" s="6">
        <v>0.36131764172154701</v>
      </c>
      <c r="P272" s="6">
        <v>0.78916195201376504</v>
      </c>
      <c r="Q272" s="6"/>
      <c r="R272" s="6">
        <v>18.730964892201875</v>
      </c>
      <c r="S272" s="6">
        <v>2.3273679415384931</v>
      </c>
      <c r="T272" s="6">
        <v>3.843924999237061</v>
      </c>
      <c r="U272" s="6">
        <f>_xll.BDP($A272,"TRAILING_12M_R&amp;D_%_SALES",$A$1,$A$2)</f>
        <v>3.633825648414986</v>
      </c>
      <c r="V272" s="6">
        <v>35</v>
      </c>
      <c r="W272" s="6">
        <v>351020</v>
      </c>
      <c r="X272" s="6">
        <v>35102015</v>
      </c>
      <c r="Y272" s="7" t="s">
        <v>72</v>
      </c>
      <c r="Z272" s="7" t="s">
        <v>467</v>
      </c>
      <c r="AA272" s="7" t="s">
        <v>551</v>
      </c>
      <c r="AB272" s="6">
        <v>47.299064636230469</v>
      </c>
      <c r="AC272" s="6">
        <v>0.74715561580379308</v>
      </c>
      <c r="AD272" s="6">
        <v>14.759379661070726</v>
      </c>
      <c r="AE272" s="6">
        <v>316920</v>
      </c>
      <c r="AF272" s="6">
        <v>273249</v>
      </c>
    </row>
    <row r="273" spans="1:32" s="4" customFormat="1" ht="12.75" x14ac:dyDescent="0.2">
      <c r="A273" s="7" t="s">
        <v>959</v>
      </c>
      <c r="B273" s="7" t="s">
        <v>960</v>
      </c>
      <c r="C273" s="7" t="s">
        <v>961</v>
      </c>
      <c r="D273" s="6">
        <v>-0.83968001604080211</v>
      </c>
      <c r="E273" s="6">
        <v>0.22618946433067302</v>
      </c>
      <c r="F273" s="6">
        <v>1.305574417114258</v>
      </c>
      <c r="G273" s="6">
        <v>-0.79831737279892001</v>
      </c>
      <c r="H273" s="6">
        <v>-0.528816938400269</v>
      </c>
      <c r="I273" s="6">
        <v>0.31132757663726801</v>
      </c>
      <c r="J273" s="6">
        <v>1.1622270345687871</v>
      </c>
      <c r="K273" s="6">
        <v>-0.73791635036468506</v>
      </c>
      <c r="L273" s="6">
        <v>3.0000102519989009</v>
      </c>
      <c r="M273" s="6">
        <v>1.092462539672852</v>
      </c>
      <c r="N273" s="6">
        <v>3.6161865360943679</v>
      </c>
      <c r="O273" s="6"/>
      <c r="P273" s="6">
        <v>3.3915580572415451</v>
      </c>
      <c r="Q273" s="6"/>
      <c r="R273" s="6">
        <v>12.708735241963966</v>
      </c>
      <c r="S273" s="6"/>
      <c r="T273" s="6">
        <v>27.164127349853516</v>
      </c>
      <c r="U273" s="6">
        <f>_xll.BDP($A273,"TRAILING_12M_R&amp;D_%_SALES",$A$1,$A$2)</f>
        <v>1.7068395937844123</v>
      </c>
      <c r="V273" s="6">
        <v>15</v>
      </c>
      <c r="W273" s="6">
        <v>151040</v>
      </c>
      <c r="X273" s="6">
        <v>15104050</v>
      </c>
      <c r="Y273" s="7" t="s">
        <v>61</v>
      </c>
      <c r="Z273" s="7" t="s">
        <v>62</v>
      </c>
      <c r="AA273" s="7" t="s">
        <v>217</v>
      </c>
      <c r="AB273" s="6">
        <v>75.253997802734375</v>
      </c>
      <c r="AC273" s="6">
        <v>1.143015865722939</v>
      </c>
      <c r="AD273" s="6">
        <v>51.855909378913935</v>
      </c>
      <c r="AE273" s="6"/>
      <c r="AF273" s="6"/>
    </row>
    <row r="274" spans="1:32" s="4" customFormat="1" ht="12.75" x14ac:dyDescent="0.2">
      <c r="A274" s="7" t="s">
        <v>962</v>
      </c>
      <c r="B274" s="7" t="s">
        <v>963</v>
      </c>
      <c r="C274" s="7" t="s">
        <v>964</v>
      </c>
      <c r="D274" s="6">
        <v>-0.83968001604080211</v>
      </c>
      <c r="E274" s="6">
        <v>0.22618946433067302</v>
      </c>
      <c r="F274" s="6">
        <v>1.305574417114258</v>
      </c>
      <c r="G274" s="6">
        <v>-0.79831737279892001</v>
      </c>
      <c r="H274" s="6">
        <v>-0.528816938400269</v>
      </c>
      <c r="I274" s="6">
        <v>0.31132757663726801</v>
      </c>
      <c r="J274" s="6">
        <v>1.1622270345687871</v>
      </c>
      <c r="K274" s="6">
        <v>-0.73791635036468506</v>
      </c>
      <c r="L274" s="6">
        <v>3.0000102519989009</v>
      </c>
      <c r="M274" s="6">
        <v>1.092462539672852</v>
      </c>
      <c r="N274" s="6">
        <v>3.6161865360943679</v>
      </c>
      <c r="O274" s="6">
        <v>3.5276234562494393</v>
      </c>
      <c r="P274" s="6">
        <v>3.3915580572415451</v>
      </c>
      <c r="Q274" s="6">
        <v>2.8976936960755779</v>
      </c>
      <c r="R274" s="6">
        <v>12.708735241963966</v>
      </c>
      <c r="S274" s="6">
        <v>12.135392638624078</v>
      </c>
      <c r="T274" s="6">
        <v>27.164127349853516</v>
      </c>
      <c r="U274" s="6">
        <f>_xll.BDP($A274,"TRAILING_12M_R&amp;D_%_SALES",$A$1,$A$2)</f>
        <v>1.7068395937844123</v>
      </c>
      <c r="V274" s="6">
        <v>15</v>
      </c>
      <c r="W274" s="6">
        <v>151040</v>
      </c>
      <c r="X274" s="6">
        <v>15104050</v>
      </c>
      <c r="Y274" s="7" t="s">
        <v>61</v>
      </c>
      <c r="Z274" s="7" t="s">
        <v>62</v>
      </c>
      <c r="AA274" s="7" t="s">
        <v>217</v>
      </c>
      <c r="AB274" s="6">
        <v>75.253997802734375</v>
      </c>
      <c r="AC274" s="6">
        <v>0.97465016232828605</v>
      </c>
      <c r="AD274" s="6">
        <v>54.445114726593836</v>
      </c>
      <c r="AE274" s="6"/>
      <c r="AF274" s="6"/>
    </row>
    <row r="275" spans="1:32" s="4" customFormat="1" ht="12.75" x14ac:dyDescent="0.2">
      <c r="A275" s="7" t="s">
        <v>965</v>
      </c>
      <c r="B275" s="7" t="s">
        <v>966</v>
      </c>
      <c r="C275" s="7" t="s">
        <v>967</v>
      </c>
      <c r="D275" s="6">
        <v>-4.9581628292799003E-2</v>
      </c>
      <c r="E275" s="6">
        <v>-0.69006854295730602</v>
      </c>
      <c r="F275" s="6">
        <v>-4.0833670645952003E-2</v>
      </c>
      <c r="G275" s="6">
        <v>-0.95127576589584406</v>
      </c>
      <c r="H275" s="6">
        <v>-0.34285214543342601</v>
      </c>
      <c r="I275" s="6">
        <v>-0.18907633423805201</v>
      </c>
      <c r="J275" s="6">
        <v>0.95549434423446711</v>
      </c>
      <c r="K275" s="6">
        <v>-0.24196223914623302</v>
      </c>
      <c r="L275" s="6">
        <v>2.097112894058228</v>
      </c>
      <c r="M275" s="6">
        <v>-0.93693399429321311</v>
      </c>
      <c r="N275" s="6">
        <v>1.0451999628694939</v>
      </c>
      <c r="O275" s="6"/>
      <c r="P275" s="6">
        <v>1.169018028495195</v>
      </c>
      <c r="Q275" s="6"/>
      <c r="R275" s="6">
        <v>30.68249760086406</v>
      </c>
      <c r="S275" s="6"/>
      <c r="T275" s="6">
        <v>4.3751640319824219</v>
      </c>
      <c r="U275" s="6" t="str">
        <f>_xll.BDP($A275,"TRAILING_12M_R&amp;D_%_SALES",$A$1,$A$2)</f>
        <v>#N/A N/A</v>
      </c>
      <c r="V275" s="6">
        <v>40</v>
      </c>
      <c r="W275" s="6">
        <v>403010</v>
      </c>
      <c r="X275" s="6">
        <v>40301020</v>
      </c>
      <c r="Y275" s="7" t="s">
        <v>43</v>
      </c>
      <c r="Z275" s="7" t="s">
        <v>44</v>
      </c>
      <c r="AA275" s="7" t="s">
        <v>45</v>
      </c>
      <c r="AB275" s="6">
        <v>65.778091430664063</v>
      </c>
      <c r="AC275" s="6"/>
      <c r="AD275" s="6"/>
      <c r="AE275" s="6">
        <v>42465</v>
      </c>
      <c r="AF275" s="6">
        <v>44173</v>
      </c>
    </row>
    <row r="276" spans="1:32" s="4" customFormat="1" ht="12.75" x14ac:dyDescent="0.2">
      <c r="A276" s="7" t="s">
        <v>968</v>
      </c>
      <c r="B276" s="7" t="s">
        <v>969</v>
      </c>
      <c r="C276" s="7" t="s">
        <v>970</v>
      </c>
      <c r="D276" s="6">
        <v>-3.8044102489948002E-2</v>
      </c>
      <c r="E276" s="6">
        <v>-0.69117504358291604</v>
      </c>
      <c r="F276" s="6">
        <v>-0.15206244587898302</v>
      </c>
      <c r="G276" s="6">
        <v>-0.94266229867935203</v>
      </c>
      <c r="H276" s="6">
        <v>-0.34984043240547202</v>
      </c>
      <c r="I276" s="6">
        <v>-5.0898764282465002E-2</v>
      </c>
      <c r="J276" s="6">
        <v>0.96841621398925803</v>
      </c>
      <c r="K276" s="6">
        <v>0.44665303826332103</v>
      </c>
      <c r="L276" s="6">
        <v>2.1389753818511958</v>
      </c>
      <c r="M276" s="6">
        <v>-0.93177878856658902</v>
      </c>
      <c r="N276" s="6">
        <v>1.0451999628694939</v>
      </c>
      <c r="O276" s="6"/>
      <c r="P276" s="6">
        <v>1.169018028495195</v>
      </c>
      <c r="Q276" s="6"/>
      <c r="R276" s="6">
        <v>30.68249760086406</v>
      </c>
      <c r="S276" s="6"/>
      <c r="T276" s="6">
        <v>4.3751640319824219</v>
      </c>
      <c r="U276" s="6" t="str">
        <f>_xll.BDP($A276,"TRAILING_12M_R&amp;D_%_SALES",$A$1,$A$2)</f>
        <v>#N/A N/A</v>
      </c>
      <c r="V276" s="6">
        <v>40</v>
      </c>
      <c r="W276" s="6">
        <v>403010</v>
      </c>
      <c r="X276" s="6">
        <v>40301020</v>
      </c>
      <c r="Y276" s="7" t="s">
        <v>43</v>
      </c>
      <c r="Z276" s="7" t="s">
        <v>44</v>
      </c>
      <c r="AA276" s="7" t="s">
        <v>45</v>
      </c>
      <c r="AB276" s="6">
        <v>65.778091430664063</v>
      </c>
      <c r="AC276" s="6">
        <v>-0.34211451572475104</v>
      </c>
      <c r="AD276" s="6"/>
      <c r="AE276" s="6">
        <v>42465</v>
      </c>
      <c r="AF276" s="6">
        <v>44173</v>
      </c>
    </row>
    <row r="277" spans="1:32" s="4" customFormat="1" ht="12.75" x14ac:dyDescent="0.2">
      <c r="A277" s="7" t="s">
        <v>971</v>
      </c>
      <c r="B277" s="7" t="s">
        <v>972</v>
      </c>
      <c r="C277" s="7" t="s">
        <v>973</v>
      </c>
      <c r="D277" s="6">
        <v>-0.95674079656601008</v>
      </c>
      <c r="E277" s="6">
        <v>-0.78088200092315707</v>
      </c>
      <c r="F277" s="6">
        <v>6.9350339472294006E-2</v>
      </c>
      <c r="G277" s="6">
        <v>-0.78962725400924705</v>
      </c>
      <c r="H277" s="6">
        <v>-0.93373954296112105</v>
      </c>
      <c r="I277" s="6">
        <v>0.43722867965698203</v>
      </c>
      <c r="J277" s="6">
        <v>0.69672250747680708</v>
      </c>
      <c r="K277" s="6">
        <v>-1.032453060150146</v>
      </c>
      <c r="L277" s="6">
        <v>3.8482911884785004E-2</v>
      </c>
      <c r="M277" s="6">
        <v>-0.78654938936233509</v>
      </c>
      <c r="N277" s="6">
        <v>1.1723979123421171</v>
      </c>
      <c r="O277" s="6">
        <v>1.0890899331632411</v>
      </c>
      <c r="P277" s="6">
        <v>1.143091503621454</v>
      </c>
      <c r="Q277" s="6"/>
      <c r="R277" s="6">
        <v>14.291256123024011</v>
      </c>
      <c r="S277" s="6"/>
      <c r="T277" s="6">
        <v>8.3461017608642578</v>
      </c>
      <c r="U277" s="6">
        <f>_xll.BDP($A277,"TRAILING_12M_R&amp;D_%_SALES",$A$1,$A$2)</f>
        <v>5.1341770762049705</v>
      </c>
      <c r="V277" s="6">
        <v>45</v>
      </c>
      <c r="W277" s="6">
        <v>452020</v>
      </c>
      <c r="X277" s="6">
        <v>45202030</v>
      </c>
      <c r="Y277" s="7" t="s">
        <v>56</v>
      </c>
      <c r="Z277" s="7" t="s">
        <v>57</v>
      </c>
      <c r="AA277" s="7" t="s">
        <v>57</v>
      </c>
      <c r="AB277" s="6">
        <v>66.683433532714844</v>
      </c>
      <c r="AC277" s="6">
        <v>0.45770091531410606</v>
      </c>
      <c r="AD277" s="6"/>
      <c r="AE277" s="6">
        <v>73878</v>
      </c>
      <c r="AF277" s="6">
        <v>77739</v>
      </c>
    </row>
    <row r="278" spans="1:32" s="4" customFormat="1" ht="12.75" x14ac:dyDescent="0.2">
      <c r="A278" s="7" t="s">
        <v>974</v>
      </c>
      <c r="B278" s="7" t="s">
        <v>975</v>
      </c>
      <c r="C278" s="7" t="s">
        <v>976</v>
      </c>
      <c r="D278" s="6">
        <v>-0.95674079656601008</v>
      </c>
      <c r="E278" s="6">
        <v>-0.78088200092315707</v>
      </c>
      <c r="F278" s="6">
        <v>6.9350339472294006E-2</v>
      </c>
      <c r="G278" s="6">
        <v>-0.78962725400924705</v>
      </c>
      <c r="H278" s="6">
        <v>-0.93373954296112105</v>
      </c>
      <c r="I278" s="6">
        <v>0.43722867965698203</v>
      </c>
      <c r="J278" s="6">
        <v>0.69672250747680708</v>
      </c>
      <c r="K278" s="6">
        <v>-1.032453060150146</v>
      </c>
      <c r="L278" s="6">
        <v>3.8482911884785004E-2</v>
      </c>
      <c r="M278" s="6">
        <v>-0.78654938936233509</v>
      </c>
      <c r="N278" s="6">
        <v>1.1723979123421171</v>
      </c>
      <c r="O278" s="6"/>
      <c r="P278" s="6">
        <v>1.143091503621454</v>
      </c>
      <c r="Q278" s="6"/>
      <c r="R278" s="6">
        <v>14.291256123024011</v>
      </c>
      <c r="S278" s="6"/>
      <c r="T278" s="6">
        <v>8.3461017608642578</v>
      </c>
      <c r="U278" s="6">
        <f>_xll.BDP($A278,"TRAILING_12M_R&amp;D_%_SALES",$A$1,$A$2)</f>
        <v>5.1341770762049705</v>
      </c>
      <c r="V278" s="6">
        <v>45</v>
      </c>
      <c r="W278" s="6">
        <v>452020</v>
      </c>
      <c r="X278" s="6">
        <v>45202030</v>
      </c>
      <c r="Y278" s="7" t="s">
        <v>56</v>
      </c>
      <c r="Z278" s="7" t="s">
        <v>57</v>
      </c>
      <c r="AA278" s="7" t="s">
        <v>57</v>
      </c>
      <c r="AB278" s="6">
        <v>66.683433532714844</v>
      </c>
      <c r="AC278" s="6">
        <v>0.71107065989831009</v>
      </c>
      <c r="AD278" s="6">
        <v>20.554176461391414</v>
      </c>
      <c r="AE278" s="6">
        <v>73878</v>
      </c>
      <c r="AF278" s="6">
        <v>77739</v>
      </c>
    </row>
    <row r="279" spans="1:32" s="4" customFormat="1" ht="12.75" x14ac:dyDescent="0.2">
      <c r="A279" s="7" t="s">
        <v>977</v>
      </c>
      <c r="B279" s="7" t="s">
        <v>978</v>
      </c>
      <c r="C279" s="7" t="s">
        <v>979</v>
      </c>
      <c r="D279" s="6">
        <v>-0.54991966485977206</v>
      </c>
      <c r="E279" s="6">
        <v>-9.2526592314243011E-2</v>
      </c>
      <c r="F279" s="6">
        <v>-0.11331528425216701</v>
      </c>
      <c r="G279" s="6">
        <v>-0.84996652603149403</v>
      </c>
      <c r="H279" s="6">
        <v>-0.67376202344894409</v>
      </c>
      <c r="I279" s="6">
        <v>0.32118266820907604</v>
      </c>
      <c r="J279" s="6">
        <v>1.8905670642852781</v>
      </c>
      <c r="K279" s="6">
        <v>-0.39261183142662004</v>
      </c>
      <c r="L279" s="6">
        <v>1.765040516853333</v>
      </c>
      <c r="M279" s="6">
        <v>-0.77142482995986905</v>
      </c>
      <c r="N279" s="6">
        <v>1.1099428307773449</v>
      </c>
      <c r="O279" s="6">
        <v>3.26507269618115</v>
      </c>
      <c r="P279" s="6">
        <v>1.9688545619938571</v>
      </c>
      <c r="Q279" s="6">
        <v>1.796340864012945</v>
      </c>
      <c r="R279" s="6">
        <v>9.5769225554348054</v>
      </c>
      <c r="S279" s="6">
        <v>8.4328776884254477</v>
      </c>
      <c r="T279" s="6">
        <v>20.753025054931641</v>
      </c>
      <c r="U279" s="6" t="str">
        <f>_xll.BDP($A279,"TRAILING_12M_R&amp;D_%_SALES",$A$1,$A$2)</f>
        <v>#N/A N/A</v>
      </c>
      <c r="V279" s="6">
        <v>40</v>
      </c>
      <c r="W279" s="6">
        <v>401010</v>
      </c>
      <c r="X279" s="6">
        <v>40101010</v>
      </c>
      <c r="Y279" s="7" t="s">
        <v>43</v>
      </c>
      <c r="Z279" s="7" t="s">
        <v>67</v>
      </c>
      <c r="AA279" s="7" t="s">
        <v>68</v>
      </c>
      <c r="AB279" s="6">
        <v>58.92767333984375</v>
      </c>
      <c r="AC279" s="6">
        <v>0.68495825225264306</v>
      </c>
      <c r="AD279" s="6">
        <v>47.591068589611126</v>
      </c>
      <c r="AE279" s="6">
        <v>30941</v>
      </c>
      <c r="AF279" s="6">
        <v>29915</v>
      </c>
    </row>
    <row r="280" spans="1:32" s="4" customFormat="1" ht="12.75" x14ac:dyDescent="0.2">
      <c r="A280" s="7" t="s">
        <v>980</v>
      </c>
      <c r="B280" s="7" t="s">
        <v>981</v>
      </c>
      <c r="C280" s="7" t="s">
        <v>982</v>
      </c>
      <c r="D280" s="6">
        <v>-0.54991966485977206</v>
      </c>
      <c r="E280" s="6">
        <v>-9.2526592314243011E-2</v>
      </c>
      <c r="F280" s="6">
        <v>-0.11331528425216701</v>
      </c>
      <c r="G280" s="6">
        <v>-0.84996652603149403</v>
      </c>
      <c r="H280" s="6">
        <v>-0.67376202344894409</v>
      </c>
      <c r="I280" s="6">
        <v>0.32118266820907604</v>
      </c>
      <c r="J280" s="6">
        <v>1.8905670642852781</v>
      </c>
      <c r="K280" s="6">
        <v>-0.39261183142662004</v>
      </c>
      <c r="L280" s="6">
        <v>1.765040516853333</v>
      </c>
      <c r="M280" s="6">
        <v>-0.77142482995986905</v>
      </c>
      <c r="N280" s="6">
        <v>1.1099428307773449</v>
      </c>
      <c r="O280" s="6">
        <v>3.2624736322104302</v>
      </c>
      <c r="P280" s="6">
        <v>1.9688545619938571</v>
      </c>
      <c r="Q280" s="6">
        <v>1.7949107330762151</v>
      </c>
      <c r="R280" s="6">
        <v>9.5769225554348054</v>
      </c>
      <c r="S280" s="6">
        <v>8.4261646762249498</v>
      </c>
      <c r="T280" s="6">
        <v>20.753025054931641</v>
      </c>
      <c r="U280" s="6" t="str">
        <f>_xll.BDP($A280,"TRAILING_12M_R&amp;D_%_SALES",$A$1,$A$2)</f>
        <v>#N/A N/A</v>
      </c>
      <c r="V280" s="6">
        <v>40</v>
      </c>
      <c r="W280" s="6">
        <v>401010</v>
      </c>
      <c r="X280" s="6">
        <v>40101010</v>
      </c>
      <c r="Y280" s="7" t="s">
        <v>43</v>
      </c>
      <c r="Z280" s="7" t="s">
        <v>67</v>
      </c>
      <c r="AA280" s="7" t="s">
        <v>68</v>
      </c>
      <c r="AB280" s="6">
        <v>58.92767333984375</v>
      </c>
      <c r="AC280" s="6">
        <v>1.1598866019320531</v>
      </c>
      <c r="AD280" s="6">
        <v>47.218438619398697</v>
      </c>
      <c r="AE280" s="6">
        <v>30941</v>
      </c>
      <c r="AF280" s="6">
        <v>29915</v>
      </c>
    </row>
    <row r="281" spans="1:32" s="4" customFormat="1" ht="12.75" x14ac:dyDescent="0.2">
      <c r="A281" s="7" t="s">
        <v>983</v>
      </c>
      <c r="B281" s="7" t="s">
        <v>984</v>
      </c>
      <c r="C281" s="7" t="s">
        <v>985</v>
      </c>
      <c r="D281" s="6">
        <v>-0.33474671840667702</v>
      </c>
      <c r="E281" s="6">
        <v>-0.52895265817642201</v>
      </c>
      <c r="F281" s="6">
        <v>-0.44741684198379505</v>
      </c>
      <c r="G281" s="6">
        <v>-0.53042560815811202</v>
      </c>
      <c r="H281" s="6">
        <v>-0.23214346170425401</v>
      </c>
      <c r="I281" s="6">
        <v>-0.597980976104736</v>
      </c>
      <c r="J281" s="6">
        <v>0.17528723180294001</v>
      </c>
      <c r="K281" s="6">
        <v>-0.84587246179580711</v>
      </c>
      <c r="L281" s="6">
        <v>0.37529379129409801</v>
      </c>
      <c r="M281" s="6">
        <v>-0.85158473253250111</v>
      </c>
      <c r="N281" s="6">
        <v>1.7127224923490889</v>
      </c>
      <c r="O281" s="6">
        <v>1.5476589966131531</v>
      </c>
      <c r="P281" s="6">
        <v>3.5507906307989061</v>
      </c>
      <c r="Q281" s="6">
        <v>3.3516620657239731</v>
      </c>
      <c r="R281" s="6">
        <v>21.71153951500877</v>
      </c>
      <c r="S281" s="6">
        <v>17.444141874763314</v>
      </c>
      <c r="T281" s="6">
        <v>17.560094833374023</v>
      </c>
      <c r="U281" s="6">
        <f>_xll.BDP($A281,"TRAILING_12M_R&amp;D_%_SALES",$A$1,$A$2)</f>
        <v>1.1840891944002012</v>
      </c>
      <c r="V281" s="6">
        <v>20</v>
      </c>
      <c r="W281" s="6">
        <v>201010</v>
      </c>
      <c r="X281" s="6">
        <v>20101010</v>
      </c>
      <c r="Y281" s="7" t="s">
        <v>38</v>
      </c>
      <c r="Z281" s="7" t="s">
        <v>292</v>
      </c>
      <c r="AA281" s="7" t="s">
        <v>292</v>
      </c>
      <c r="AB281" s="6">
        <v>53.72698974609375</v>
      </c>
      <c r="AC281" s="6">
        <v>0.67191802141009604</v>
      </c>
      <c r="AD281" s="6">
        <v>6.6549318085287865</v>
      </c>
      <c r="AE281" s="6">
        <v>106500</v>
      </c>
      <c r="AF281" s="6">
        <v>98600</v>
      </c>
    </row>
    <row r="282" spans="1:32" s="4" customFormat="1" ht="12.75" x14ac:dyDescent="0.2">
      <c r="A282" s="7" t="s">
        <v>986</v>
      </c>
      <c r="B282" s="7" t="s">
        <v>987</v>
      </c>
      <c r="C282" s="7" t="s">
        <v>988</v>
      </c>
      <c r="D282" s="6">
        <v>0.33983945846557601</v>
      </c>
      <c r="E282" s="6">
        <v>-0.35141357779502902</v>
      </c>
      <c r="F282" s="6">
        <v>0.48084196448326105</v>
      </c>
      <c r="G282" s="6">
        <v>-0.28678014874458302</v>
      </c>
      <c r="H282" s="6">
        <v>-0.25569331645965604</v>
      </c>
      <c r="I282" s="6">
        <v>1.85858166217804</v>
      </c>
      <c r="J282" s="6">
        <v>-0.10489761084318201</v>
      </c>
      <c r="K282" s="6">
        <v>-0.9940577745437621</v>
      </c>
      <c r="L282" s="6">
        <v>-0.58951884508132901</v>
      </c>
      <c r="M282" s="6">
        <v>-0.63925218582153309</v>
      </c>
      <c r="N282" s="6">
        <v>2.185121972785915</v>
      </c>
      <c r="O282" s="6">
        <v>2.0648989772603699</v>
      </c>
      <c r="P282" s="6">
        <v>4.8460041809763403</v>
      </c>
      <c r="Q282" s="6">
        <v>4.3441116711756829</v>
      </c>
      <c r="R282" s="6">
        <v>15.806396383490279</v>
      </c>
      <c r="S282" s="6">
        <v>27.671360068579943</v>
      </c>
      <c r="T282" s="6">
        <v>32.450859069824219</v>
      </c>
      <c r="U282" s="6">
        <f>_xll.BDP($A282,"TRAILING_12M_R&amp;D_%_SALES",$A$1,$A$2)</f>
        <v>3.396304325384536</v>
      </c>
      <c r="V282" s="6">
        <v>20</v>
      </c>
      <c r="W282" s="6">
        <v>201010</v>
      </c>
      <c r="X282" s="6">
        <v>20101010</v>
      </c>
      <c r="Y282" s="7" t="s">
        <v>38</v>
      </c>
      <c r="Z282" s="7" t="s">
        <v>292</v>
      </c>
      <c r="AA282" s="7" t="s">
        <v>292</v>
      </c>
      <c r="AB282" s="6">
        <v>59.631828308105469</v>
      </c>
      <c r="AC282" s="6">
        <v>0.9515192390897681</v>
      </c>
      <c r="AD282" s="6">
        <v>95.874827220606718</v>
      </c>
      <c r="AE282" s="6">
        <v>172000</v>
      </c>
      <c r="AF282" s="6">
        <v>313000</v>
      </c>
    </row>
    <row r="283" spans="1:32" s="4" customFormat="1" ht="12.75" x14ac:dyDescent="0.2">
      <c r="A283" s="7" t="s">
        <v>989</v>
      </c>
      <c r="B283" s="7" t="s">
        <v>990</v>
      </c>
      <c r="C283" s="7" t="s">
        <v>991</v>
      </c>
      <c r="D283" s="6">
        <v>-0.86600255966186501</v>
      </c>
      <c r="E283" s="6">
        <v>-0.23261566460132602</v>
      </c>
      <c r="F283" s="6">
        <v>0.17843107879161801</v>
      </c>
      <c r="G283" s="6">
        <v>-0.61854940652847301</v>
      </c>
      <c r="H283" s="6">
        <v>0.49028542637825001</v>
      </c>
      <c r="I283" s="6">
        <v>4.8479184508324003E-2</v>
      </c>
      <c r="J283" s="6">
        <v>0.13397242128849002</v>
      </c>
      <c r="K283" s="6">
        <v>-0.92439663410186812</v>
      </c>
      <c r="L283" s="6">
        <v>-0.64265793561935403</v>
      </c>
      <c r="M283" s="6">
        <v>0.69951939582824707</v>
      </c>
      <c r="N283" s="6">
        <v>1.823063578220852</v>
      </c>
      <c r="O283" s="6">
        <v>1.73443834752444</v>
      </c>
      <c r="P283" s="6">
        <v>4.9361080762846292</v>
      </c>
      <c r="Q283" s="6">
        <v>3.334914879269395</v>
      </c>
      <c r="R283" s="6">
        <v>19.28377153579688</v>
      </c>
      <c r="S283" s="6">
        <v>18.235849969028074</v>
      </c>
      <c r="T283" s="6">
        <v>14.330970764160156</v>
      </c>
      <c r="U283" s="6">
        <f>_xll.BDP($A283,"TRAILING_12M_R&amp;D_%_SALES",$A$1,$A$2)</f>
        <v>6.6646332164099427</v>
      </c>
      <c r="V283" s="6">
        <v>35</v>
      </c>
      <c r="W283" s="6">
        <v>351010</v>
      </c>
      <c r="X283" s="6">
        <v>35101010</v>
      </c>
      <c r="Y283" s="7" t="s">
        <v>72</v>
      </c>
      <c r="Z283" s="7" t="s">
        <v>91</v>
      </c>
      <c r="AA283" s="7" t="s">
        <v>92</v>
      </c>
      <c r="AB283" s="6">
        <v>50.296749114990234</v>
      </c>
      <c r="AC283" s="6">
        <v>1.0450016771553441</v>
      </c>
      <c r="AD283" s="6">
        <v>33.470946408274372</v>
      </c>
      <c r="AE283" s="6">
        <v>50000</v>
      </c>
      <c r="AF283" s="6"/>
    </row>
    <row r="284" spans="1:32" s="4" customFormat="1" ht="12.75" x14ac:dyDescent="0.2">
      <c r="A284" s="7" t="s">
        <v>992</v>
      </c>
      <c r="B284" s="7" t="s">
        <v>993</v>
      </c>
      <c r="C284" s="7" t="s">
        <v>994</v>
      </c>
      <c r="D284" s="6">
        <v>-0.22813355922699002</v>
      </c>
      <c r="E284" s="6">
        <v>0.47559434175491305</v>
      </c>
      <c r="F284" s="6">
        <v>4.5066494494677006E-2</v>
      </c>
      <c r="G284" s="6">
        <v>-0.31514850258827204</v>
      </c>
      <c r="H284" s="6">
        <v>0.28264713287353505</v>
      </c>
      <c r="I284" s="6">
        <v>2.6692280545831001E-2</v>
      </c>
      <c r="J284" s="6">
        <v>0.367206811904907</v>
      </c>
      <c r="K284" s="6">
        <v>-0.92542755603790305</v>
      </c>
      <c r="L284" s="6">
        <v>1.0971193313598631</v>
      </c>
      <c r="M284" s="6">
        <v>-0.62196725606918302</v>
      </c>
      <c r="N284" s="6">
        <v>3.6949081515986339</v>
      </c>
      <c r="O284" s="6">
        <v>3.6534086844923719</v>
      </c>
      <c r="P284" s="6">
        <v>4.5269763526440654</v>
      </c>
      <c r="Q284" s="6">
        <v>3.7321479992214539</v>
      </c>
      <c r="R284" s="6">
        <v>13.578562388429029</v>
      </c>
      <c r="S284" s="6">
        <v>11.277310990191896</v>
      </c>
      <c r="T284" s="6">
        <v>27.076227188110352</v>
      </c>
      <c r="U284" s="6">
        <f>_xll.BDP($A284,"TRAILING_12M_R&amp;D_%_SALES",$A$1,$A$2)</f>
        <v>20.543943240705318</v>
      </c>
      <c r="V284" s="6">
        <v>35</v>
      </c>
      <c r="W284" s="6">
        <v>352010</v>
      </c>
      <c r="X284" s="6">
        <v>35201010</v>
      </c>
      <c r="Y284" s="7" t="s">
        <v>72</v>
      </c>
      <c r="Z284" s="7" t="s">
        <v>73</v>
      </c>
      <c r="AA284" s="7" t="s">
        <v>73</v>
      </c>
      <c r="AB284" s="6">
        <v>64.138420104980469</v>
      </c>
      <c r="AC284" s="6">
        <v>0.68445404094611606</v>
      </c>
      <c r="AD284" s="6">
        <v>-1.3332103035064051</v>
      </c>
      <c r="AE284" s="6">
        <v>17000</v>
      </c>
      <c r="AF284" s="6">
        <v>10000</v>
      </c>
    </row>
    <row r="285" spans="1:32" s="4" customFormat="1" ht="12.75" x14ac:dyDescent="0.2">
      <c r="A285" s="7" t="s">
        <v>995</v>
      </c>
      <c r="B285" s="7" t="s">
        <v>996</v>
      </c>
      <c r="C285" s="7" t="s">
        <v>997</v>
      </c>
      <c r="D285" s="6">
        <v>-0.80246162414550803</v>
      </c>
      <c r="E285" s="6">
        <v>0.79052126407623302</v>
      </c>
      <c r="F285" s="6">
        <v>6.2668241560458998E-2</v>
      </c>
      <c r="G285" s="6">
        <v>-0.106013506650925</v>
      </c>
      <c r="H285" s="6">
        <v>0.50412976741790805</v>
      </c>
      <c r="I285" s="6">
        <v>-0.8918348550796511</v>
      </c>
      <c r="J285" s="6">
        <v>0.232961371541023</v>
      </c>
      <c r="K285" s="6">
        <v>-0.97453922033309903</v>
      </c>
      <c r="L285" s="6">
        <v>0.97296780347824108</v>
      </c>
      <c r="M285" s="6">
        <v>-0.82160508632659901</v>
      </c>
      <c r="N285" s="6">
        <v>1.8941438952523031</v>
      </c>
      <c r="O285" s="6">
        <v>1.828133129034458</v>
      </c>
      <c r="P285" s="6">
        <v>3.9512674103843972</v>
      </c>
      <c r="Q285" s="6">
        <v>3.4759428283960121</v>
      </c>
      <c r="R285" s="6">
        <v>14.702207962898493</v>
      </c>
      <c r="S285" s="6">
        <v>14.160400023590475</v>
      </c>
      <c r="T285" s="6">
        <v>24.994871139526367</v>
      </c>
      <c r="U285" s="6" t="str">
        <f>_xll.BDP($A285,"TRAILING_12M_R&amp;D_%_SALES",$A$1,$A$2)</f>
        <v>#N/A N/A</v>
      </c>
      <c r="V285" s="6">
        <v>30</v>
      </c>
      <c r="W285" s="6">
        <v>302020</v>
      </c>
      <c r="X285" s="6">
        <v>30202030</v>
      </c>
      <c r="Y285" s="7" t="s">
        <v>106</v>
      </c>
      <c r="Z285" s="7" t="s">
        <v>135</v>
      </c>
      <c r="AA285" s="7" t="s">
        <v>710</v>
      </c>
      <c r="AB285" s="6">
        <v>63.766220092773438</v>
      </c>
      <c r="AC285" s="6">
        <v>0.39360743836006801</v>
      </c>
      <c r="AD285" s="6">
        <v>-20.469102103229964</v>
      </c>
      <c r="AE285" s="6">
        <v>34000</v>
      </c>
      <c r="AF285" s="6">
        <v>40000</v>
      </c>
    </row>
    <row r="286" spans="1:32" s="4" customFormat="1" ht="12.75" x14ac:dyDescent="0.2">
      <c r="A286" s="7" t="s">
        <v>998</v>
      </c>
      <c r="B286" s="7" t="s">
        <v>999</v>
      </c>
      <c r="C286" s="7" t="s">
        <v>1000</v>
      </c>
      <c r="D286" s="6">
        <v>0.323088228702545</v>
      </c>
      <c r="E286" s="6">
        <v>-0.61475235223770108</v>
      </c>
      <c r="F286" s="6">
        <v>1.48997962474823</v>
      </c>
      <c r="G286" s="6">
        <v>-0.9313856363296511</v>
      </c>
      <c r="H286" s="6">
        <v>7.7656708657742005E-2</v>
      </c>
      <c r="I286" s="6">
        <v>-0.34098044037818903</v>
      </c>
      <c r="J286" s="6">
        <v>1.681454062461853</v>
      </c>
      <c r="K286" s="6">
        <v>-0.52876347303390503</v>
      </c>
      <c r="L286" s="6">
        <v>2.8310878276824951</v>
      </c>
      <c r="M286" s="6">
        <v>0.40941625833511402</v>
      </c>
      <c r="N286" s="6">
        <v>0.33606409794742503</v>
      </c>
      <c r="O286" s="6">
        <v>0.33417578457145503</v>
      </c>
      <c r="P286" s="6">
        <v>1.6361317971087059</v>
      </c>
      <c r="Q286" s="6">
        <v>1.574190108502497</v>
      </c>
      <c r="R286" s="6">
        <v>7.8869539338692665</v>
      </c>
      <c r="S286" s="6">
        <v>12.201473699491766</v>
      </c>
      <c r="T286" s="6">
        <v>21.005603790283203</v>
      </c>
      <c r="U286" s="6">
        <f>_xll.BDP($A286,"TRAILING_12M_R&amp;D_%_SALES",$A$1,$A$2)</f>
        <v>0</v>
      </c>
      <c r="V286" s="6">
        <v>15</v>
      </c>
      <c r="W286" s="6">
        <v>151040</v>
      </c>
      <c r="X286" s="6">
        <v>15104020</v>
      </c>
      <c r="Y286" s="7" t="s">
        <v>61</v>
      </c>
      <c r="Z286" s="7" t="s">
        <v>62</v>
      </c>
      <c r="AA286" s="7" t="s">
        <v>63</v>
      </c>
      <c r="AB286" s="6">
        <v>73.393020629882813</v>
      </c>
      <c r="AC286" s="6">
        <v>1.011815576246621</v>
      </c>
      <c r="AD286" s="6">
        <v>-2.692995026129541</v>
      </c>
      <c r="AE286" s="6">
        <v>81706</v>
      </c>
      <c r="AF286" s="6">
        <v>83679</v>
      </c>
    </row>
    <row r="287" spans="1:32" s="4" customFormat="1" ht="12.75" x14ac:dyDescent="0.2">
      <c r="A287" s="7" t="s">
        <v>1001</v>
      </c>
      <c r="B287" s="7" t="s">
        <v>1002</v>
      </c>
      <c r="C287" s="7" t="s">
        <v>1003</v>
      </c>
      <c r="D287" s="6">
        <v>0.323088228702545</v>
      </c>
      <c r="E287" s="6">
        <v>-0.61475235223770108</v>
      </c>
      <c r="F287" s="6">
        <v>1.48997962474823</v>
      </c>
      <c r="G287" s="6">
        <v>-0.9313856363296511</v>
      </c>
      <c r="H287" s="6">
        <v>7.7656708657742005E-2</v>
      </c>
      <c r="I287" s="6">
        <v>-0.34098044037818903</v>
      </c>
      <c r="J287" s="6">
        <v>1.681454062461853</v>
      </c>
      <c r="K287" s="6">
        <v>-0.52876347303390503</v>
      </c>
      <c r="L287" s="6">
        <v>2.8310878276824951</v>
      </c>
      <c r="M287" s="6">
        <v>0.40941625833511402</v>
      </c>
      <c r="N287" s="6">
        <v>0.33606409794742503</v>
      </c>
      <c r="O287" s="6">
        <v>0.33352988786384802</v>
      </c>
      <c r="P287" s="6">
        <v>1.6361317971087059</v>
      </c>
      <c r="Q287" s="6">
        <v>1.5711474809490271</v>
      </c>
      <c r="R287" s="6">
        <v>7.8869539338692665</v>
      </c>
      <c r="S287" s="6">
        <v>12.177890436027901</v>
      </c>
      <c r="T287" s="6">
        <v>21.005603790283203</v>
      </c>
      <c r="U287" s="6">
        <f>_xll.BDP($A287,"TRAILING_12M_R&amp;D_%_SALES",$A$1,$A$2)</f>
        <v>0</v>
      </c>
      <c r="V287" s="6">
        <v>15</v>
      </c>
      <c r="W287" s="6">
        <v>151040</v>
      </c>
      <c r="X287" s="6">
        <v>15104020</v>
      </c>
      <c r="Y287" s="7" t="s">
        <v>61</v>
      </c>
      <c r="Z287" s="7" t="s">
        <v>62</v>
      </c>
      <c r="AA287" s="7" t="s">
        <v>63</v>
      </c>
      <c r="AB287" s="6">
        <v>73.393020629882813</v>
      </c>
      <c r="AC287" s="6">
        <v>1.072390462079559</v>
      </c>
      <c r="AD287" s="6">
        <v>-1.63290009160979</v>
      </c>
      <c r="AE287" s="6">
        <v>81706</v>
      </c>
      <c r="AF287" s="6">
        <v>83679</v>
      </c>
    </row>
    <row r="288" spans="1:32" s="4" customFormat="1" ht="12.75" x14ac:dyDescent="0.2">
      <c r="A288" s="7" t="s">
        <v>1004</v>
      </c>
      <c r="B288" s="7" t="s">
        <v>1005</v>
      </c>
      <c r="C288" s="7" t="s">
        <v>1006</v>
      </c>
      <c r="D288" s="6">
        <v>0.33605486154556302</v>
      </c>
      <c r="E288" s="6">
        <v>-0.81743156909942605</v>
      </c>
      <c r="F288" s="6">
        <v>-0.18804813921451602</v>
      </c>
      <c r="G288" s="6">
        <v>0.6814327836036681</v>
      </c>
      <c r="H288" s="6">
        <v>1.2006479501724241</v>
      </c>
      <c r="I288" s="6">
        <v>-1.0369489192962651</v>
      </c>
      <c r="J288" s="6">
        <v>3.0000147819519039</v>
      </c>
      <c r="K288" s="6">
        <v>-0.9319876432418821</v>
      </c>
      <c r="L288" s="6">
        <v>-0.19695509970188102</v>
      </c>
      <c r="M288" s="6">
        <v>-0.50722092390060403</v>
      </c>
      <c r="N288" s="6">
        <v>0.290660491649055</v>
      </c>
      <c r="O288" s="6">
        <v>0.28826284219383502</v>
      </c>
      <c r="P288" s="6">
        <v>0.675233244592644</v>
      </c>
      <c r="Q288" s="6">
        <v>0.53203933612297405</v>
      </c>
      <c r="R288" s="6">
        <v>4.4435606968331172</v>
      </c>
      <c r="S288" s="6">
        <v>4.7530136613256202</v>
      </c>
      <c r="T288" s="6">
        <v>14.211701393127441</v>
      </c>
      <c r="U288" s="6" t="str">
        <f>_xll.BDP($A288,"TRAILING_12M_R&amp;D_%_SALES",$A$1,$A$2)</f>
        <v>#N/A N/A</v>
      </c>
      <c r="V288" s="6">
        <v>25</v>
      </c>
      <c r="W288" s="6">
        <v>251020</v>
      </c>
      <c r="X288" s="6">
        <v>25102010</v>
      </c>
      <c r="Y288" s="7" t="s">
        <v>85</v>
      </c>
      <c r="Z288" s="7" t="s">
        <v>316</v>
      </c>
      <c r="AA288" s="7" t="s">
        <v>317</v>
      </c>
      <c r="AB288" s="6">
        <v>76.561714172363281</v>
      </c>
      <c r="AC288" s="6">
        <v>1.241082200312599</v>
      </c>
      <c r="AD288" s="6">
        <v>7.8109791835379916</v>
      </c>
      <c r="AE288" s="6">
        <v>167000</v>
      </c>
      <c r="AF288" s="6">
        <v>180000</v>
      </c>
    </row>
    <row r="289" spans="1:32" s="4" customFormat="1" ht="12.75" x14ac:dyDescent="0.2">
      <c r="A289" s="7" t="s">
        <v>1007</v>
      </c>
      <c r="B289" s="7" t="s">
        <v>1008</v>
      </c>
      <c r="C289" s="7" t="s">
        <v>1009</v>
      </c>
      <c r="D289" s="6">
        <v>-0.97135329246521007</v>
      </c>
      <c r="E289" s="6">
        <v>-1.03705894947052</v>
      </c>
      <c r="F289" s="6">
        <v>0.47481656074523904</v>
      </c>
      <c r="G289" s="6">
        <v>-0.52213889360427901</v>
      </c>
      <c r="H289" s="6">
        <v>-0.64701861143112205</v>
      </c>
      <c r="I289" s="6">
        <v>-6.8745329976082001E-2</v>
      </c>
      <c r="J289" s="6">
        <v>0.60471510887146007</v>
      </c>
      <c r="K289" s="6">
        <v>-0.65880429744720503</v>
      </c>
      <c r="L289" s="6">
        <v>0.535103619098663</v>
      </c>
      <c r="M289" s="6">
        <v>-0.343670815229416</v>
      </c>
      <c r="N289" s="6">
        <v>2.864923303426254</v>
      </c>
      <c r="O289" s="6">
        <v>2.5325492387145601</v>
      </c>
      <c r="P289" s="6">
        <v>1.382360113435229</v>
      </c>
      <c r="Q289" s="6">
        <v>1.2977044976417771</v>
      </c>
      <c r="R289" s="6">
        <v>22.032361390189781</v>
      </c>
      <c r="S289" s="6">
        <v>16.79915254734513</v>
      </c>
      <c r="T289" s="6">
        <v>0.24741899967193601</v>
      </c>
      <c r="U289" s="6">
        <f>_xll.BDP($A289,"TRAILING_12M_R&amp;D_%_SALES",$A$1,$A$2)</f>
        <v>0</v>
      </c>
      <c r="V289" s="6">
        <v>15</v>
      </c>
      <c r="W289" s="6">
        <v>151040</v>
      </c>
      <c r="X289" s="6">
        <v>15104030</v>
      </c>
      <c r="Y289" s="7" t="s">
        <v>61</v>
      </c>
      <c r="Z289" s="7" t="s">
        <v>62</v>
      </c>
      <c r="AA289" s="7" t="s">
        <v>1010</v>
      </c>
      <c r="AB289" s="6">
        <v>71.280555725097656</v>
      </c>
      <c r="AC289" s="6">
        <v>0.59008934349204401</v>
      </c>
      <c r="AD289" s="6">
        <v>7.4185566585297957</v>
      </c>
      <c r="AE289" s="6"/>
      <c r="AF289" s="6"/>
    </row>
    <row r="290" spans="1:32" s="4" customFormat="1" ht="12.75" x14ac:dyDescent="0.2">
      <c r="A290" s="7" t="s">
        <v>1011</v>
      </c>
      <c r="B290" s="7" t="s">
        <v>1012</v>
      </c>
      <c r="C290" s="7" t="s">
        <v>1013</v>
      </c>
      <c r="D290" s="6">
        <v>1.791820645332336</v>
      </c>
      <c r="E290" s="6">
        <v>4.4428542256355001E-2</v>
      </c>
      <c r="F290" s="6">
        <v>-0.33192092180252103</v>
      </c>
      <c r="G290" s="6">
        <v>-0.266577988862991</v>
      </c>
      <c r="H290" s="6">
        <v>-1.1026878356933589</v>
      </c>
      <c r="I290" s="6">
        <v>0.24912805855274203</v>
      </c>
      <c r="J290" s="6">
        <v>-0.18085007369518302</v>
      </c>
      <c r="K290" s="6">
        <v>0.52345776557922408</v>
      </c>
      <c r="L290" s="6">
        <v>-0.72281217575073209</v>
      </c>
      <c r="M290" s="6">
        <v>0.42362779378891002</v>
      </c>
      <c r="N290" s="6">
        <v>5.9845204290631751</v>
      </c>
      <c r="O290" s="6">
        <v>6.0771771186704004</v>
      </c>
      <c r="P290" s="6">
        <v>6.41229685171598</v>
      </c>
      <c r="Q290" s="6">
        <v>4.7805289981049439</v>
      </c>
      <c r="R290" s="6">
        <v>25.912344447498523</v>
      </c>
      <c r="S290" s="6">
        <v>19.781730562322149</v>
      </c>
      <c r="T290" s="6">
        <v>25.333505630493164</v>
      </c>
      <c r="U290" s="6">
        <f>_xll.BDP($A290,"TRAILING_12M_R&amp;D_%_SALES",$A$1,$A$2)</f>
        <v>14.092418104211784</v>
      </c>
      <c r="V290" s="6">
        <v>50</v>
      </c>
      <c r="W290" s="6">
        <v>502030</v>
      </c>
      <c r="X290" s="6">
        <v>50203010</v>
      </c>
      <c r="Y290" s="7" t="s">
        <v>311</v>
      </c>
      <c r="Z290" s="7" t="s">
        <v>312</v>
      </c>
      <c r="AA290" s="7" t="s">
        <v>312</v>
      </c>
      <c r="AB290" s="6">
        <v>56.774971008300781</v>
      </c>
      <c r="AC290" s="6">
        <v>1.276386819971717</v>
      </c>
      <c r="AD290" s="6">
        <v>58.437321541208085</v>
      </c>
      <c r="AE290" s="6">
        <v>190234</v>
      </c>
      <c r="AF290" s="6">
        <v>80110</v>
      </c>
    </row>
    <row r="291" spans="1:32" s="4" customFormat="1" ht="12.75" x14ac:dyDescent="0.2">
      <c r="A291" s="7" t="s">
        <v>1014</v>
      </c>
      <c r="B291" s="7" t="s">
        <v>1015</v>
      </c>
      <c r="C291" s="7" t="s">
        <v>1016</v>
      </c>
      <c r="D291" s="6">
        <v>1.791820645332336</v>
      </c>
      <c r="E291" s="6">
        <v>4.4428542256355001E-2</v>
      </c>
      <c r="F291" s="6">
        <v>-0.33192092180252103</v>
      </c>
      <c r="G291" s="6">
        <v>-0.266577988862991</v>
      </c>
      <c r="H291" s="6">
        <v>-1.1026878356933589</v>
      </c>
      <c r="I291" s="6">
        <v>0.24912805855274203</v>
      </c>
      <c r="J291" s="6">
        <v>-0.18085007369518302</v>
      </c>
      <c r="K291" s="6">
        <v>0.52345776557922408</v>
      </c>
      <c r="L291" s="6">
        <v>-0.72281217575073209</v>
      </c>
      <c r="M291" s="6">
        <v>0.42362779378891002</v>
      </c>
      <c r="N291" s="6">
        <v>5.9845204290631751</v>
      </c>
      <c r="O291" s="6">
        <v>6.0771771186704004</v>
      </c>
      <c r="P291" s="6">
        <v>6.41229685171598</v>
      </c>
      <c r="Q291" s="6">
        <v>4.7384669135177839</v>
      </c>
      <c r="R291" s="6">
        <v>25.912344447498523</v>
      </c>
      <c r="S291" s="6">
        <v>19.607678522365347</v>
      </c>
      <c r="T291" s="6">
        <v>25.333505630493164</v>
      </c>
      <c r="U291" s="6">
        <f>_xll.BDP($A291,"TRAILING_12M_R&amp;D_%_SALES",$A$1,$A$2)</f>
        <v>14.092418104211784</v>
      </c>
      <c r="V291" s="6">
        <v>50</v>
      </c>
      <c r="W291" s="6">
        <v>502030</v>
      </c>
      <c r="X291" s="6">
        <v>50203010</v>
      </c>
      <c r="Y291" s="7" t="s">
        <v>311</v>
      </c>
      <c r="Z291" s="7" t="s">
        <v>312</v>
      </c>
      <c r="AA291" s="7" t="s">
        <v>312</v>
      </c>
      <c r="AB291" s="6">
        <v>56.774971008300781</v>
      </c>
      <c r="AC291" s="6">
        <v>1.2553965555951401</v>
      </c>
      <c r="AD291" s="6">
        <v>57.93104269200586</v>
      </c>
      <c r="AE291" s="6">
        <v>190234</v>
      </c>
      <c r="AF291" s="6">
        <v>80110</v>
      </c>
    </row>
    <row r="292" spans="1:32" s="4" customFormat="1" ht="12.75" x14ac:dyDescent="0.2">
      <c r="A292" s="7" t="s">
        <v>1017</v>
      </c>
      <c r="B292" s="7" t="s">
        <v>1018</v>
      </c>
      <c r="C292" s="7" t="s">
        <v>1019</v>
      </c>
      <c r="D292" s="6">
        <v>-0.58576232194900502</v>
      </c>
      <c r="E292" s="6">
        <v>-0.7954437732696531</v>
      </c>
      <c r="F292" s="6">
        <v>-0.15754808485508001</v>
      </c>
      <c r="G292" s="6">
        <v>-0.96381866931915305</v>
      </c>
      <c r="H292" s="6">
        <v>0.13472239673137701</v>
      </c>
      <c r="I292" s="6">
        <v>-0.22993004322052002</v>
      </c>
      <c r="J292" s="6">
        <v>0.22786884009838101</v>
      </c>
      <c r="K292" s="6">
        <v>-1.2879881858825679</v>
      </c>
      <c r="L292" s="6">
        <v>1.0342333316802981</v>
      </c>
      <c r="M292" s="6">
        <v>-0.97306883335113503</v>
      </c>
      <c r="N292" s="6">
        <v>1.3173614233687581</v>
      </c>
      <c r="O292" s="6">
        <v>1.4259255354521641</v>
      </c>
      <c r="P292" s="6">
        <v>2.2811740239718419</v>
      </c>
      <c r="Q292" s="6">
        <v>1.8875414008579989</v>
      </c>
      <c r="R292" s="6">
        <v>28.664954045353767</v>
      </c>
      <c r="S292" s="6">
        <v>16.269908426610545</v>
      </c>
      <c r="T292" s="6">
        <v>7.5157890319824219</v>
      </c>
      <c r="U292" s="6">
        <f>_xll.BDP($A292,"TRAILING_12M_R&amp;D_%_SALES",$A$1,$A$2)</f>
        <v>1.5619831673343378</v>
      </c>
      <c r="V292" s="6">
        <v>30</v>
      </c>
      <c r="W292" s="6">
        <v>302020</v>
      </c>
      <c r="X292" s="6">
        <v>30202030</v>
      </c>
      <c r="Y292" s="7" t="s">
        <v>106</v>
      </c>
      <c r="Z292" s="7" t="s">
        <v>135</v>
      </c>
      <c r="AA292" s="7" t="s">
        <v>710</v>
      </c>
      <c r="AB292" s="6">
        <v>63.011768341064453</v>
      </c>
      <c r="AC292" s="6">
        <v>0.41288864575939105</v>
      </c>
      <c r="AD292" s="6">
        <v>28.054170417274051</v>
      </c>
      <c r="AE292" s="6">
        <v>96166</v>
      </c>
      <c r="AF292" s="6">
        <v>104843</v>
      </c>
    </row>
    <row r="293" spans="1:32" s="4" customFormat="1" ht="12.75" x14ac:dyDescent="0.2">
      <c r="A293" s="7" t="s">
        <v>1020</v>
      </c>
      <c r="B293" s="7" t="s">
        <v>1021</v>
      </c>
      <c r="C293" s="7" t="s">
        <v>1022</v>
      </c>
      <c r="D293" s="6">
        <v>-0.93260526657104503</v>
      </c>
      <c r="E293" s="6">
        <v>-0.63251429796218905</v>
      </c>
      <c r="F293" s="6">
        <v>-0.42482531070709201</v>
      </c>
      <c r="G293" s="6">
        <v>0.16656640172004702</v>
      </c>
      <c r="H293" s="6">
        <v>0.54973655939102206</v>
      </c>
      <c r="I293" s="6">
        <v>-0.67555898427963301</v>
      </c>
      <c r="J293" s="6">
        <v>0.39978224039077803</v>
      </c>
      <c r="K293" s="6">
        <v>-0.20150968432426503</v>
      </c>
      <c r="L293" s="6">
        <v>-0.32135510444641102</v>
      </c>
      <c r="M293" s="6">
        <v>-0.79520583152771007</v>
      </c>
      <c r="N293" s="6">
        <v>3.5170095915909001</v>
      </c>
      <c r="O293" s="6">
        <v>3.560556383069037</v>
      </c>
      <c r="P293" s="6">
        <v>1.4734155940475091</v>
      </c>
      <c r="Q293" s="6">
        <v>1.38037479928101</v>
      </c>
      <c r="R293" s="6">
        <v>23.527275944311359</v>
      </c>
      <c r="S293" s="6">
        <v>10.769008670736657</v>
      </c>
      <c r="T293" s="6">
        <v>3.8767299652099609</v>
      </c>
      <c r="U293" s="6" t="str">
        <f>_xll.BDP($A293,"TRAILING_12M_R&amp;D_%_SALES",$A$1,$A$2)</f>
        <v>#N/A N/A</v>
      </c>
      <c r="V293" s="6">
        <v>40</v>
      </c>
      <c r="W293" s="6">
        <v>402010</v>
      </c>
      <c r="X293" s="6">
        <v>40201060</v>
      </c>
      <c r="Y293" s="7" t="s">
        <v>43</v>
      </c>
      <c r="Z293" s="7" t="s">
        <v>255</v>
      </c>
      <c r="AA293" s="7" t="s">
        <v>445</v>
      </c>
      <c r="AB293" s="6">
        <v>44.150489807128906</v>
      </c>
      <c r="AC293" s="6">
        <v>1.2427610756417879</v>
      </c>
      <c r="AD293" s="6">
        <v>29.17084920213675</v>
      </c>
      <c r="AE293" s="6">
        <v>25000</v>
      </c>
      <c r="AF293" s="6">
        <v>10000</v>
      </c>
    </row>
    <row r="294" spans="1:32" s="4" customFormat="1" ht="12.75" x14ac:dyDescent="0.2">
      <c r="A294" s="7" t="s">
        <v>1023</v>
      </c>
      <c r="B294" s="7" t="s">
        <v>1024</v>
      </c>
      <c r="C294" s="7" t="s">
        <v>1025</v>
      </c>
      <c r="D294" s="6">
        <v>0.98712760210037209</v>
      </c>
      <c r="E294" s="6">
        <v>-0.36176839470863303</v>
      </c>
      <c r="F294" s="6">
        <v>-0.35486963391304005</v>
      </c>
      <c r="G294" s="6">
        <v>3.7291884422302003E-2</v>
      </c>
      <c r="H294" s="6">
        <v>1.166237592697144</v>
      </c>
      <c r="I294" s="6">
        <v>-0.35430538654327404</v>
      </c>
      <c r="J294" s="6">
        <v>1.6262634992599492</v>
      </c>
      <c r="K294" s="6">
        <v>-0.35129311680793801</v>
      </c>
      <c r="L294" s="6">
        <v>0.89334517717361506</v>
      </c>
      <c r="M294" s="6">
        <v>-0.85832321643829301</v>
      </c>
      <c r="N294" s="6">
        <v>1.314677798189869</v>
      </c>
      <c r="O294" s="6">
        <v>2.5894871476895092</v>
      </c>
      <c r="P294" s="6">
        <v>1.187796217047725</v>
      </c>
      <c r="Q294" s="6">
        <v>1.14906195488257</v>
      </c>
      <c r="R294" s="6">
        <v>18.125552322541498</v>
      </c>
      <c r="S294" s="6">
        <v>11.189912277498678</v>
      </c>
      <c r="T294" s="6">
        <v>6.731544017791748</v>
      </c>
      <c r="U294" s="6" t="str">
        <f>_xll.BDP($A294,"TRAILING_12M_R&amp;D_%_SALES",$A$1,$A$2)</f>
        <v>#N/A N/A</v>
      </c>
      <c r="V294" s="6">
        <v>40</v>
      </c>
      <c r="W294" s="6">
        <v>402030</v>
      </c>
      <c r="X294" s="6">
        <v>40203020</v>
      </c>
      <c r="Y294" s="7" t="s">
        <v>43</v>
      </c>
      <c r="Z294" s="7" t="s">
        <v>212</v>
      </c>
      <c r="AA294" s="7" t="s">
        <v>1026</v>
      </c>
      <c r="AB294" s="6">
        <v>49.723369598388672</v>
      </c>
      <c r="AC294" s="6">
        <v>1.0414320945322399</v>
      </c>
      <c r="AD294" s="6">
        <v>15.896296059956615</v>
      </c>
      <c r="AE294" s="6">
        <v>48500</v>
      </c>
      <c r="AF294" s="6">
        <v>33600</v>
      </c>
    </row>
    <row r="295" spans="1:32" s="4" customFormat="1" ht="12.75" x14ac:dyDescent="0.2">
      <c r="A295" s="7" t="s">
        <v>1027</v>
      </c>
      <c r="B295" s="7" t="s">
        <v>1028</v>
      </c>
      <c r="C295" s="7" t="s">
        <v>1029</v>
      </c>
      <c r="D295" s="6">
        <v>-3.7737745791674E-2</v>
      </c>
      <c r="E295" s="6">
        <v>-0.95912402868270907</v>
      </c>
      <c r="F295" s="6">
        <v>-0.34530052542686501</v>
      </c>
      <c r="G295" s="6">
        <v>-0.7954742908477781</v>
      </c>
      <c r="H295" s="6">
        <v>-0.48090404272079501</v>
      </c>
      <c r="I295" s="6">
        <v>0.52291464805603005</v>
      </c>
      <c r="J295" s="6">
        <v>1.008808970451355</v>
      </c>
      <c r="K295" s="6">
        <v>-0.75268918275833108</v>
      </c>
      <c r="L295" s="6">
        <v>1.7847219705581669</v>
      </c>
      <c r="M295" s="6">
        <v>-1.0745899677276609</v>
      </c>
      <c r="N295" s="6">
        <v>1.1630221102074709</v>
      </c>
      <c r="O295" s="6">
        <v>0.58598750937197408</v>
      </c>
      <c r="P295" s="6">
        <v>1.712327600175378</v>
      </c>
      <c r="Q295" s="6">
        <v>1.6653499424978571</v>
      </c>
      <c r="R295" s="6">
        <v>7.0098287515038971</v>
      </c>
      <c r="S295" s="6">
        <v>10.562767364569925</v>
      </c>
      <c r="T295" s="6">
        <v>11.5194091796875</v>
      </c>
      <c r="U295" s="6" t="str">
        <f>_xll.BDP($A295,"TRAILING_12M_R&amp;D_%_SALES",$A$1,$A$2)</f>
        <v>#N/A N/A</v>
      </c>
      <c r="V295" s="6">
        <v>40</v>
      </c>
      <c r="W295" s="6">
        <v>403010</v>
      </c>
      <c r="X295" s="6">
        <v>40301020</v>
      </c>
      <c r="Y295" s="7" t="s">
        <v>43</v>
      </c>
      <c r="Z295" s="7" t="s">
        <v>44</v>
      </c>
      <c r="AA295" s="7" t="s">
        <v>45</v>
      </c>
      <c r="AB295" s="6">
        <v>48.234584808349609</v>
      </c>
      <c r="AC295" s="6">
        <v>0.69979602658240303</v>
      </c>
      <c r="AD295" s="6">
        <v>49.627229156374874</v>
      </c>
      <c r="AE295" s="6"/>
      <c r="AF295" s="6">
        <v>23300</v>
      </c>
    </row>
    <row r="296" spans="1:32" s="4" customFormat="1" ht="12.75" x14ac:dyDescent="0.2">
      <c r="A296" s="7" t="s">
        <v>1030</v>
      </c>
      <c r="B296" s="7" t="s">
        <v>1031</v>
      </c>
      <c r="C296" s="7" t="s">
        <v>1032</v>
      </c>
      <c r="D296" s="6">
        <v>-0.99328839778900113</v>
      </c>
      <c r="E296" s="6">
        <v>-1.0243043899536131</v>
      </c>
      <c r="F296" s="6">
        <v>-0.146786078810692</v>
      </c>
      <c r="G296" s="6">
        <v>1.454906582832336</v>
      </c>
      <c r="H296" s="6">
        <v>-0.52310490608215299</v>
      </c>
      <c r="I296" s="6">
        <v>-0.69153428077697809</v>
      </c>
      <c r="J296" s="6">
        <v>7.1911938488482999E-2</v>
      </c>
      <c r="K296" s="6">
        <v>0.94364362955093406</v>
      </c>
      <c r="L296" s="6">
        <v>0.9530670642852781</v>
      </c>
      <c r="M296" s="6">
        <v>-1.6410766169429002E-2</v>
      </c>
      <c r="N296" s="6">
        <v>0.50628826515047098</v>
      </c>
      <c r="O296" s="6">
        <v>0.8260068012833881</v>
      </c>
      <c r="P296" s="6">
        <v>1.1912846255755869</v>
      </c>
      <c r="Q296" s="6">
        <v>0.99508279529066612</v>
      </c>
      <c r="R296" s="6">
        <v>15.383077697344824</v>
      </c>
      <c r="S296" s="6">
        <v>8.5682328121844513</v>
      </c>
      <c r="T296" s="6">
        <v>7.4437961578369141</v>
      </c>
      <c r="U296" s="6" t="str">
        <f>_xll.BDP($A296,"TRAILING_12M_R&amp;D_%_SALES",$A$1,$A$2)</f>
        <v>#N/A N/A</v>
      </c>
      <c r="V296" s="6">
        <v>25</v>
      </c>
      <c r="W296" s="6">
        <v>251020</v>
      </c>
      <c r="X296" s="6">
        <v>25102010</v>
      </c>
      <c r="Y296" s="7" t="s">
        <v>85</v>
      </c>
      <c r="Z296" s="7" t="s">
        <v>316</v>
      </c>
      <c r="AA296" s="7" t="s">
        <v>317</v>
      </c>
      <c r="AB296" s="6">
        <v>56.382656097412109</v>
      </c>
      <c r="AC296" s="6">
        <v>0.35679517192427201</v>
      </c>
      <c r="AD296" s="6">
        <v>-0.59666613501835308</v>
      </c>
      <c r="AE296" s="6">
        <v>87367</v>
      </c>
      <c r="AF296" s="6">
        <v>68505</v>
      </c>
    </row>
    <row r="297" spans="1:32" s="4" customFormat="1" ht="12.75" x14ac:dyDescent="0.2">
      <c r="A297" s="7" t="s">
        <v>1033</v>
      </c>
      <c r="B297" s="7" t="s">
        <v>1034</v>
      </c>
      <c r="C297" s="7" t="s">
        <v>1035</v>
      </c>
      <c r="D297" s="6">
        <v>-0.99328839778900113</v>
      </c>
      <c r="E297" s="6">
        <v>-1.0243043899536131</v>
      </c>
      <c r="F297" s="6">
        <v>-0.146786078810692</v>
      </c>
      <c r="G297" s="6">
        <v>1.454906582832336</v>
      </c>
      <c r="H297" s="6">
        <v>-0.52310490608215299</v>
      </c>
      <c r="I297" s="6">
        <v>-0.69153428077697809</v>
      </c>
      <c r="J297" s="6">
        <v>7.1911938488482999E-2</v>
      </c>
      <c r="K297" s="6">
        <v>0.94364362955093406</v>
      </c>
      <c r="L297" s="6">
        <v>0.9530670642852781</v>
      </c>
      <c r="M297" s="6">
        <v>-1.6410766169429002E-2</v>
      </c>
      <c r="N297" s="6">
        <v>0.50628826515047098</v>
      </c>
      <c r="O297" s="6"/>
      <c r="P297" s="6">
        <v>1.1912846255755869</v>
      </c>
      <c r="Q297" s="6"/>
      <c r="R297" s="6">
        <v>15.383077697344824</v>
      </c>
      <c r="S297" s="6"/>
      <c r="T297" s="6">
        <v>7.4437961578369141</v>
      </c>
      <c r="U297" s="6" t="str">
        <f>_xll.BDP($A297,"TRAILING_12M_R&amp;D_%_SALES",$A$1,$A$2)</f>
        <v>#N/A N/A</v>
      </c>
      <c r="V297" s="6">
        <v>25</v>
      </c>
      <c r="W297" s="6">
        <v>251020</v>
      </c>
      <c r="X297" s="6">
        <v>25102010</v>
      </c>
      <c r="Y297" s="7" t="s">
        <v>85</v>
      </c>
      <c r="Z297" s="7" t="s">
        <v>316</v>
      </c>
      <c r="AA297" s="7" t="s">
        <v>317</v>
      </c>
      <c r="AB297" s="6">
        <v>56.382656097412109</v>
      </c>
      <c r="AC297" s="6">
        <v>0.62461779759348302</v>
      </c>
      <c r="AD297" s="6">
        <v>2.2431426052096799</v>
      </c>
      <c r="AE297" s="6">
        <v>87367</v>
      </c>
      <c r="AF297" s="6">
        <v>68505</v>
      </c>
    </row>
    <row r="298" spans="1:32" s="4" customFormat="1" ht="12.75" x14ac:dyDescent="0.2">
      <c r="A298" s="7" t="s">
        <v>1036</v>
      </c>
      <c r="B298" s="7" t="s">
        <v>1037</v>
      </c>
      <c r="C298" s="7" t="s">
        <v>1038</v>
      </c>
      <c r="D298" s="6">
        <v>-0.87545448541641202</v>
      </c>
      <c r="E298" s="6">
        <v>-0.23653177917003601</v>
      </c>
      <c r="F298" s="6">
        <v>-0.62837541103363004</v>
      </c>
      <c r="G298" s="6">
        <v>0.718974649906158</v>
      </c>
      <c r="H298" s="6">
        <v>0.36835595965385404</v>
      </c>
      <c r="I298" s="6">
        <v>0.724245846271515</v>
      </c>
      <c r="J298" s="6">
        <v>0.44077584147453303</v>
      </c>
      <c r="K298" s="6">
        <v>-0.6784449219703671</v>
      </c>
      <c r="L298" s="6">
        <v>3.5430811345577004E-2</v>
      </c>
      <c r="M298" s="6">
        <v>0.53752386569976807</v>
      </c>
      <c r="N298" s="6">
        <v>1.426635523533242</v>
      </c>
      <c r="O298" s="6">
        <v>1.308825126573548</v>
      </c>
      <c r="P298" s="6">
        <v>3.535983643404121</v>
      </c>
      <c r="Q298" s="6">
        <v>2.776007477478184</v>
      </c>
      <c r="R298" s="6">
        <v>12.062360128493044</v>
      </c>
      <c r="S298" s="6">
        <v>10.468520685816642</v>
      </c>
      <c r="T298" s="6">
        <v>31.399440765380859</v>
      </c>
      <c r="U298" s="6" t="str">
        <f>_xll.BDP($A298,"TRAILING_12M_R&amp;D_%_SALES",$A$1,$A$2)</f>
        <v>#N/A N/A</v>
      </c>
      <c r="V298" s="6">
        <v>10</v>
      </c>
      <c r="W298" s="6">
        <v>101010</v>
      </c>
      <c r="X298" s="6">
        <v>10101020</v>
      </c>
      <c r="Y298" s="7" t="s">
        <v>387</v>
      </c>
      <c r="Z298" s="7" t="s">
        <v>388</v>
      </c>
      <c r="AA298" s="7" t="s">
        <v>389</v>
      </c>
      <c r="AB298" s="6">
        <v>71.491798400878906</v>
      </c>
      <c r="AC298" s="6">
        <v>0.98564460554658406</v>
      </c>
      <c r="AD298" s="6">
        <v>-5.3066323486488436</v>
      </c>
      <c r="AE298" s="6">
        <v>45000</v>
      </c>
      <c r="AF298" s="6">
        <v>55000</v>
      </c>
    </row>
    <row r="299" spans="1:32" s="4" customFormat="1" ht="12.75" x14ac:dyDescent="0.2">
      <c r="A299" s="7" t="s">
        <v>1039</v>
      </c>
      <c r="B299" s="7" t="s">
        <v>1040</v>
      </c>
      <c r="C299" s="7" t="s">
        <v>1041</v>
      </c>
      <c r="D299" s="6">
        <v>-0.78230977058410611</v>
      </c>
      <c r="E299" s="6">
        <v>-0.8970644474029541</v>
      </c>
      <c r="F299" s="6">
        <v>-6.3351273536682004E-2</v>
      </c>
      <c r="G299" s="6">
        <v>0.63978481292724609</v>
      </c>
      <c r="H299" s="6">
        <v>0.39389362931251504</v>
      </c>
      <c r="I299" s="6">
        <v>-1.083349227905273</v>
      </c>
      <c r="J299" s="6">
        <v>1.7698643207550051</v>
      </c>
      <c r="K299" s="6">
        <v>-0.85784697532653809</v>
      </c>
      <c r="L299" s="6">
        <v>2.119568824768066</v>
      </c>
      <c r="M299" s="6">
        <v>-1.0344148874282839</v>
      </c>
      <c r="N299" s="6">
        <v>1.7617736394928589</v>
      </c>
      <c r="O299" s="6">
        <v>2.4865329332278332</v>
      </c>
      <c r="P299" s="6">
        <v>1.1512916966979281</v>
      </c>
      <c r="Q299" s="6">
        <v>1.0529278755662059</v>
      </c>
      <c r="R299" s="6">
        <v>8.3075522314891828</v>
      </c>
      <c r="S299" s="6">
        <v>10.285686634007908</v>
      </c>
      <c r="T299" s="6">
        <v>14.33092212677002</v>
      </c>
      <c r="U299" s="6" t="str">
        <f>_xll.BDP($A299,"TRAILING_12M_R&amp;D_%_SALES",$A$1,$A$2)</f>
        <v>#N/A N/A</v>
      </c>
      <c r="V299" s="6">
        <v>40</v>
      </c>
      <c r="W299" s="6">
        <v>401010</v>
      </c>
      <c r="X299" s="6">
        <v>40101015</v>
      </c>
      <c r="Y299" s="7" t="s">
        <v>43</v>
      </c>
      <c r="Z299" s="7" t="s">
        <v>67</v>
      </c>
      <c r="AA299" s="7" t="s">
        <v>527</v>
      </c>
      <c r="AB299" s="6">
        <v>50.226333618164063</v>
      </c>
      <c r="AC299" s="6">
        <v>1.336021752152752</v>
      </c>
      <c r="AD299" s="6">
        <v>-4.9205426118971607</v>
      </c>
      <c r="AE299" s="6">
        <v>20007</v>
      </c>
      <c r="AF299" s="6">
        <v>15375</v>
      </c>
    </row>
    <row r="300" spans="1:32" s="4" customFormat="1" ht="12.75" x14ac:dyDescent="0.2">
      <c r="A300" s="7" t="s">
        <v>1042</v>
      </c>
      <c r="B300" s="7" t="s">
        <v>1043</v>
      </c>
      <c r="C300" s="7" t="s">
        <v>1044</v>
      </c>
      <c r="D300" s="6">
        <v>-0.20207300782203702</v>
      </c>
      <c r="E300" s="6">
        <v>-0.17789913713932001</v>
      </c>
      <c r="F300" s="6">
        <v>-0.76424771547317505</v>
      </c>
      <c r="G300" s="6">
        <v>-0.39951792359352101</v>
      </c>
      <c r="H300" s="6">
        <v>2.0655171871185298</v>
      </c>
      <c r="I300" s="6">
        <v>0.100073292851448</v>
      </c>
      <c r="J300" s="6">
        <v>0.53597652912139904</v>
      </c>
      <c r="K300" s="6">
        <v>-0.35252428054809604</v>
      </c>
      <c r="L300" s="6">
        <v>-0.275666564702988</v>
      </c>
      <c r="M300" s="6">
        <v>0.21144980192184401</v>
      </c>
      <c r="N300" s="6">
        <v>1.1865485844870571</v>
      </c>
      <c r="O300" s="6">
        <v>1.073385754677044</v>
      </c>
      <c r="P300" s="6"/>
      <c r="Q300" s="6"/>
      <c r="R300" s="6">
        <v>15.274855106629886</v>
      </c>
      <c r="S300" s="6">
        <v>13.834555165321905</v>
      </c>
      <c r="T300" s="6"/>
      <c r="U300" s="6">
        <f>_xll.BDP($A300,"TRAILING_12M_R&amp;D_%_SALES",$A$1,$A$2)</f>
        <v>0</v>
      </c>
      <c r="V300" s="6">
        <v>35</v>
      </c>
      <c r="W300" s="6">
        <v>351020</v>
      </c>
      <c r="X300" s="6">
        <v>35102020</v>
      </c>
      <c r="Y300" s="7" t="s">
        <v>72</v>
      </c>
      <c r="Z300" s="7" t="s">
        <v>467</v>
      </c>
      <c r="AA300" s="7" t="s">
        <v>1045</v>
      </c>
      <c r="AB300" s="6">
        <v>46.876571655273438</v>
      </c>
      <c r="AC300" s="6">
        <v>0.89051023925038109</v>
      </c>
      <c r="AD300" s="6">
        <v>13.61853847740786</v>
      </c>
      <c r="AE300" s="6">
        <v>207000</v>
      </c>
      <c r="AF300" s="6">
        <v>253000</v>
      </c>
    </row>
    <row r="301" spans="1:32" s="4" customFormat="1" ht="12.75" x14ac:dyDescent="0.2">
      <c r="A301" s="7" t="s">
        <v>1046</v>
      </c>
      <c r="B301" s="7" t="s">
        <v>1047</v>
      </c>
      <c r="C301" s="7" t="s">
        <v>1048</v>
      </c>
      <c r="D301" s="6">
        <v>-0.54270023107528709</v>
      </c>
      <c r="E301" s="6">
        <v>-0.67380458116531405</v>
      </c>
      <c r="F301" s="6">
        <v>-0.21078369021415702</v>
      </c>
      <c r="G301" s="6">
        <v>-0.86111736297607411</v>
      </c>
      <c r="H301" s="6">
        <v>0.12754976749420202</v>
      </c>
      <c r="I301" s="6">
        <v>0.62089329957962003</v>
      </c>
      <c r="J301" s="6">
        <v>0.8937157988548281</v>
      </c>
      <c r="K301" s="6">
        <v>-0.89608067274093606</v>
      </c>
      <c r="L301" s="6">
        <v>1.274217367172241</v>
      </c>
      <c r="M301" s="6">
        <v>-0.87632948160171509</v>
      </c>
      <c r="N301" s="6">
        <v>1.4004618670776541</v>
      </c>
      <c r="O301" s="6">
        <v>1.3736452663144489</v>
      </c>
      <c r="P301" s="6">
        <v>1.44638743828297</v>
      </c>
      <c r="Q301" s="6">
        <v>1.258017485478869</v>
      </c>
      <c r="R301" s="6">
        <v>11.390615504236044</v>
      </c>
      <c r="S301" s="6">
        <v>12.088163145690597</v>
      </c>
      <c r="T301" s="6">
        <v>12.634463310241699</v>
      </c>
      <c r="U301" s="6" t="str">
        <f>_xll.BDP($A301,"TRAILING_12M_R&amp;D_%_SALES",$A$1,$A$2)</f>
        <v>#N/A N/A</v>
      </c>
      <c r="V301" s="6">
        <v>15</v>
      </c>
      <c r="W301" s="6">
        <v>151020</v>
      </c>
      <c r="X301" s="6">
        <v>15102010</v>
      </c>
      <c r="Y301" s="7" t="s">
        <v>61</v>
      </c>
      <c r="Z301" s="7" t="s">
        <v>1049</v>
      </c>
      <c r="AA301" s="7" t="s">
        <v>1049</v>
      </c>
      <c r="AB301" s="6">
        <v>75.193641662597656</v>
      </c>
      <c r="AC301" s="6">
        <v>0.44010517777311503</v>
      </c>
      <c r="AD301" s="6">
        <v>57.044590404072949</v>
      </c>
      <c r="AE301" s="6">
        <v>60422</v>
      </c>
      <c r="AF301" s="6">
        <v>81000</v>
      </c>
    </row>
    <row r="302" spans="1:32" s="4" customFormat="1" ht="12.75" x14ac:dyDescent="0.2">
      <c r="A302" s="7" t="s">
        <v>1050</v>
      </c>
      <c r="B302" s="7" t="s">
        <v>1051</v>
      </c>
      <c r="C302" s="7" t="s">
        <v>1052</v>
      </c>
      <c r="D302" s="6">
        <v>-0.54270023107528709</v>
      </c>
      <c r="E302" s="6">
        <v>-0.67380458116531405</v>
      </c>
      <c r="F302" s="6">
        <v>-0.21078369021415702</v>
      </c>
      <c r="G302" s="6">
        <v>-0.86111736297607411</v>
      </c>
      <c r="H302" s="6">
        <v>0.12754976749420202</v>
      </c>
      <c r="I302" s="6">
        <v>0.62089329957962003</v>
      </c>
      <c r="J302" s="6">
        <v>0.8937157988548281</v>
      </c>
      <c r="K302" s="6">
        <v>-0.89608067274093606</v>
      </c>
      <c r="L302" s="6">
        <v>1.274217367172241</v>
      </c>
      <c r="M302" s="6">
        <v>-0.87632948160171509</v>
      </c>
      <c r="N302" s="6">
        <v>1.4004618670776541</v>
      </c>
      <c r="O302" s="6"/>
      <c r="P302" s="6">
        <v>1.44638743828297</v>
      </c>
      <c r="Q302" s="6"/>
      <c r="R302" s="6">
        <v>11.390615504236044</v>
      </c>
      <c r="S302" s="6"/>
      <c r="T302" s="6">
        <v>12.634463310241699</v>
      </c>
      <c r="U302" s="6" t="str">
        <f>_xll.BDP($A302,"TRAILING_12M_R&amp;D_%_SALES",$A$1,$A$2)</f>
        <v>#N/A N/A</v>
      </c>
      <c r="V302" s="6">
        <v>15</v>
      </c>
      <c r="W302" s="6">
        <v>151020</v>
      </c>
      <c r="X302" s="6">
        <v>15102010</v>
      </c>
      <c r="Y302" s="7" t="s">
        <v>61</v>
      </c>
      <c r="Z302" s="7" t="s">
        <v>1049</v>
      </c>
      <c r="AA302" s="7" t="s">
        <v>1049</v>
      </c>
      <c r="AB302" s="6">
        <v>75.193641662597656</v>
      </c>
      <c r="AC302" s="6">
        <v>0.82799682741277802</v>
      </c>
      <c r="AD302" s="6">
        <v>56.976208630040318</v>
      </c>
      <c r="AE302" s="6">
        <v>60422</v>
      </c>
      <c r="AF302" s="6">
        <v>81000</v>
      </c>
    </row>
    <row r="303" spans="1:32" s="4" customFormat="1" ht="12.75" x14ac:dyDescent="0.2">
      <c r="A303" s="7" t="s">
        <v>1053</v>
      </c>
      <c r="B303" s="7" t="s">
        <v>1054</v>
      </c>
      <c r="C303" s="7" t="s">
        <v>1055</v>
      </c>
      <c r="D303" s="6">
        <v>0.60394245386123702</v>
      </c>
      <c r="E303" s="6">
        <v>0.42266368865966802</v>
      </c>
      <c r="F303" s="6">
        <v>-0.57992070913314808</v>
      </c>
      <c r="G303" s="6">
        <v>-0.61860197782516502</v>
      </c>
      <c r="H303" s="6">
        <v>1.355785489082336</v>
      </c>
      <c r="I303" s="6">
        <v>-0.12072696536779401</v>
      </c>
      <c r="J303" s="6">
        <v>-2.6447394862771003E-2</v>
      </c>
      <c r="K303" s="6">
        <v>0.32714375853538502</v>
      </c>
      <c r="L303" s="6">
        <v>0.57356274127960205</v>
      </c>
      <c r="M303" s="6">
        <v>0.37637454271316501</v>
      </c>
      <c r="N303" s="6">
        <v>2.265520577830193</v>
      </c>
      <c r="O303" s="6">
        <v>2.2319089437325621</v>
      </c>
      <c r="P303" s="6">
        <v>241.37327780861409</v>
      </c>
      <c r="Q303" s="6"/>
      <c r="R303" s="6">
        <v>22.243259915917509</v>
      </c>
      <c r="S303" s="6">
        <v>22.190207286648171</v>
      </c>
      <c r="T303" s="6">
        <v>1151.3197021484375</v>
      </c>
      <c r="U303" s="6" t="str">
        <f>_xll.BDP($A303,"TRAILING_12M_R&amp;D_%_SALES",$A$1,$A$2)</f>
        <v>#N/A N/A</v>
      </c>
      <c r="V303" s="6">
        <v>25</v>
      </c>
      <c r="W303" s="6">
        <v>255040</v>
      </c>
      <c r="X303" s="6">
        <v>25504030</v>
      </c>
      <c r="Y303" s="7" t="s">
        <v>85</v>
      </c>
      <c r="Z303" s="7" t="s">
        <v>287</v>
      </c>
      <c r="AA303" s="7" t="s">
        <v>1056</v>
      </c>
      <c r="AB303" s="6">
        <v>59.833015441894531</v>
      </c>
      <c r="AC303" s="6">
        <v>1.0231051455526701</v>
      </c>
      <c r="AD303" s="6">
        <v>11.17276634104809</v>
      </c>
      <c r="AE303" s="6">
        <v>471600</v>
      </c>
      <c r="AF303" s="6">
        <v>413000</v>
      </c>
    </row>
    <row r="304" spans="1:32" s="4" customFormat="1" ht="12.75" x14ac:dyDescent="0.2">
      <c r="A304" s="7" t="s">
        <v>1057</v>
      </c>
      <c r="B304" s="7" t="s">
        <v>1058</v>
      </c>
      <c r="C304" s="7" t="s">
        <v>1059</v>
      </c>
      <c r="D304" s="6">
        <v>0.35806730389595004</v>
      </c>
      <c r="E304" s="6">
        <v>-0.82321047782897905</v>
      </c>
      <c r="F304" s="6">
        <v>-1.647304892539978</v>
      </c>
      <c r="G304" s="6">
        <v>-0.96000307798385609</v>
      </c>
      <c r="H304" s="6">
        <v>-0.18071445822715801</v>
      </c>
      <c r="I304" s="6">
        <v>-0.5939333438873291</v>
      </c>
      <c r="J304" s="6">
        <v>-0.338284611701965</v>
      </c>
      <c r="K304" s="6">
        <v>4.9998711794615007E-2</v>
      </c>
      <c r="L304" s="6">
        <v>-0.15959380567073803</v>
      </c>
      <c r="M304" s="6">
        <v>-0.91630619764328003</v>
      </c>
      <c r="N304" s="6">
        <v>3.7676294873927749</v>
      </c>
      <c r="O304" s="6">
        <v>7.7949508809067094</v>
      </c>
      <c r="P304" s="6">
        <v>3.0732498605411549</v>
      </c>
      <c r="Q304" s="6">
        <v>2.901825364362244</v>
      </c>
      <c r="R304" s="6">
        <v>18.934389464481839</v>
      </c>
      <c r="S304" s="6">
        <v>23.600689903523207</v>
      </c>
      <c r="T304" s="6">
        <v>15.992709159851074</v>
      </c>
      <c r="U304" s="6" t="str">
        <f>_xll.BDP($A304,"TRAILING_12M_R&amp;D_%_SALES",$A$1,$A$2)</f>
        <v>#N/A N/A</v>
      </c>
      <c r="V304" s="6">
        <v>40</v>
      </c>
      <c r="W304" s="6">
        <v>401010</v>
      </c>
      <c r="X304" s="6">
        <v>40101010</v>
      </c>
      <c r="Y304" s="7" t="s">
        <v>43</v>
      </c>
      <c r="Z304" s="7" t="s">
        <v>67</v>
      </c>
      <c r="AA304" s="7" t="s">
        <v>68</v>
      </c>
      <c r="AB304" s="6"/>
      <c r="AC304" s="6">
        <v>0.74742322161555808</v>
      </c>
      <c r="AD304" s="6">
        <v>-0.82558512253329008</v>
      </c>
      <c r="AE304" s="6">
        <v>173222</v>
      </c>
      <c r="AF304" s="6">
        <v>88253</v>
      </c>
    </row>
    <row r="305" spans="1:32" s="4" customFormat="1" ht="12.75" x14ac:dyDescent="0.2">
      <c r="A305" s="7" t="s">
        <v>1060</v>
      </c>
      <c r="B305" s="7" t="s">
        <v>1061</v>
      </c>
      <c r="C305" s="7" t="s">
        <v>1062</v>
      </c>
      <c r="D305" s="6">
        <v>-0.82184767723083507</v>
      </c>
      <c r="E305" s="6">
        <v>-0.75276708602905307</v>
      </c>
      <c r="F305" s="6">
        <v>-7.7435141429310003E-3</v>
      </c>
      <c r="G305" s="6">
        <v>-0.78202784061431907</v>
      </c>
      <c r="H305" s="6">
        <v>-1.2722320556640629</v>
      </c>
      <c r="I305" s="6">
        <v>-0.22753709554672202</v>
      </c>
      <c r="J305" s="6">
        <v>0.42311024665832503</v>
      </c>
      <c r="K305" s="6">
        <v>-1.272679448127747</v>
      </c>
      <c r="L305" s="6">
        <v>0.52726286649704002</v>
      </c>
      <c r="M305" s="6">
        <v>-0.78635442256927501</v>
      </c>
      <c r="N305" s="6">
        <v>1.3732876740645781</v>
      </c>
      <c r="O305" s="6">
        <v>1.3790365284647002</v>
      </c>
      <c r="P305" s="6">
        <v>1.5845055402242312</v>
      </c>
      <c r="Q305" s="6"/>
      <c r="R305" s="6">
        <v>22.400066262628336</v>
      </c>
      <c r="S305" s="6"/>
      <c r="T305" s="6">
        <v>6.9760961532592773</v>
      </c>
      <c r="U305" s="6">
        <f>_xll.BDP($A305,"TRAILING_12M_R&amp;D_%_SALES",$A$1,$A$2)</f>
        <v>2.8363160599971962</v>
      </c>
      <c r="V305" s="6">
        <v>30</v>
      </c>
      <c r="W305" s="6">
        <v>303010</v>
      </c>
      <c r="X305" s="6">
        <v>30301010</v>
      </c>
      <c r="Y305" s="7" t="s">
        <v>106</v>
      </c>
      <c r="Z305" s="7" t="s">
        <v>569</v>
      </c>
      <c r="AA305" s="7" t="s">
        <v>569</v>
      </c>
      <c r="AB305" s="6">
        <v>60.476814270019531</v>
      </c>
      <c r="AC305" s="6">
        <v>0.32750315896106502</v>
      </c>
      <c r="AD305" s="6"/>
      <c r="AE305" s="6">
        <v>51200</v>
      </c>
      <c r="AF305" s="6">
        <v>53700</v>
      </c>
    </row>
    <row r="306" spans="1:32" s="4" customFormat="1" ht="12.75" x14ac:dyDescent="0.2">
      <c r="A306" s="7" t="s">
        <v>1063</v>
      </c>
      <c r="B306" s="7" t="s">
        <v>1064</v>
      </c>
      <c r="C306" s="7" t="s">
        <v>1065</v>
      </c>
      <c r="D306" s="6">
        <v>-0.82184767723083507</v>
      </c>
      <c r="E306" s="6">
        <v>-0.75276708602905307</v>
      </c>
      <c r="F306" s="6">
        <v>-7.7435141429310003E-3</v>
      </c>
      <c r="G306" s="6">
        <v>-0.78202784061431907</v>
      </c>
      <c r="H306" s="6">
        <v>-1.2722320556640629</v>
      </c>
      <c r="I306" s="6">
        <v>-0.22753709554672202</v>
      </c>
      <c r="J306" s="6">
        <v>0.42311024665832503</v>
      </c>
      <c r="K306" s="6">
        <v>-1.272679448127747</v>
      </c>
      <c r="L306" s="6">
        <v>0.52726286649704002</v>
      </c>
      <c r="M306" s="6">
        <v>-0.78635442256927501</v>
      </c>
      <c r="N306" s="6">
        <v>1.3732876740645781</v>
      </c>
      <c r="O306" s="6">
        <v>1.380589840578387</v>
      </c>
      <c r="P306" s="6">
        <v>1.5845055402242312</v>
      </c>
      <c r="Q306" s="6">
        <v>1.2811605829696431</v>
      </c>
      <c r="R306" s="6">
        <v>22.400066262628336</v>
      </c>
      <c r="S306" s="6">
        <v>14.037439138321307</v>
      </c>
      <c r="T306" s="6">
        <v>6.9760961532592773</v>
      </c>
      <c r="U306" s="6">
        <f>_xll.BDP($A306,"TRAILING_12M_R&amp;D_%_SALES",$A$1,$A$2)</f>
        <v>2.8363160599971962</v>
      </c>
      <c r="V306" s="6">
        <v>30</v>
      </c>
      <c r="W306" s="6">
        <v>303010</v>
      </c>
      <c r="X306" s="6">
        <v>30301010</v>
      </c>
      <c r="Y306" s="7" t="s">
        <v>106</v>
      </c>
      <c r="Z306" s="7" t="s">
        <v>569</v>
      </c>
      <c r="AA306" s="7" t="s">
        <v>569</v>
      </c>
      <c r="AB306" s="6">
        <v>60.476814270019531</v>
      </c>
      <c r="AC306" s="6">
        <v>0.55561758310524001</v>
      </c>
      <c r="AD306" s="6">
        <v>14.939614604721152</v>
      </c>
      <c r="AE306" s="6">
        <v>51200</v>
      </c>
      <c r="AF306" s="6">
        <v>53700</v>
      </c>
    </row>
    <row r="307" spans="1:32" s="4" customFormat="1" ht="12.75" x14ac:dyDescent="0.2">
      <c r="A307" s="7" t="s">
        <v>1066</v>
      </c>
      <c r="B307" s="7" t="s">
        <v>1067</v>
      </c>
      <c r="C307" s="7" t="s">
        <v>1068</v>
      </c>
      <c r="D307" s="6">
        <v>-0.82184767723083507</v>
      </c>
      <c r="E307" s="6">
        <v>-0.75276708602905307</v>
      </c>
      <c r="F307" s="6">
        <v>-7.7435141429310003E-3</v>
      </c>
      <c r="G307" s="6">
        <v>-0.78202784061431907</v>
      </c>
      <c r="H307" s="6">
        <v>-1.2722320556640629</v>
      </c>
      <c r="I307" s="6">
        <v>-0.22753709554672202</v>
      </c>
      <c r="J307" s="6">
        <v>0.42311024665832503</v>
      </c>
      <c r="K307" s="6">
        <v>-1.272679448127747</v>
      </c>
      <c r="L307" s="6">
        <v>0.52726286649704002</v>
      </c>
      <c r="M307" s="6">
        <v>-0.78635442256927501</v>
      </c>
      <c r="N307" s="6">
        <v>1.3732876740645781</v>
      </c>
      <c r="O307" s="6">
        <v>1.3790365284647002</v>
      </c>
      <c r="P307" s="6">
        <v>1.5845055402242312</v>
      </c>
      <c r="Q307" s="6">
        <v>1.412627328825991</v>
      </c>
      <c r="R307" s="6">
        <v>22.400066262628336</v>
      </c>
      <c r="S307" s="6">
        <v>15.477899116178</v>
      </c>
      <c r="T307" s="6">
        <v>6.9760961532592773</v>
      </c>
      <c r="U307" s="6">
        <f>_xll.BDP($A307,"TRAILING_12M_R&amp;D_%_SALES",$A$1,$A$2)</f>
        <v>2.8363160599971962</v>
      </c>
      <c r="V307" s="6">
        <v>30</v>
      </c>
      <c r="W307" s="6">
        <v>303010</v>
      </c>
      <c r="X307" s="6">
        <v>30301010</v>
      </c>
      <c r="Y307" s="7" t="s">
        <v>106</v>
      </c>
      <c r="Z307" s="7" t="s">
        <v>569</v>
      </c>
      <c r="AA307" s="7" t="s">
        <v>569</v>
      </c>
      <c r="AB307" s="6">
        <v>60.476814270019531</v>
      </c>
      <c r="AC307" s="6">
        <v>0.312468116291858</v>
      </c>
      <c r="AD307" s="6">
        <v>18.87713939607163</v>
      </c>
      <c r="AE307" s="6">
        <v>51200</v>
      </c>
      <c r="AF307" s="6">
        <v>53700</v>
      </c>
    </row>
    <row r="308" spans="1:32" s="4" customFormat="1" ht="12.75" x14ac:dyDescent="0.2">
      <c r="A308" s="7" t="s">
        <v>1069</v>
      </c>
      <c r="B308" s="7" t="s">
        <v>1070</v>
      </c>
      <c r="C308" s="7" t="s">
        <v>1071</v>
      </c>
      <c r="D308" s="6">
        <v>-0.82184767723083507</v>
      </c>
      <c r="E308" s="6">
        <v>-0.75276708602905307</v>
      </c>
      <c r="F308" s="6">
        <v>-7.7435141429310003E-3</v>
      </c>
      <c r="G308" s="6">
        <v>-0.78202784061431907</v>
      </c>
      <c r="H308" s="6">
        <v>-1.2722320556640629</v>
      </c>
      <c r="I308" s="6">
        <v>-0.22753709554672202</v>
      </c>
      <c r="J308" s="6">
        <v>0.42311024665832503</v>
      </c>
      <c r="K308" s="6">
        <v>-1.272679448127747</v>
      </c>
      <c r="L308" s="6">
        <v>0.52726286649704002</v>
      </c>
      <c r="M308" s="6">
        <v>-0.78635442256927501</v>
      </c>
      <c r="N308" s="6">
        <v>1.3732876740645781</v>
      </c>
      <c r="O308" s="6"/>
      <c r="P308" s="6">
        <v>1.5845055402242312</v>
      </c>
      <c r="Q308" s="6"/>
      <c r="R308" s="6">
        <v>22.400066262628336</v>
      </c>
      <c r="S308" s="6"/>
      <c r="T308" s="6">
        <v>6.9760961532592773</v>
      </c>
      <c r="U308" s="6">
        <f>_xll.BDP($A308,"TRAILING_12M_R&amp;D_%_SALES",$A$1,$A$2)</f>
        <v>2.8363160599971962</v>
      </c>
      <c r="V308" s="6">
        <v>30</v>
      </c>
      <c r="W308" s="6">
        <v>303010</v>
      </c>
      <c r="X308" s="6">
        <v>30301010</v>
      </c>
      <c r="Y308" s="7" t="s">
        <v>106</v>
      </c>
      <c r="Z308" s="7" t="s">
        <v>569</v>
      </c>
      <c r="AA308" s="7" t="s">
        <v>569</v>
      </c>
      <c r="AB308" s="6">
        <v>60.476814270019531</v>
      </c>
      <c r="AC308" s="6">
        <v>0.56675821145878602</v>
      </c>
      <c r="AD308" s="6">
        <v>18.233921864432755</v>
      </c>
      <c r="AE308" s="6">
        <v>51200</v>
      </c>
      <c r="AF308" s="6">
        <v>53700</v>
      </c>
    </row>
    <row r="309" spans="1:32" s="4" customFormat="1" ht="12.75" x14ac:dyDescent="0.2">
      <c r="A309" s="7" t="s">
        <v>1072</v>
      </c>
      <c r="B309" s="7" t="s">
        <v>1073</v>
      </c>
      <c r="C309" s="7" t="s">
        <v>1074</v>
      </c>
      <c r="D309" s="6">
        <v>-0.97986370325088512</v>
      </c>
      <c r="E309" s="6">
        <v>-0.28202769160270702</v>
      </c>
      <c r="F309" s="6">
        <v>-9.960635751485801E-2</v>
      </c>
      <c r="G309" s="6">
        <v>-0.145217224955559</v>
      </c>
      <c r="H309" s="6">
        <v>0.40043005347251903</v>
      </c>
      <c r="I309" s="6">
        <v>0.26596879959106401</v>
      </c>
      <c r="J309" s="6">
        <v>9.3990348279476013E-2</v>
      </c>
      <c r="K309" s="6">
        <v>0.58920258283615101</v>
      </c>
      <c r="L309" s="6">
        <v>-0.16895218193531</v>
      </c>
      <c r="M309" s="6">
        <v>0.33169335126876803</v>
      </c>
      <c r="N309" s="6">
        <v>4.2270371374156079</v>
      </c>
      <c r="O309" s="6">
        <v>3.7456951251351542</v>
      </c>
      <c r="P309" s="6">
        <v>5.130226884579506</v>
      </c>
      <c r="Q309" s="6">
        <v>3.8493992182977532</v>
      </c>
      <c r="R309" s="6">
        <v>28.315709563475913</v>
      </c>
      <c r="S309" s="6">
        <v>17.032357742484759</v>
      </c>
      <c r="T309" s="6">
        <v>18.109943389892578</v>
      </c>
      <c r="U309" s="6" t="str">
        <f>_xll.BDP($A309,"TRAILING_12M_R&amp;D_%_SALES",$A$1,$A$2)</f>
        <v>#N/A N/A</v>
      </c>
      <c r="V309" s="6">
        <v>10</v>
      </c>
      <c r="W309" s="6">
        <v>101020</v>
      </c>
      <c r="X309" s="6">
        <v>10102020</v>
      </c>
      <c r="Y309" s="7" t="s">
        <v>387</v>
      </c>
      <c r="Z309" s="7" t="s">
        <v>516</v>
      </c>
      <c r="AA309" s="7" t="s">
        <v>603</v>
      </c>
      <c r="AB309" s="6">
        <v>71.361030578613281</v>
      </c>
      <c r="AC309" s="6">
        <v>0.84880633055664212</v>
      </c>
      <c r="AD309" s="6">
        <v>3.6169819337350311</v>
      </c>
      <c r="AE309" s="6">
        <v>1623</v>
      </c>
      <c r="AF309" s="6">
        <v>2075</v>
      </c>
    </row>
    <row r="310" spans="1:32" s="4" customFormat="1" ht="12.75" x14ac:dyDescent="0.2">
      <c r="A310" s="7" t="s">
        <v>1075</v>
      </c>
      <c r="B310" s="7" t="s">
        <v>1076</v>
      </c>
      <c r="C310" s="7" t="s">
        <v>1077</v>
      </c>
      <c r="D310" s="6">
        <v>-0.70897477865219105</v>
      </c>
      <c r="E310" s="6">
        <v>-0.80387973785400402</v>
      </c>
      <c r="F310" s="6">
        <v>-0.25227183103561401</v>
      </c>
      <c r="G310" s="6">
        <v>-0.29688501358032204</v>
      </c>
      <c r="H310" s="6">
        <v>-0.6144995689392091</v>
      </c>
      <c r="I310" s="6">
        <v>-0.126641795039177</v>
      </c>
      <c r="J310" s="6">
        <v>1.15256130695343</v>
      </c>
      <c r="K310" s="6">
        <v>-0.80191981792450007</v>
      </c>
      <c r="L310" s="6">
        <v>0.37580460309982305</v>
      </c>
      <c r="M310" s="6">
        <v>-0.99575942754745506</v>
      </c>
      <c r="N310" s="6">
        <v>1.0362261543421281</v>
      </c>
      <c r="O310" s="6">
        <v>0.97786995236906704</v>
      </c>
      <c r="P310" s="6">
        <v>1.8231490084965252</v>
      </c>
      <c r="Q310" s="6">
        <v>1.5070665601930542</v>
      </c>
      <c r="R310" s="6">
        <v>10.53909562095259</v>
      </c>
      <c r="S310" s="6">
        <v>8.1914838033496586</v>
      </c>
      <c r="T310" s="6">
        <v>17.761331558227539</v>
      </c>
      <c r="U310" s="6" t="str">
        <f>_xll.BDP($A310,"TRAILING_12M_R&amp;D_%_SALES",$A$1,$A$2)</f>
        <v>#N/A N/A</v>
      </c>
      <c r="V310" s="6">
        <v>40</v>
      </c>
      <c r="W310" s="6">
        <v>403010</v>
      </c>
      <c r="X310" s="6">
        <v>40301040</v>
      </c>
      <c r="Y310" s="7" t="s">
        <v>43</v>
      </c>
      <c r="Z310" s="7" t="s">
        <v>44</v>
      </c>
      <c r="AA310" s="7" t="s">
        <v>102</v>
      </c>
      <c r="AB310" s="6">
        <v>61.50286865234375</v>
      </c>
      <c r="AC310" s="6">
        <v>0.8059647800532701</v>
      </c>
      <c r="AD310" s="6">
        <v>7.7443955731759884</v>
      </c>
      <c r="AE310" s="6">
        <v>18800</v>
      </c>
      <c r="AF310" s="6">
        <v>16400</v>
      </c>
    </row>
    <row r="311" spans="1:32" s="4" customFormat="1" ht="12.75" x14ac:dyDescent="0.2">
      <c r="A311" s="7" t="s">
        <v>1078</v>
      </c>
      <c r="B311" s="7" t="s">
        <v>1079</v>
      </c>
      <c r="C311" s="7" t="s">
        <v>1080</v>
      </c>
      <c r="D311" s="6">
        <v>0.25586861371994002</v>
      </c>
      <c r="E311" s="6">
        <v>-0.93815475702285811</v>
      </c>
      <c r="F311" s="6">
        <v>9.4914652407169009E-2</v>
      </c>
      <c r="G311" s="6">
        <v>-0.81821650266647306</v>
      </c>
      <c r="H311" s="6">
        <v>6.4422845840454004E-2</v>
      </c>
      <c r="I311" s="6">
        <v>0.97976976633071911</v>
      </c>
      <c r="J311" s="6">
        <v>1.7400532960891719</v>
      </c>
      <c r="K311" s="6">
        <v>-1.154896020889282</v>
      </c>
      <c r="L311" s="6">
        <v>0.73555254936218306</v>
      </c>
      <c r="M311" s="6">
        <v>-0.65067994594574008</v>
      </c>
      <c r="N311" s="6">
        <v>0.39733802697335802</v>
      </c>
      <c r="O311" s="6">
        <v>0.36879574789636005</v>
      </c>
      <c r="P311" s="6">
        <v>0.58008343521868899</v>
      </c>
      <c r="Q311" s="6"/>
      <c r="R311" s="6">
        <v>7.8711408321216334</v>
      </c>
      <c r="S311" s="6">
        <v>7.2188117872444533</v>
      </c>
      <c r="T311" s="6">
        <v>7.7518072128295898</v>
      </c>
      <c r="U311" s="6">
        <f>_xll.BDP($A311,"TRAILING_12M_R&amp;D_%_SALES",$A$1,$A$2)</f>
        <v>4.8555441702341229</v>
      </c>
      <c r="V311" s="6">
        <v>25</v>
      </c>
      <c r="W311" s="6">
        <v>251020</v>
      </c>
      <c r="X311" s="6">
        <v>25102010</v>
      </c>
      <c r="Y311" s="7" t="s">
        <v>85</v>
      </c>
      <c r="Z311" s="7" t="s">
        <v>316</v>
      </c>
      <c r="AA311" s="7" t="s">
        <v>317</v>
      </c>
      <c r="AB311" s="6">
        <v>58.967910766601563</v>
      </c>
      <c r="AC311" s="6">
        <v>0.82602988495931207</v>
      </c>
      <c r="AD311" s="6">
        <v>39.523724576506126</v>
      </c>
      <c r="AE311" s="6">
        <v>197039</v>
      </c>
      <c r="AF311" s="6">
        <v>215638</v>
      </c>
    </row>
    <row r="312" spans="1:32" s="4" customFormat="1" ht="12.75" x14ac:dyDescent="0.2">
      <c r="A312" s="7" t="s">
        <v>1081</v>
      </c>
      <c r="B312" s="7" t="s">
        <v>1082</v>
      </c>
      <c r="C312" s="7" t="s">
        <v>1083</v>
      </c>
      <c r="D312" s="6">
        <v>0.25586861371994002</v>
      </c>
      <c r="E312" s="6">
        <v>-0.93815475702285811</v>
      </c>
      <c r="F312" s="6">
        <v>9.4914652407169009E-2</v>
      </c>
      <c r="G312" s="6">
        <v>-0.81821650266647306</v>
      </c>
      <c r="H312" s="6">
        <v>6.4422845840454004E-2</v>
      </c>
      <c r="I312" s="6">
        <v>0.97976976633071911</v>
      </c>
      <c r="J312" s="6">
        <v>1.7400532960891719</v>
      </c>
      <c r="K312" s="6">
        <v>-1.154896020889282</v>
      </c>
      <c r="L312" s="6">
        <v>0.73555254936218306</v>
      </c>
      <c r="M312" s="6">
        <v>-0.65067994594574008</v>
      </c>
      <c r="N312" s="6">
        <v>0.39733802697335802</v>
      </c>
      <c r="O312" s="6">
        <v>0.36655867001277503</v>
      </c>
      <c r="P312" s="6">
        <v>0.58008343521868899</v>
      </c>
      <c r="Q312" s="6">
        <v>0.55437640679137701</v>
      </c>
      <c r="R312" s="6">
        <v>7.8711408321216334</v>
      </c>
      <c r="S312" s="6">
        <v>6.4083908276280352</v>
      </c>
      <c r="T312" s="6">
        <v>7.7518072128295898</v>
      </c>
      <c r="U312" s="6">
        <f>_xll.BDP($A312,"TRAILING_12M_R&amp;D_%_SALES",$A$1,$A$2)</f>
        <v>4.8555441702341229</v>
      </c>
      <c r="V312" s="6">
        <v>25</v>
      </c>
      <c r="W312" s="6">
        <v>251020</v>
      </c>
      <c r="X312" s="6">
        <v>25102010</v>
      </c>
      <c r="Y312" s="7" t="s">
        <v>85</v>
      </c>
      <c r="Z312" s="7" t="s">
        <v>316</v>
      </c>
      <c r="AA312" s="7" t="s">
        <v>317</v>
      </c>
      <c r="AB312" s="6">
        <v>58.967910766601563</v>
      </c>
      <c r="AC312" s="6">
        <v>0.32512875110315304</v>
      </c>
      <c r="AD312" s="6">
        <v>32.72919528741469</v>
      </c>
      <c r="AE312" s="6">
        <v>197039</v>
      </c>
      <c r="AF312" s="6">
        <v>215638</v>
      </c>
    </row>
    <row r="313" spans="1:32" s="4" customFormat="1" ht="12.75" x14ac:dyDescent="0.2">
      <c r="A313" s="7" t="s">
        <v>1084</v>
      </c>
      <c r="B313" s="7" t="s">
        <v>1085</v>
      </c>
      <c r="C313" s="7" t="s">
        <v>1086</v>
      </c>
      <c r="D313" s="6">
        <v>0.34741190075874301</v>
      </c>
      <c r="E313" s="6">
        <v>-0.82805395126342807</v>
      </c>
      <c r="F313" s="6">
        <v>-0.69967222213745106</v>
      </c>
      <c r="G313" s="6">
        <v>-0.82358676195144709</v>
      </c>
      <c r="H313" s="6">
        <v>-0.643329977989197</v>
      </c>
      <c r="I313" s="6">
        <v>0.32257473468780501</v>
      </c>
      <c r="J313" s="6">
        <v>1.3872015476226811</v>
      </c>
      <c r="K313" s="6">
        <v>-0.18153078854084001</v>
      </c>
      <c r="L313" s="6">
        <v>1.8678655624389651</v>
      </c>
      <c r="M313" s="6">
        <v>3.7799146026373E-2</v>
      </c>
      <c r="N313" s="6">
        <v>0.23090811956626403</v>
      </c>
      <c r="O313" s="6"/>
      <c r="P313" s="6">
        <v>0.97543964498246605</v>
      </c>
      <c r="Q313" s="6"/>
      <c r="R313" s="6">
        <v>11.231497655809118</v>
      </c>
      <c r="S313" s="6"/>
      <c r="T313" s="6">
        <v>8.7888517379760742</v>
      </c>
      <c r="U313" s="6">
        <f>_xll.BDP($A313,"TRAILING_12M_R&amp;D_%_SALES",$A$1,$A$2)</f>
        <v>1.7380068360886287</v>
      </c>
      <c r="V313" s="6">
        <v>45</v>
      </c>
      <c r="W313" s="6">
        <v>452030</v>
      </c>
      <c r="X313" s="6">
        <v>45203020</v>
      </c>
      <c r="Y313" s="7" t="s">
        <v>56</v>
      </c>
      <c r="Z313" s="7" t="s">
        <v>1087</v>
      </c>
      <c r="AA313" s="7" t="s">
        <v>1088</v>
      </c>
      <c r="AB313" s="6">
        <v>72.377021789550781</v>
      </c>
      <c r="AC313" s="6"/>
      <c r="AD313" s="6"/>
      <c r="AE313" s="6">
        <v>767062</v>
      </c>
      <c r="AF313" s="6">
        <v>803126</v>
      </c>
    </row>
    <row r="314" spans="1:32" s="4" customFormat="1" ht="12.75" x14ac:dyDescent="0.2">
      <c r="A314" s="7" t="s">
        <v>1089</v>
      </c>
      <c r="B314" s="7" t="s">
        <v>1090</v>
      </c>
      <c r="C314" s="7" t="s">
        <v>1091</v>
      </c>
      <c r="D314" s="6">
        <v>0.63330799341201804</v>
      </c>
      <c r="E314" s="6">
        <v>-0.35817494988441501</v>
      </c>
      <c r="F314" s="6">
        <v>-0.31082761287689203</v>
      </c>
      <c r="G314" s="6">
        <v>-0.92407166957855202</v>
      </c>
      <c r="H314" s="6">
        <v>-0.7508215308189391</v>
      </c>
      <c r="I314" s="6">
        <v>-0.37455067038536105</v>
      </c>
      <c r="J314" s="6">
        <v>1.990992546081543</v>
      </c>
      <c r="K314" s="6">
        <v>0.13281075656414001</v>
      </c>
      <c r="L314" s="6">
        <v>1.158242344856262</v>
      </c>
      <c r="M314" s="6">
        <v>0.26053985953331005</v>
      </c>
      <c r="N314" s="6">
        <v>0.23090811956626403</v>
      </c>
      <c r="O314" s="6"/>
      <c r="P314" s="6">
        <v>0.97543964498246605</v>
      </c>
      <c r="Q314" s="6"/>
      <c r="R314" s="6">
        <v>11.231497655809118</v>
      </c>
      <c r="S314" s="6"/>
      <c r="T314" s="6">
        <v>8.7888517379760742</v>
      </c>
      <c r="U314" s="6">
        <f>_xll.BDP($A314,"TRAILING_12M_R&amp;D_%_SALES",$A$1,$A$2)</f>
        <v>1.7380068360886287</v>
      </c>
      <c r="V314" s="6">
        <v>45</v>
      </c>
      <c r="W314" s="6">
        <v>452030</v>
      </c>
      <c r="X314" s="6">
        <v>45203020</v>
      </c>
      <c r="Y314" s="7" t="s">
        <v>56</v>
      </c>
      <c r="Z314" s="7" t="s">
        <v>1087</v>
      </c>
      <c r="AA314" s="7" t="s">
        <v>1088</v>
      </c>
      <c r="AB314" s="6">
        <v>72.377021789550781</v>
      </c>
      <c r="AC314" s="6"/>
      <c r="AD314" s="6"/>
      <c r="AE314" s="6">
        <v>767062</v>
      </c>
      <c r="AF314" s="6">
        <v>803126</v>
      </c>
    </row>
    <row r="315" spans="1:32" s="4" customFormat="1" ht="12.75" x14ac:dyDescent="0.2">
      <c r="A315" s="7" t="s">
        <v>1092</v>
      </c>
      <c r="B315" s="7" t="s">
        <v>1093</v>
      </c>
      <c r="C315" s="7" t="s">
        <v>1094</v>
      </c>
      <c r="D315" s="6">
        <v>0.16431780159473403</v>
      </c>
      <c r="E315" s="6">
        <v>-0.96069431304931607</v>
      </c>
      <c r="F315" s="6">
        <v>-1.5419464111328129</v>
      </c>
      <c r="G315" s="6">
        <v>-0.90940827131271407</v>
      </c>
      <c r="H315" s="6">
        <v>-0.64520096778869607</v>
      </c>
      <c r="I315" s="6">
        <v>-0.39314591884613004</v>
      </c>
      <c r="J315" s="6">
        <v>1.47138500213623</v>
      </c>
      <c r="K315" s="6">
        <v>-0.20033995807170901</v>
      </c>
      <c r="L315" s="6">
        <v>1.610245823860168</v>
      </c>
      <c r="M315" s="6">
        <v>-0.33786582946777305</v>
      </c>
      <c r="N315" s="6">
        <v>0.23090811956626403</v>
      </c>
      <c r="O315" s="6"/>
      <c r="P315" s="6">
        <v>0.97543964498246605</v>
      </c>
      <c r="Q315" s="6"/>
      <c r="R315" s="6">
        <v>11.231497655809118</v>
      </c>
      <c r="S315" s="6"/>
      <c r="T315" s="6">
        <v>8.7888517379760742</v>
      </c>
      <c r="U315" s="6">
        <f>_xll.BDP($A315,"TRAILING_12M_R&amp;D_%_SALES",$A$1,$A$2)</f>
        <v>1.7380068360886287</v>
      </c>
      <c r="V315" s="6">
        <v>45</v>
      </c>
      <c r="W315" s="6">
        <v>452030</v>
      </c>
      <c r="X315" s="6">
        <v>45203020</v>
      </c>
      <c r="Y315" s="7" t="s">
        <v>56</v>
      </c>
      <c r="Z315" s="7" t="s">
        <v>1087</v>
      </c>
      <c r="AA315" s="7" t="s">
        <v>1088</v>
      </c>
      <c r="AB315" s="6">
        <v>72.377021789550781</v>
      </c>
      <c r="AC315" s="6">
        <v>0.58028441923465701</v>
      </c>
      <c r="AD315" s="6">
        <v>9.7324953194498409</v>
      </c>
      <c r="AE315" s="6">
        <v>767062</v>
      </c>
      <c r="AF315" s="6">
        <v>803126</v>
      </c>
    </row>
    <row r="316" spans="1:32" s="4" customFormat="1" ht="12.75" x14ac:dyDescent="0.2">
      <c r="A316" s="7" t="s">
        <v>1095</v>
      </c>
      <c r="B316" s="7" t="s">
        <v>1096</v>
      </c>
      <c r="C316" s="7" t="s">
        <v>1097</v>
      </c>
      <c r="D316" s="6">
        <v>-7.698902487754801E-2</v>
      </c>
      <c r="E316" s="6">
        <v>-6.4557977020741009E-2</v>
      </c>
      <c r="F316" s="6">
        <v>-0.57107937335968006</v>
      </c>
      <c r="G316" s="6">
        <v>-0.51035147905349709</v>
      </c>
      <c r="H316" s="6">
        <v>0.123706720769405</v>
      </c>
      <c r="I316" s="6">
        <v>-0.282867521047592</v>
      </c>
      <c r="J316" s="6">
        <v>-0.13650402426719702</v>
      </c>
      <c r="K316" s="6">
        <v>-1.103051543235779</v>
      </c>
      <c r="L316" s="6">
        <v>0.35045483708381703</v>
      </c>
      <c r="M316" s="6">
        <v>-0.84345316886901911</v>
      </c>
      <c r="N316" s="6">
        <v>3.839028356942733</v>
      </c>
      <c r="O316" s="6">
        <v>3.5522412469765041</v>
      </c>
      <c r="P316" s="6">
        <v>8.0240150244971282</v>
      </c>
      <c r="Q316" s="6">
        <v>7.6470077241090166</v>
      </c>
      <c r="R316" s="6">
        <v>21.734539180830993</v>
      </c>
      <c r="S316" s="6">
        <v>21.046030302502455</v>
      </c>
      <c r="T316" s="6">
        <v>30.992042541503906</v>
      </c>
      <c r="U316" s="6">
        <f>_xll.BDP($A316,"TRAILING_12M_R&amp;D_%_SALES",$A$1,$A$2)</f>
        <v>3.9898176528650837</v>
      </c>
      <c r="V316" s="6">
        <v>20</v>
      </c>
      <c r="W316" s="6">
        <v>201050</v>
      </c>
      <c r="X316" s="6">
        <v>20105010</v>
      </c>
      <c r="Y316" s="7" t="s">
        <v>38</v>
      </c>
      <c r="Z316" s="7" t="s">
        <v>1098</v>
      </c>
      <c r="AA316" s="7" t="s">
        <v>1098</v>
      </c>
      <c r="AB316" s="6">
        <v>60.869129180908203</v>
      </c>
      <c r="AC316" s="6">
        <v>0.93311803852460706</v>
      </c>
      <c r="AD316" s="6">
        <v>-0.18788003130123501</v>
      </c>
      <c r="AE316" s="6">
        <v>97000</v>
      </c>
      <c r="AF316" s="6">
        <v>131000</v>
      </c>
    </row>
    <row r="317" spans="1:32" s="4" customFormat="1" ht="12.75" x14ac:dyDescent="0.2">
      <c r="A317" s="7" t="s">
        <v>1099</v>
      </c>
      <c r="B317" s="7" t="s">
        <v>1100</v>
      </c>
      <c r="C317" s="7" t="s">
        <v>1101</v>
      </c>
      <c r="D317" s="6">
        <v>-0.44211119413375904</v>
      </c>
      <c r="E317" s="6">
        <v>-0.21334521472454102</v>
      </c>
      <c r="F317" s="6">
        <v>0.47542819380760204</v>
      </c>
      <c r="G317" s="6">
        <v>-0.87072652578353904</v>
      </c>
      <c r="H317" s="6">
        <v>0.308081805706024</v>
      </c>
      <c r="I317" s="6">
        <v>-0.48866373300552401</v>
      </c>
      <c r="J317" s="6">
        <v>1.8130991458892822</v>
      </c>
      <c r="K317" s="6">
        <v>-0.14211156964302102</v>
      </c>
      <c r="L317" s="6">
        <v>-0.53041177988052401</v>
      </c>
      <c r="M317" s="6">
        <v>-0.35677427053451505</v>
      </c>
      <c r="N317" s="6">
        <v>0.32978453546889103</v>
      </c>
      <c r="O317" s="6"/>
      <c r="P317" s="6">
        <v>0.88548108967123507</v>
      </c>
      <c r="Q317" s="6"/>
      <c r="R317" s="6">
        <v>2.3145491891572929</v>
      </c>
      <c r="S317" s="6"/>
      <c r="T317" s="6">
        <v>36.671234130859375</v>
      </c>
      <c r="U317" s="6">
        <f>_xll.BDP($A317,"TRAILING_12M_R&amp;D_%_SALES",$A$1,$A$2)</f>
        <v>3.7751575454403094E-2</v>
      </c>
      <c r="V317" s="6">
        <v>40</v>
      </c>
      <c r="W317" s="6">
        <v>401010</v>
      </c>
      <c r="X317" s="6">
        <v>40101010</v>
      </c>
      <c r="Y317" s="7" t="s">
        <v>43</v>
      </c>
      <c r="Z317" s="7" t="s">
        <v>67</v>
      </c>
      <c r="AA317" s="7" t="s">
        <v>68</v>
      </c>
      <c r="AB317" s="6">
        <v>57.247760772705078</v>
      </c>
      <c r="AC317" s="6"/>
      <c r="AD317" s="6"/>
      <c r="AE317" s="6">
        <v>67375</v>
      </c>
      <c r="AF317" s="6">
        <v>63152</v>
      </c>
    </row>
    <row r="318" spans="1:32" s="4" customFormat="1" ht="12.75" x14ac:dyDescent="0.2">
      <c r="A318" s="7" t="s">
        <v>1102</v>
      </c>
      <c r="B318" s="7" t="s">
        <v>1103</v>
      </c>
      <c r="C318" s="7" t="s">
        <v>1104</v>
      </c>
      <c r="D318" s="6">
        <v>-0.72713565826416005</v>
      </c>
      <c r="E318" s="6">
        <v>-0.81454944610595703</v>
      </c>
      <c r="F318" s="6">
        <v>-0.715445756912231</v>
      </c>
      <c r="G318" s="6">
        <v>0.50155764818191506</v>
      </c>
      <c r="H318" s="6">
        <v>3.5519592463970004E-2</v>
      </c>
      <c r="I318" s="6">
        <v>0.45245906710624706</v>
      </c>
      <c r="J318" s="6">
        <v>1.199113249778748</v>
      </c>
      <c r="K318" s="6">
        <v>-1.0108292102813721</v>
      </c>
      <c r="L318" s="6">
        <v>0.55663919448852506</v>
      </c>
      <c r="M318" s="6">
        <v>-0.75897926092147805</v>
      </c>
      <c r="N318" s="6">
        <v>0.7570110325747631</v>
      </c>
      <c r="O318" s="6">
        <v>0.741855494234121</v>
      </c>
      <c r="P318" s="6">
        <v>1.0284835937734671</v>
      </c>
      <c r="Q318" s="6">
        <v>0.95584240022871203</v>
      </c>
      <c r="R318" s="6">
        <v>10.143932382785842</v>
      </c>
      <c r="S318" s="6">
        <v>8.695091972197865</v>
      </c>
      <c r="T318" s="6">
        <v>9.866978645324707</v>
      </c>
      <c r="U318" s="6">
        <f>_xll.BDP($A318,"TRAILING_12M_R&amp;D_%_SALES",$A$1,$A$2)</f>
        <v>7.4551067149068935</v>
      </c>
      <c r="V318" s="6">
        <v>45</v>
      </c>
      <c r="W318" s="6">
        <v>452020</v>
      </c>
      <c r="X318" s="6">
        <v>45202030</v>
      </c>
      <c r="Y318" s="7" t="s">
        <v>56</v>
      </c>
      <c r="Z318" s="7" t="s">
        <v>57</v>
      </c>
      <c r="AA318" s="7" t="s">
        <v>57</v>
      </c>
      <c r="AB318" s="6">
        <v>68.805953979492188</v>
      </c>
      <c r="AC318" s="6">
        <v>1.1256516971626449</v>
      </c>
      <c r="AD318" s="6">
        <v>9.961942469405205</v>
      </c>
      <c r="AE318" s="6">
        <v>62000</v>
      </c>
      <c r="AF318" s="6">
        <v>60000</v>
      </c>
    </row>
    <row r="319" spans="1:32" s="4" customFormat="1" ht="12.75" x14ac:dyDescent="0.2">
      <c r="A319" s="7" t="s">
        <v>1105</v>
      </c>
      <c r="B319" s="7" t="s">
        <v>1106</v>
      </c>
      <c r="C319" s="7" t="s">
        <v>1107</v>
      </c>
      <c r="D319" s="6">
        <v>-0.65474677085876509</v>
      </c>
      <c r="E319" s="6">
        <v>-0.630010545253754</v>
      </c>
      <c r="F319" s="6">
        <v>-0.86297208070755005</v>
      </c>
      <c r="G319" s="6">
        <v>0.22662609815597501</v>
      </c>
      <c r="H319" s="6">
        <v>1.066232442855835</v>
      </c>
      <c r="I319" s="6">
        <v>-0.41897895932197604</v>
      </c>
      <c r="J319" s="6">
        <v>0.718869268894196</v>
      </c>
      <c r="K319" s="6">
        <v>-1.052915573120117</v>
      </c>
      <c r="L319" s="6">
        <v>1.1054360866546631</v>
      </c>
      <c r="M319" s="6">
        <v>-0.18450056016445202</v>
      </c>
      <c r="N319" s="6">
        <v>0.55515072045553304</v>
      </c>
      <c r="O319" s="6">
        <v>0.54356690298506105</v>
      </c>
      <c r="P319" s="6"/>
      <c r="Q319" s="6"/>
      <c r="R319" s="6">
        <v>9.8316659197224965</v>
      </c>
      <c r="S319" s="6">
        <v>8.6465293934311962</v>
      </c>
      <c r="T319" s="6"/>
      <c r="U319" s="6">
        <f>_xll.BDP($A319,"TRAILING_12M_R&amp;D_%_SALES",$A$1,$A$2)</f>
        <v>3.0402019377111249</v>
      </c>
      <c r="V319" s="6">
        <v>45</v>
      </c>
      <c r="W319" s="6">
        <v>452020</v>
      </c>
      <c r="X319" s="6">
        <v>45202030</v>
      </c>
      <c r="Y319" s="7" t="s">
        <v>56</v>
      </c>
      <c r="Z319" s="7" t="s">
        <v>57</v>
      </c>
      <c r="AA319" s="7" t="s">
        <v>57</v>
      </c>
      <c r="AB319" s="6">
        <v>72.729103088378906</v>
      </c>
      <c r="AC319" s="6">
        <v>1.0313706544743579</v>
      </c>
      <c r="AD319" s="6">
        <v>15.360075335874024</v>
      </c>
      <c r="AE319" s="6">
        <v>58000</v>
      </c>
      <c r="AF319" s="6">
        <v>55000</v>
      </c>
    </row>
    <row r="320" spans="1:32" s="4" customFormat="1" ht="12.75" x14ac:dyDescent="0.2">
      <c r="A320" s="7" t="s">
        <v>1108</v>
      </c>
      <c r="B320" s="7" t="s">
        <v>1109</v>
      </c>
      <c r="C320" s="7" t="s">
        <v>1110</v>
      </c>
      <c r="D320" s="6">
        <v>-6.7066654562950009E-2</v>
      </c>
      <c r="E320" s="6">
        <v>-0.54158782958984408</v>
      </c>
      <c r="F320" s="6">
        <v>0.64430505037307706</v>
      </c>
      <c r="G320" s="6">
        <v>-0.81211829185485807</v>
      </c>
      <c r="H320" s="6">
        <v>-0.6404532194137571</v>
      </c>
      <c r="I320" s="6">
        <v>0.83324724435806308</v>
      </c>
      <c r="J320" s="6">
        <v>0.85844844579696711</v>
      </c>
      <c r="K320" s="6">
        <v>-1.231873512268066</v>
      </c>
      <c r="L320" s="6">
        <v>3.4866910427809004E-2</v>
      </c>
      <c r="M320" s="6">
        <v>-0.78327393531799305</v>
      </c>
      <c r="N320" s="6">
        <v>0.91272584127079803</v>
      </c>
      <c r="O320" s="6">
        <v>1.0309905378260009</v>
      </c>
      <c r="P320" s="6">
        <v>1.7403894939706852</v>
      </c>
      <c r="Q320" s="6">
        <v>1.6967530996004871</v>
      </c>
      <c r="R320" s="6">
        <v>13.879032513323017</v>
      </c>
      <c r="S320" s="6">
        <v>15.728356543144951</v>
      </c>
      <c r="T320" s="6">
        <v>13.357725143432617</v>
      </c>
      <c r="U320" s="6">
        <f>_xll.BDP($A320,"TRAILING_12M_R&amp;D_%_SALES",$A$1,$A$2)</f>
        <v>2.6906722521745925</v>
      </c>
      <c r="V320" s="6">
        <v>20</v>
      </c>
      <c r="W320" s="6">
        <v>201050</v>
      </c>
      <c r="X320" s="6">
        <v>20105010</v>
      </c>
      <c r="Y320" s="7" t="s">
        <v>38</v>
      </c>
      <c r="Z320" s="7" t="s">
        <v>1098</v>
      </c>
      <c r="AA320" s="7" t="s">
        <v>1098</v>
      </c>
      <c r="AB320" s="6">
        <v>68.765716552734375</v>
      </c>
      <c r="AC320" s="6">
        <v>0.50801062555548904</v>
      </c>
      <c r="AD320" s="6">
        <v>45.452974585121318</v>
      </c>
      <c r="AE320" s="6">
        <v>322525</v>
      </c>
      <c r="AF320" s="6">
        <v>307275</v>
      </c>
    </row>
    <row r="321" spans="1:32" s="4" customFormat="1" ht="12.75" x14ac:dyDescent="0.2">
      <c r="A321" s="7" t="s">
        <v>1111</v>
      </c>
      <c r="B321" s="7" t="s">
        <v>1112</v>
      </c>
      <c r="C321" s="7" t="s">
        <v>1113</v>
      </c>
      <c r="D321" s="6">
        <v>-6.7066654562950009E-2</v>
      </c>
      <c r="E321" s="6">
        <v>-0.54158782958984408</v>
      </c>
      <c r="F321" s="6">
        <v>0.64430505037307706</v>
      </c>
      <c r="G321" s="6">
        <v>-0.81211829185485807</v>
      </c>
      <c r="H321" s="6">
        <v>-0.6404532194137571</v>
      </c>
      <c r="I321" s="6">
        <v>0.83324724435806308</v>
      </c>
      <c r="J321" s="6">
        <v>0.85844844579696711</v>
      </c>
      <c r="K321" s="6">
        <v>-1.231873512268066</v>
      </c>
      <c r="L321" s="6">
        <v>3.4866910427809004E-2</v>
      </c>
      <c r="M321" s="6">
        <v>-0.78327393531799305</v>
      </c>
      <c r="N321" s="6">
        <v>0.91272584127079803</v>
      </c>
      <c r="O321" s="6">
        <v>1.104770509312009</v>
      </c>
      <c r="P321" s="6">
        <v>1.7403894939706852</v>
      </c>
      <c r="Q321" s="6"/>
      <c r="R321" s="6">
        <v>13.879032513323017</v>
      </c>
      <c r="S321" s="6">
        <v>16.962801726420683</v>
      </c>
      <c r="T321" s="6">
        <v>13.357725143432617</v>
      </c>
      <c r="U321" s="6">
        <f>_xll.BDP($A321,"TRAILING_12M_R&amp;D_%_SALES",$A$1,$A$2)</f>
        <v>2.6906722521745925</v>
      </c>
      <c r="V321" s="6">
        <v>20</v>
      </c>
      <c r="W321" s="6">
        <v>201050</v>
      </c>
      <c r="X321" s="6">
        <v>20105010</v>
      </c>
      <c r="Y321" s="7" t="s">
        <v>38</v>
      </c>
      <c r="Z321" s="7" t="s">
        <v>1098</v>
      </c>
      <c r="AA321" s="7" t="s">
        <v>1098</v>
      </c>
      <c r="AB321" s="6">
        <v>68.765716552734375</v>
      </c>
      <c r="AC321" s="6">
        <v>0.84241280566700005</v>
      </c>
      <c r="AD321" s="6">
        <v>43.90843607147805</v>
      </c>
      <c r="AE321" s="6">
        <v>322525</v>
      </c>
      <c r="AF321" s="6">
        <v>307275</v>
      </c>
    </row>
    <row r="322" spans="1:32" s="4" customFormat="1" ht="12.75" x14ac:dyDescent="0.2">
      <c r="A322" s="7" t="s">
        <v>1114</v>
      </c>
      <c r="B322" s="7" t="s">
        <v>1115</v>
      </c>
      <c r="C322" s="7" t="s">
        <v>1116</v>
      </c>
      <c r="D322" s="6">
        <v>-0.11463141441345201</v>
      </c>
      <c r="E322" s="6">
        <v>-0.60378980636596702</v>
      </c>
      <c r="F322" s="6">
        <v>-0.98675990104675304</v>
      </c>
      <c r="G322" s="6">
        <v>0.30373540520668002</v>
      </c>
      <c r="H322" s="6">
        <v>-0.29193216562271102</v>
      </c>
      <c r="I322" s="6">
        <v>-0.34299895167350802</v>
      </c>
      <c r="J322" s="6">
        <v>0.54341328144073509</v>
      </c>
      <c r="K322" s="6">
        <v>0.76186448335647605</v>
      </c>
      <c r="L322" s="6">
        <v>-0.39240419864654502</v>
      </c>
      <c r="M322" s="6">
        <v>1.226101160049438</v>
      </c>
      <c r="N322" s="6">
        <v>0.55741657911312403</v>
      </c>
      <c r="O322" s="6">
        <v>0.49953753140150503</v>
      </c>
      <c r="P322" s="6">
        <v>3.3253476908794721</v>
      </c>
      <c r="Q322" s="6">
        <v>2.8321064945524279</v>
      </c>
      <c r="R322" s="6">
        <v>16.729022323570867</v>
      </c>
      <c r="S322" s="6">
        <v>14.553933602941925</v>
      </c>
      <c r="T322" s="6">
        <v>18.1610107421875</v>
      </c>
      <c r="U322" s="6" t="str">
        <f>_xll.BDP($A322,"TRAILING_12M_R&amp;D_%_SALES",$A$1,$A$2)</f>
        <v>#N/A N/A</v>
      </c>
      <c r="V322" s="6">
        <v>35</v>
      </c>
      <c r="W322" s="6">
        <v>351020</v>
      </c>
      <c r="X322" s="6">
        <v>35102030</v>
      </c>
      <c r="Y322" s="7" t="s">
        <v>72</v>
      </c>
      <c r="Z322" s="7" t="s">
        <v>467</v>
      </c>
      <c r="AA322" s="7" t="s">
        <v>592</v>
      </c>
      <c r="AB322" s="6">
        <v>57.438888549804688</v>
      </c>
      <c r="AC322" s="6">
        <v>0.51438114996314699</v>
      </c>
      <c r="AD322" s="6">
        <v>-10.118936562972392</v>
      </c>
      <c r="AE322" s="6">
        <v>67100</v>
      </c>
      <c r="AF322" s="6">
        <v>47900</v>
      </c>
    </row>
    <row r="323" spans="1:32" s="4" customFormat="1" ht="12.75" x14ac:dyDescent="0.2">
      <c r="A323" s="7" t="s">
        <v>1117</v>
      </c>
      <c r="B323" s="7" t="s">
        <v>1118</v>
      </c>
      <c r="C323" s="7" t="s">
        <v>1119</v>
      </c>
      <c r="D323" s="6">
        <v>-0.29027032852172902</v>
      </c>
      <c r="E323" s="6">
        <v>0.98327171802520807</v>
      </c>
      <c r="F323" s="6">
        <v>-0.6838991641998291</v>
      </c>
      <c r="G323" s="6">
        <v>-0.48430687189102206</v>
      </c>
      <c r="H323" s="6">
        <v>-0.91539621353149403</v>
      </c>
      <c r="I323" s="6">
        <v>-0.93805426359176602</v>
      </c>
      <c r="J323" s="6">
        <v>3.0000288486480708</v>
      </c>
      <c r="K323" s="6">
        <v>0.7400237321853641</v>
      </c>
      <c r="L323" s="6">
        <v>-0.5892142653465271</v>
      </c>
      <c r="M323" s="6">
        <v>2.3134980201721191</v>
      </c>
      <c r="N323" s="6">
        <v>3.34144045126419</v>
      </c>
      <c r="O323" s="6"/>
      <c r="P323" s="6">
        <v>1.7728911898799551</v>
      </c>
      <c r="Q323" s="6"/>
      <c r="R323" s="6"/>
      <c r="S323" s="6"/>
      <c r="T323" s="6">
        <v>-18.539581298828125</v>
      </c>
      <c r="U323" s="6">
        <f>_xll.BDP($A323,"TRAILING_12M_R&amp;D_%_SALES",$A$1,$A$2)</f>
        <v>7.9873528163082046</v>
      </c>
      <c r="V323" s="6">
        <v>45</v>
      </c>
      <c r="W323" s="6">
        <v>453010</v>
      </c>
      <c r="X323" s="6">
        <v>45301020</v>
      </c>
      <c r="Y323" s="7" t="s">
        <v>56</v>
      </c>
      <c r="Z323" s="7" t="s">
        <v>130</v>
      </c>
      <c r="AA323" s="7" t="s">
        <v>131</v>
      </c>
      <c r="AB323" s="6">
        <v>64.631324768066406</v>
      </c>
      <c r="AC323" s="6"/>
      <c r="AD323" s="6"/>
      <c r="AE323" s="6"/>
      <c r="AF323" s="6"/>
    </row>
    <row r="324" spans="1:32" s="4" customFormat="1" ht="12.75" x14ac:dyDescent="0.2">
      <c r="A324" s="7" t="s">
        <v>1120</v>
      </c>
      <c r="B324" s="7" t="s">
        <v>1121</v>
      </c>
      <c r="C324" s="7" t="s">
        <v>1122</v>
      </c>
      <c r="D324" s="6">
        <v>0.581085205078125</v>
      </c>
      <c r="E324" s="6">
        <v>-0.48672091960907005</v>
      </c>
      <c r="F324" s="6">
        <v>1.9857383966445921</v>
      </c>
      <c r="G324" s="6">
        <v>-0.7924889922142031</v>
      </c>
      <c r="H324" s="6">
        <v>0.65189003944397006</v>
      </c>
      <c r="I324" s="6">
        <v>-1.158438920974731</v>
      </c>
      <c r="J324" s="6">
        <v>2.3647947311401372</v>
      </c>
      <c r="K324" s="6">
        <v>-0.285307347774506</v>
      </c>
      <c r="L324" s="6">
        <v>-0.713073670864105</v>
      </c>
      <c r="M324" s="6">
        <v>-0.48512065410614003</v>
      </c>
      <c r="N324" s="6">
        <v>0.25823961638409804</v>
      </c>
      <c r="O324" s="6"/>
      <c r="P324" s="6">
        <v>0.45086452511094505</v>
      </c>
      <c r="Q324" s="6"/>
      <c r="R324" s="6">
        <v>4.6509933713345397</v>
      </c>
      <c r="S324" s="6"/>
      <c r="T324" s="6">
        <v>10.103604316711426</v>
      </c>
      <c r="U324" s="6">
        <f>_xll.BDP($A324,"TRAILING_12M_R&amp;D_%_SALES",$A$1,$A$2)</f>
        <v>2.5466221271877498</v>
      </c>
      <c r="V324" s="6">
        <v>25</v>
      </c>
      <c r="W324" s="6">
        <v>251020</v>
      </c>
      <c r="X324" s="6">
        <v>25102010</v>
      </c>
      <c r="Y324" s="7" t="s">
        <v>85</v>
      </c>
      <c r="Z324" s="7" t="s">
        <v>316</v>
      </c>
      <c r="AA324" s="7" t="s">
        <v>317</v>
      </c>
      <c r="AB324" s="6">
        <v>79.861183166503906</v>
      </c>
      <c r="AC324" s="6"/>
      <c r="AD324" s="6"/>
      <c r="AE324" s="6"/>
      <c r="AF324" s="6"/>
    </row>
    <row r="325" spans="1:32" s="4" customFormat="1" ht="12.75" x14ac:dyDescent="0.2">
      <c r="A325" s="7" t="s">
        <v>1123</v>
      </c>
      <c r="B325" s="7" t="s">
        <v>1124</v>
      </c>
      <c r="C325" s="7" t="s">
        <v>1125</v>
      </c>
      <c r="D325" s="6">
        <v>0.581085205078125</v>
      </c>
      <c r="E325" s="6">
        <v>-0.48672091960907005</v>
      </c>
      <c r="F325" s="6">
        <v>1.9857383966445921</v>
      </c>
      <c r="G325" s="6">
        <v>-0.7924889922142031</v>
      </c>
      <c r="H325" s="6">
        <v>0.65189003944397006</v>
      </c>
      <c r="I325" s="6">
        <v>-1.158438920974731</v>
      </c>
      <c r="J325" s="6">
        <v>2.3647947311401372</v>
      </c>
      <c r="K325" s="6">
        <v>-0.285307347774506</v>
      </c>
      <c r="L325" s="6">
        <v>-0.713073670864105</v>
      </c>
      <c r="M325" s="6">
        <v>-0.48512065410614003</v>
      </c>
      <c r="N325" s="6">
        <v>0.25823961638409804</v>
      </c>
      <c r="O325" s="6"/>
      <c r="P325" s="6">
        <v>0.45086452511094505</v>
      </c>
      <c r="Q325" s="6"/>
      <c r="R325" s="6">
        <v>4.6509933713345397</v>
      </c>
      <c r="S325" s="6"/>
      <c r="T325" s="6">
        <v>10.103604316711426</v>
      </c>
      <c r="U325" s="6">
        <f>_xll.BDP($A325,"TRAILING_12M_R&amp;D_%_SALES",$A$1,$A$2)</f>
        <v>2.5466221271877498</v>
      </c>
      <c r="V325" s="6">
        <v>25</v>
      </c>
      <c r="W325" s="6">
        <v>251020</v>
      </c>
      <c r="X325" s="6">
        <v>25102010</v>
      </c>
      <c r="Y325" s="7" t="s">
        <v>85</v>
      </c>
      <c r="Z325" s="7" t="s">
        <v>316</v>
      </c>
      <c r="AA325" s="7" t="s">
        <v>317</v>
      </c>
      <c r="AB325" s="6">
        <v>79.861183166503906</v>
      </c>
      <c r="AC325" s="6"/>
      <c r="AD325" s="6"/>
      <c r="AE325" s="6"/>
      <c r="AF325" s="6"/>
    </row>
    <row r="326" spans="1:32" s="4" customFormat="1" ht="12.75" x14ac:dyDescent="0.2">
      <c r="A326" s="7" t="s">
        <v>1126</v>
      </c>
      <c r="B326" s="7" t="s">
        <v>1127</v>
      </c>
      <c r="C326" s="7" t="s">
        <v>1128</v>
      </c>
      <c r="D326" s="6">
        <v>9.3028724193573012E-2</v>
      </c>
      <c r="E326" s="6">
        <v>-0.78662168979644809</v>
      </c>
      <c r="F326" s="6">
        <v>2.6702018454671003E-2</v>
      </c>
      <c r="G326" s="6">
        <v>-0.95821118354797408</v>
      </c>
      <c r="H326" s="6">
        <v>0.97728276252746604</v>
      </c>
      <c r="I326" s="6">
        <v>-0.21245594322681402</v>
      </c>
      <c r="J326" s="6">
        <v>0.80535423755645807</v>
      </c>
      <c r="K326" s="6">
        <v>-0.90757787227630604</v>
      </c>
      <c r="L326" s="6">
        <v>1.096061706542969</v>
      </c>
      <c r="M326" s="6">
        <v>-0.85952198505401611</v>
      </c>
      <c r="N326" s="6">
        <v>1.4179818555218591</v>
      </c>
      <c r="O326" s="6"/>
      <c r="P326" s="6">
        <v>1.7475667781109441</v>
      </c>
      <c r="Q326" s="6"/>
      <c r="R326" s="6">
        <v>15.264132356588444</v>
      </c>
      <c r="S326" s="6"/>
      <c r="T326" s="6">
        <v>10.992814064025879</v>
      </c>
      <c r="U326" s="6" t="str">
        <f>_xll.BDP($A326,"TRAILING_12M_R&amp;D_%_SALES",$A$1,$A$2)</f>
        <v>#N/A N/A</v>
      </c>
      <c r="V326" s="6">
        <v>55</v>
      </c>
      <c r="W326" s="6">
        <v>551010</v>
      </c>
      <c r="X326" s="6">
        <v>55101010</v>
      </c>
      <c r="Y326" s="7" t="s">
        <v>154</v>
      </c>
      <c r="Z326" s="7" t="s">
        <v>155</v>
      </c>
      <c r="AA326" s="7" t="s">
        <v>155</v>
      </c>
      <c r="AB326" s="6">
        <v>83.140525817871094</v>
      </c>
      <c r="AC326" s="6">
        <v>0.70014338690646505</v>
      </c>
      <c r="AD326" s="6">
        <v>16.917112436434966</v>
      </c>
      <c r="AE326" s="6">
        <v>40602</v>
      </c>
      <c r="AF326" s="6">
        <v>33772</v>
      </c>
    </row>
    <row r="327" spans="1:32" s="4" customFormat="1" ht="12.75" x14ac:dyDescent="0.2">
      <c r="A327" s="7" t="s">
        <v>1129</v>
      </c>
      <c r="B327" s="7" t="s">
        <v>1130</v>
      </c>
      <c r="C327" s="7" t="s">
        <v>1131</v>
      </c>
      <c r="D327" s="6">
        <v>9.3028724193573012E-2</v>
      </c>
      <c r="E327" s="6">
        <v>-0.78662168979644809</v>
      </c>
      <c r="F327" s="6">
        <v>2.6702018454671003E-2</v>
      </c>
      <c r="G327" s="6">
        <v>-0.95821118354797408</v>
      </c>
      <c r="H327" s="6">
        <v>0.97728276252746604</v>
      </c>
      <c r="I327" s="6">
        <v>-0.21245594322681402</v>
      </c>
      <c r="J327" s="6">
        <v>0.80535423755645807</v>
      </c>
      <c r="K327" s="6">
        <v>-0.90757787227630604</v>
      </c>
      <c r="L327" s="6">
        <v>1.096061706542969</v>
      </c>
      <c r="M327" s="6">
        <v>-0.85952198505401611</v>
      </c>
      <c r="N327" s="6">
        <v>1.4179818555218591</v>
      </c>
      <c r="O327" s="6">
        <v>1.3554574356105971</v>
      </c>
      <c r="P327" s="6">
        <v>1.7475667781109441</v>
      </c>
      <c r="Q327" s="6">
        <v>1.603526997291401</v>
      </c>
      <c r="R327" s="6">
        <v>15.264132356588444</v>
      </c>
      <c r="S327" s="6">
        <v>15.44501927838528</v>
      </c>
      <c r="T327" s="6">
        <v>10.992814064025879</v>
      </c>
      <c r="U327" s="6" t="str">
        <f>_xll.BDP($A327,"TRAILING_12M_R&amp;D_%_SALES",$A$1,$A$2)</f>
        <v>#N/A N/A</v>
      </c>
      <c r="V327" s="6">
        <v>55</v>
      </c>
      <c r="W327" s="6">
        <v>551010</v>
      </c>
      <c r="X327" s="6">
        <v>55101010</v>
      </c>
      <c r="Y327" s="7" t="s">
        <v>154</v>
      </c>
      <c r="Z327" s="7" t="s">
        <v>155</v>
      </c>
      <c r="AA327" s="7" t="s">
        <v>155</v>
      </c>
      <c r="AB327" s="6">
        <v>83.140525817871094</v>
      </c>
      <c r="AC327" s="6">
        <v>0.64373508406811808</v>
      </c>
      <c r="AD327" s="6">
        <v>19.391314125112057</v>
      </c>
      <c r="AE327" s="6">
        <v>40602</v>
      </c>
      <c r="AF327" s="6">
        <v>33772</v>
      </c>
    </row>
    <row r="328" spans="1:32" s="4" customFormat="1" ht="12.75" x14ac:dyDescent="0.2">
      <c r="A328" s="7" t="s">
        <v>1132</v>
      </c>
      <c r="B328" s="7" t="s">
        <v>1133</v>
      </c>
      <c r="C328" s="7" t="s">
        <v>1134</v>
      </c>
      <c r="D328" s="6">
        <v>-0.69019180536270108</v>
      </c>
      <c r="E328" s="6">
        <v>1.012833952903748</v>
      </c>
      <c r="F328" s="6">
        <v>-0.35434383153915405</v>
      </c>
      <c r="G328" s="6">
        <v>0.522877156734467</v>
      </c>
      <c r="H328" s="6">
        <v>-1.317624449729919</v>
      </c>
      <c r="I328" s="6">
        <v>0.34203886985778803</v>
      </c>
      <c r="J328" s="6">
        <v>0.32214465737342801</v>
      </c>
      <c r="K328" s="6">
        <v>-0.46789824962616006</v>
      </c>
      <c r="L328" s="6">
        <v>-0.51307207345962502</v>
      </c>
      <c r="M328" s="6">
        <v>-0.83473956584930409</v>
      </c>
      <c r="N328" s="6">
        <v>1.1984982468263601</v>
      </c>
      <c r="O328" s="6">
        <v>7.4169548062724324</v>
      </c>
      <c r="P328" s="6">
        <v>2.616435523536917</v>
      </c>
      <c r="Q328" s="6">
        <v>2.18791245345143</v>
      </c>
      <c r="R328" s="6">
        <v>15.100182728953442</v>
      </c>
      <c r="S328" s="6">
        <v>13.234355417247743</v>
      </c>
      <c r="T328" s="6">
        <v>18.987968444824219</v>
      </c>
      <c r="U328" s="6" t="str">
        <f>_xll.BDP($A328,"TRAILING_12M_R&amp;D_%_SALES",$A$1,$A$2)</f>
        <v>#N/A N/A</v>
      </c>
      <c r="V328" s="6">
        <v>40</v>
      </c>
      <c r="W328" s="6">
        <v>402030</v>
      </c>
      <c r="X328" s="6">
        <v>40203020</v>
      </c>
      <c r="Y328" s="7" t="s">
        <v>43</v>
      </c>
      <c r="Z328" s="7" t="s">
        <v>212</v>
      </c>
      <c r="AA328" s="7" t="s">
        <v>1026</v>
      </c>
      <c r="AB328" s="6">
        <v>30.681018829345703</v>
      </c>
      <c r="AC328" s="6">
        <v>0.82518131539486306</v>
      </c>
      <c r="AD328" s="6">
        <v>14.206006955235972</v>
      </c>
      <c r="AE328" s="6">
        <v>2820</v>
      </c>
      <c r="AF328" s="6">
        <v>1228</v>
      </c>
    </row>
    <row r="329" spans="1:32" s="4" customFormat="1" ht="12.75" x14ac:dyDescent="0.2">
      <c r="A329" s="7" t="s">
        <v>1135</v>
      </c>
      <c r="B329" s="7" t="s">
        <v>1136</v>
      </c>
      <c r="C329" s="7" t="s">
        <v>1137</v>
      </c>
      <c r="D329" s="6">
        <v>0.26939558982849104</v>
      </c>
      <c r="E329" s="6">
        <v>-0.7907940745353701</v>
      </c>
      <c r="F329" s="6">
        <v>-0.74372810125351008</v>
      </c>
      <c r="G329" s="6">
        <v>-0.36019483208656305</v>
      </c>
      <c r="H329" s="6">
        <v>0.87466514110565208</v>
      </c>
      <c r="I329" s="6">
        <v>8.9442335069180007E-2</v>
      </c>
      <c r="J329" s="6">
        <v>3.1416401267052002E-2</v>
      </c>
      <c r="K329" s="6">
        <v>-1.5691006183624272</v>
      </c>
      <c r="L329" s="6">
        <v>1.411314964294434</v>
      </c>
      <c r="M329" s="6">
        <v>-0.64564788341522206</v>
      </c>
      <c r="N329" s="6">
        <v>2.430159387758561</v>
      </c>
      <c r="O329" s="6">
        <v>2.3484797657658221</v>
      </c>
      <c r="P329" s="6">
        <v>6.4702806703587541</v>
      </c>
      <c r="Q329" s="6">
        <v>5.5474527204690114</v>
      </c>
      <c r="R329" s="6">
        <v>18.238965155581603</v>
      </c>
      <c r="S329" s="6">
        <v>16.416347750339227</v>
      </c>
      <c r="T329" s="6">
        <v>32.092128753662109</v>
      </c>
      <c r="U329" s="6">
        <f>_xll.BDP($A329,"TRAILING_12M_R&amp;D_%_SALES",$A$1,$A$2)</f>
        <v>11.918155307315985</v>
      </c>
      <c r="V329" s="6">
        <v>45</v>
      </c>
      <c r="W329" s="6">
        <v>451020</v>
      </c>
      <c r="X329" s="6">
        <v>45102010</v>
      </c>
      <c r="Y329" s="7" t="s">
        <v>56</v>
      </c>
      <c r="Z329" s="7" t="s">
        <v>112</v>
      </c>
      <c r="AA329" s="7" t="s">
        <v>113</v>
      </c>
      <c r="AB329" s="6">
        <v>67.34735107421875</v>
      </c>
      <c r="AC329" s="6">
        <v>0.67934832801380307</v>
      </c>
      <c r="AD329" s="6">
        <v>21.730816494060434</v>
      </c>
      <c r="AE329" s="6">
        <v>288300</v>
      </c>
      <c r="AF329" s="6">
        <v>366600</v>
      </c>
    </row>
    <row r="330" spans="1:32" s="4" customFormat="1" ht="12.75" x14ac:dyDescent="0.2">
      <c r="A330" s="7" t="s">
        <v>1138</v>
      </c>
      <c r="B330" s="7" t="s">
        <v>1139</v>
      </c>
      <c r="C330" s="7" t="s">
        <v>1140</v>
      </c>
      <c r="D330" s="6">
        <v>7.4863642454147006E-2</v>
      </c>
      <c r="E330" s="6">
        <v>-0.80504101514816306</v>
      </c>
      <c r="F330" s="6">
        <v>-1.782624244689941</v>
      </c>
      <c r="G330" s="6">
        <v>-0.91588813066482511</v>
      </c>
      <c r="H330" s="6">
        <v>-0.16308993101120001</v>
      </c>
      <c r="I330" s="6">
        <v>-0.46531298756599404</v>
      </c>
      <c r="J330" s="6">
        <v>0.11771549284458201</v>
      </c>
      <c r="K330" s="6">
        <v>-0.25974538922309903</v>
      </c>
      <c r="L330" s="6">
        <v>-0.33280679583549505</v>
      </c>
      <c r="M330" s="6">
        <v>-0.93281739950180109</v>
      </c>
      <c r="N330" s="6">
        <v>3.305820613648947</v>
      </c>
      <c r="O330" s="6"/>
      <c r="P330" s="6">
        <v>3.018725341985915</v>
      </c>
      <c r="Q330" s="6">
        <v>2.4368620916865522</v>
      </c>
      <c r="R330" s="6">
        <v>17.374826721669404</v>
      </c>
      <c r="S330" s="6">
        <v>16.666758315390357</v>
      </c>
      <c r="T330" s="6">
        <v>18.817415237426758</v>
      </c>
      <c r="U330" s="6" t="str">
        <f>_xll.BDP($A330,"TRAILING_12M_R&amp;D_%_SALES",$A$1,$A$2)</f>
        <v>#N/A N/A</v>
      </c>
      <c r="V330" s="6">
        <v>40</v>
      </c>
      <c r="W330" s="6">
        <v>401010</v>
      </c>
      <c r="X330" s="6">
        <v>40101010</v>
      </c>
      <c r="Y330" s="7" t="s">
        <v>43</v>
      </c>
      <c r="Z330" s="7" t="s">
        <v>67</v>
      </c>
      <c r="AA330" s="7" t="s">
        <v>68</v>
      </c>
      <c r="AB330" s="6"/>
      <c r="AC330" s="6">
        <v>0.79046790950367907</v>
      </c>
      <c r="AD330" s="6">
        <v>8.7541278670583367</v>
      </c>
      <c r="AE330" s="6">
        <v>126660</v>
      </c>
      <c r="AF330" s="6">
        <v>81548</v>
      </c>
    </row>
    <row r="331" spans="1:32" s="4" customFormat="1" ht="12.75" x14ac:dyDescent="0.2">
      <c r="A331" s="7" t="s">
        <v>1141</v>
      </c>
      <c r="B331" s="7" t="s">
        <v>1142</v>
      </c>
      <c r="C331" s="7" t="s">
        <v>1143</v>
      </c>
      <c r="D331" s="6">
        <v>-0.25790110230445901</v>
      </c>
      <c r="E331" s="6">
        <v>-0.87652713060379006</v>
      </c>
      <c r="F331" s="6">
        <v>0.99492353200912509</v>
      </c>
      <c r="G331" s="6">
        <v>-0.90886336565017711</v>
      </c>
      <c r="H331" s="6">
        <v>2.030880451202393</v>
      </c>
      <c r="I331" s="6">
        <v>-0.86209046840667702</v>
      </c>
      <c r="J331" s="6">
        <v>0.96298849582672108</v>
      </c>
      <c r="K331" s="6">
        <v>-0.51325982809066806</v>
      </c>
      <c r="L331" s="6">
        <v>0.54908692836761508</v>
      </c>
      <c r="M331" s="6">
        <v>-0.5312142968177801</v>
      </c>
      <c r="N331" s="6">
        <v>0.47500276180541506</v>
      </c>
      <c r="O331" s="6"/>
      <c r="P331" s="6">
        <v>0.35325603220371005</v>
      </c>
      <c r="Q331" s="6"/>
      <c r="R331" s="6">
        <v>3.4705733468890703</v>
      </c>
      <c r="S331" s="6"/>
      <c r="T331" s="6">
        <v>10.587161064147949</v>
      </c>
      <c r="U331" s="6" t="str">
        <f>_xll.BDP($A331,"TRAILING_12M_R&amp;D_%_SALES",$A$1,$A$2)</f>
        <v>#N/A N/A</v>
      </c>
      <c r="V331" s="6">
        <v>40</v>
      </c>
      <c r="W331" s="6">
        <v>401010</v>
      </c>
      <c r="X331" s="6">
        <v>40101010</v>
      </c>
      <c r="Y331" s="7" t="s">
        <v>43</v>
      </c>
      <c r="Z331" s="7" t="s">
        <v>67</v>
      </c>
      <c r="AA331" s="7" t="s">
        <v>68</v>
      </c>
      <c r="AB331" s="6">
        <v>52.218086242675781</v>
      </c>
      <c r="AC331" s="6"/>
      <c r="AD331" s="6"/>
      <c r="AE331" s="6"/>
      <c r="AF331" s="6"/>
    </row>
    <row r="332" spans="1:32" s="4" customFormat="1" ht="12.75" x14ac:dyDescent="0.2">
      <c r="A332" s="7" t="s">
        <v>1144</v>
      </c>
      <c r="B332" s="7" t="s">
        <v>1145</v>
      </c>
      <c r="C332" s="7" t="s">
        <v>1146</v>
      </c>
      <c r="D332" s="6">
        <v>-0.42612525820732106</v>
      </c>
      <c r="E332" s="6">
        <v>-0.510023534297943</v>
      </c>
      <c r="F332" s="6">
        <v>-1.0751127004623411</v>
      </c>
      <c r="G332" s="6">
        <v>-0.45036843419075001</v>
      </c>
      <c r="H332" s="6">
        <v>-0.10463677346706401</v>
      </c>
      <c r="I332" s="6">
        <v>-7.0468097925186005E-2</v>
      </c>
      <c r="J332" s="6">
        <v>-0.116441152989864</v>
      </c>
      <c r="K332" s="6">
        <v>-0.38893994688987704</v>
      </c>
      <c r="L332" s="6">
        <v>-2.4177469313145003E-2</v>
      </c>
      <c r="M332" s="6">
        <v>-1.068358421325684</v>
      </c>
      <c r="N332" s="6">
        <v>9.524821161093854</v>
      </c>
      <c r="O332" s="6">
        <v>8.0240384120984345</v>
      </c>
      <c r="P332" s="6">
        <v>2.8855005601361503</v>
      </c>
      <c r="Q332" s="6">
        <v>2.6754130751750571</v>
      </c>
      <c r="R332" s="6">
        <v>28.077794872668949</v>
      </c>
      <c r="S332" s="6">
        <v>22.573398750546865</v>
      </c>
      <c r="T332" s="6">
        <v>10.117480278015137</v>
      </c>
      <c r="U332" s="6">
        <f>_xll.BDP($A332,"TRAILING_12M_R&amp;D_%_SALES",$A$1,$A$2)</f>
        <v>0</v>
      </c>
      <c r="V332" s="6">
        <v>40</v>
      </c>
      <c r="W332" s="6">
        <v>402030</v>
      </c>
      <c r="X332" s="6">
        <v>40203040</v>
      </c>
      <c r="Y332" s="7" t="s">
        <v>43</v>
      </c>
      <c r="Z332" s="7" t="s">
        <v>212</v>
      </c>
      <c r="AA332" s="7" t="s">
        <v>579</v>
      </c>
      <c r="AB332" s="6">
        <v>45.770042419433594</v>
      </c>
      <c r="AC332" s="6">
        <v>0.8801125639106091</v>
      </c>
      <c r="AD332" s="6">
        <v>25.242245390959607</v>
      </c>
      <c r="AE332" s="6">
        <v>8911</v>
      </c>
      <c r="AF332" s="6">
        <v>4952</v>
      </c>
    </row>
    <row r="333" spans="1:32" s="4" customFormat="1" ht="12.75" x14ac:dyDescent="0.2">
      <c r="A333" s="7" t="s">
        <v>1147</v>
      </c>
      <c r="B333" s="7" t="s">
        <v>1148</v>
      </c>
      <c r="C333" s="7" t="s">
        <v>1149</v>
      </c>
      <c r="D333" s="6">
        <v>-0.88327246904373202</v>
      </c>
      <c r="E333" s="6">
        <v>-0.89726507663726807</v>
      </c>
      <c r="F333" s="6">
        <v>-0.84317088127136208</v>
      </c>
      <c r="G333" s="6">
        <v>-0.77764582633972201</v>
      </c>
      <c r="H333" s="6">
        <v>-0.61866670846939109</v>
      </c>
      <c r="I333" s="6">
        <v>-0.47782513499259904</v>
      </c>
      <c r="J333" s="6">
        <v>0.19707782566547402</v>
      </c>
      <c r="K333" s="6">
        <v>9.9393963813782002E-2</v>
      </c>
      <c r="L333" s="6">
        <v>0.28485766053199801</v>
      </c>
      <c r="M333" s="6">
        <v>-0.50901967287063599</v>
      </c>
      <c r="N333" s="6">
        <v>1.4345210107962449</v>
      </c>
      <c r="O333" s="6">
        <v>1.497406623974965</v>
      </c>
      <c r="P333" s="6">
        <v>2.6394323237665329</v>
      </c>
      <c r="Q333" s="6">
        <v>2.3135670734773499</v>
      </c>
      <c r="R333" s="6">
        <v>19.464743755332922</v>
      </c>
      <c r="S333" s="6">
        <v>14.222988882087874</v>
      </c>
      <c r="T333" s="6">
        <v>7.724358081817627</v>
      </c>
      <c r="U333" s="6" t="str">
        <f>_xll.BDP($A333,"TRAILING_12M_R&amp;D_%_SALES",$A$1,$A$2)</f>
        <v>#N/A N/A</v>
      </c>
      <c r="V333" s="6">
        <v>40</v>
      </c>
      <c r="W333" s="6">
        <v>403010</v>
      </c>
      <c r="X333" s="6">
        <v>40301040</v>
      </c>
      <c r="Y333" s="7" t="s">
        <v>43</v>
      </c>
      <c r="Z333" s="7" t="s">
        <v>44</v>
      </c>
      <c r="AA333" s="7" t="s">
        <v>102</v>
      </c>
      <c r="AB333" s="6">
        <v>52.026958465576172</v>
      </c>
      <c r="AC333" s="6">
        <v>0.51720486845705604</v>
      </c>
      <c r="AD333" s="6">
        <v>7.7546473906106694</v>
      </c>
      <c r="AE333" s="6">
        <v>28605</v>
      </c>
      <c r="AF333" s="6">
        <v>13396</v>
      </c>
    </row>
    <row r="334" spans="1:32" s="4" customFormat="1" ht="12.75" x14ac:dyDescent="0.2">
      <c r="A334" s="7" t="s">
        <v>1150</v>
      </c>
      <c r="B334" s="7" t="s">
        <v>1151</v>
      </c>
      <c r="C334" s="7" t="s">
        <v>1152</v>
      </c>
      <c r="D334" s="6">
        <v>-0.80265313386917103</v>
      </c>
      <c r="E334" s="6">
        <v>-0.24748623371124301</v>
      </c>
      <c r="F334" s="6">
        <v>0.72909075021743808</v>
      </c>
      <c r="G334" s="6">
        <v>-0.72799891233444203</v>
      </c>
      <c r="H334" s="6">
        <v>-0.54048103094101008</v>
      </c>
      <c r="I334" s="6">
        <v>0.45364823937416104</v>
      </c>
      <c r="J334" s="6">
        <v>0.42214477062225303</v>
      </c>
      <c r="K334" s="6">
        <v>0.15588203072547901</v>
      </c>
      <c r="L334" s="6">
        <v>-0.276038378477097</v>
      </c>
      <c r="M334" s="6">
        <v>-0.13503652811050401</v>
      </c>
      <c r="N334" s="6">
        <v>3.020221033485877</v>
      </c>
      <c r="O334" s="6">
        <v>2.8341111453759931</v>
      </c>
      <c r="P334" s="6">
        <v>3.111025191220159</v>
      </c>
      <c r="Q334" s="6">
        <v>2.491385183492425</v>
      </c>
      <c r="R334" s="6">
        <v>15.750603805793267</v>
      </c>
      <c r="S334" s="6">
        <v>15.201210463038288</v>
      </c>
      <c r="T334" s="6">
        <v>21.215604782104492</v>
      </c>
      <c r="U334" s="6">
        <f>_xll.BDP($A334,"TRAILING_12M_R&amp;D_%_SALES",$A$1,$A$2)</f>
        <v>13.742590447639163</v>
      </c>
      <c r="V334" s="6">
        <v>45</v>
      </c>
      <c r="W334" s="6">
        <v>453010</v>
      </c>
      <c r="X334" s="6">
        <v>45301020</v>
      </c>
      <c r="Y334" s="7" t="s">
        <v>56</v>
      </c>
      <c r="Z334" s="7" t="s">
        <v>130</v>
      </c>
      <c r="AA334" s="7" t="s">
        <v>131</v>
      </c>
      <c r="AB334" s="6">
        <v>64.138420104980469</v>
      </c>
      <c r="AC334" s="6">
        <v>0.77207681878475609</v>
      </c>
      <c r="AD334" s="6">
        <v>42.067184441177254</v>
      </c>
      <c r="AE334" s="6">
        <v>58590</v>
      </c>
      <c r="AF334" s="6">
        <v>39096</v>
      </c>
    </row>
    <row r="335" spans="1:32" s="4" customFormat="1" ht="12.75" x14ac:dyDescent="0.2">
      <c r="A335" s="7" t="s">
        <v>1153</v>
      </c>
      <c r="B335" s="7" t="s">
        <v>1154</v>
      </c>
      <c r="C335" s="7" t="s">
        <v>1155</v>
      </c>
      <c r="D335" s="6">
        <v>-0.80265313386917103</v>
      </c>
      <c r="E335" s="6">
        <v>-0.24748623371124301</v>
      </c>
      <c r="F335" s="6">
        <v>0.72909075021743808</v>
      </c>
      <c r="G335" s="6">
        <v>-0.72799891233444203</v>
      </c>
      <c r="H335" s="6">
        <v>-0.54048103094101008</v>
      </c>
      <c r="I335" s="6">
        <v>0.45364823937416104</v>
      </c>
      <c r="J335" s="6">
        <v>0.42214477062225303</v>
      </c>
      <c r="K335" s="6">
        <v>0.15588203072547901</v>
      </c>
      <c r="L335" s="6">
        <v>-0.276038378477097</v>
      </c>
      <c r="M335" s="6">
        <v>-0.13503652811050401</v>
      </c>
      <c r="N335" s="6">
        <v>3.020221033485877</v>
      </c>
      <c r="O335" s="6">
        <v>2.8484044135671591</v>
      </c>
      <c r="P335" s="6">
        <v>3.111025191220159</v>
      </c>
      <c r="Q335" s="6">
        <v>2.5062128848347029</v>
      </c>
      <c r="R335" s="6">
        <v>15.750603805793267</v>
      </c>
      <c r="S335" s="6">
        <v>15.291697427363827</v>
      </c>
      <c r="T335" s="6">
        <v>21.215604782104492</v>
      </c>
      <c r="U335" s="6">
        <f>_xll.BDP($A335,"TRAILING_12M_R&amp;D_%_SALES",$A$1,$A$2)</f>
        <v>13.742590447639163</v>
      </c>
      <c r="V335" s="6">
        <v>45</v>
      </c>
      <c r="W335" s="6">
        <v>453010</v>
      </c>
      <c r="X335" s="6">
        <v>45301020</v>
      </c>
      <c r="Y335" s="7" t="s">
        <v>56</v>
      </c>
      <c r="Z335" s="7" t="s">
        <v>130</v>
      </c>
      <c r="AA335" s="7" t="s">
        <v>131</v>
      </c>
      <c r="AB335" s="6">
        <v>64.138420104980469</v>
      </c>
      <c r="AC335" s="6">
        <v>1.2431636627250719</v>
      </c>
      <c r="AD335" s="6">
        <v>37.860158606601232</v>
      </c>
      <c r="AE335" s="6">
        <v>58590</v>
      </c>
      <c r="AF335" s="6">
        <v>39096</v>
      </c>
    </row>
    <row r="336" spans="1:32" s="4" customFormat="1" ht="12.75" x14ac:dyDescent="0.2">
      <c r="A336" s="7" t="s">
        <v>1156</v>
      </c>
      <c r="B336" s="7" t="s">
        <v>1157</v>
      </c>
      <c r="C336" s="7" t="s">
        <v>1158</v>
      </c>
      <c r="D336" s="6">
        <v>0.38687300682067904</v>
      </c>
      <c r="E336" s="6">
        <v>-1.026147127151489</v>
      </c>
      <c r="F336" s="6">
        <v>-0.39891785383224504</v>
      </c>
      <c r="G336" s="6">
        <v>-0.27248123288154602</v>
      </c>
      <c r="H336" s="6">
        <v>1.163551926612854</v>
      </c>
      <c r="I336" s="6">
        <v>0.67368549108505205</v>
      </c>
      <c r="J336" s="6">
        <v>2.5295648574829102</v>
      </c>
      <c r="K336" s="6">
        <v>-1.1078077554702761</v>
      </c>
      <c r="L336" s="6">
        <v>2.7355449199676509</v>
      </c>
      <c r="M336" s="6">
        <v>-0.87658810615539606</v>
      </c>
      <c r="N336" s="6">
        <v>1.243135360530673</v>
      </c>
      <c r="O336" s="6">
        <v>1.9132782140248139</v>
      </c>
      <c r="P336" s="6">
        <v>0.84734006285252494</v>
      </c>
      <c r="Q336" s="6">
        <v>0.79570744168292407</v>
      </c>
      <c r="R336" s="6">
        <v>6.9147811861014032</v>
      </c>
      <c r="S336" s="6">
        <v>6.1738742605608454</v>
      </c>
      <c r="T336" s="6">
        <v>12.705865859985352</v>
      </c>
      <c r="U336" s="6" t="str">
        <f>_xll.BDP($A336,"TRAILING_12M_R&amp;D_%_SALES",$A$1,$A$2)</f>
        <v>#N/A N/A</v>
      </c>
      <c r="V336" s="6">
        <v>40</v>
      </c>
      <c r="W336" s="6">
        <v>401010</v>
      </c>
      <c r="X336" s="6">
        <v>40101010</v>
      </c>
      <c r="Y336" s="7" t="s">
        <v>43</v>
      </c>
      <c r="Z336" s="7" t="s">
        <v>67</v>
      </c>
      <c r="AA336" s="7" t="s">
        <v>68</v>
      </c>
      <c r="AB336" s="6">
        <v>74.268180847167969</v>
      </c>
      <c r="AC336" s="6">
        <v>0.66978649429563109</v>
      </c>
      <c r="AD336" s="6">
        <v>44.927546382712258</v>
      </c>
      <c r="AE336" s="6">
        <v>94509</v>
      </c>
      <c r="AF336" s="6">
        <v>96892</v>
      </c>
    </row>
    <row r="337" spans="1:32" s="4" customFormat="1" ht="12.75" x14ac:dyDescent="0.2">
      <c r="A337" s="7" t="s">
        <v>1159</v>
      </c>
      <c r="B337" s="7" t="s">
        <v>1160</v>
      </c>
      <c r="C337" s="7" t="s">
        <v>1161</v>
      </c>
      <c r="D337" s="6">
        <v>-0.69165498018264804</v>
      </c>
      <c r="E337" s="6">
        <v>-0.25323975086212203</v>
      </c>
      <c r="F337" s="6">
        <v>1.0371773242950439</v>
      </c>
      <c r="G337" s="6">
        <v>-0.77063870429992709</v>
      </c>
      <c r="H337" s="6">
        <v>-0.83219629526138306</v>
      </c>
      <c r="I337" s="6">
        <v>0.35574024915695202</v>
      </c>
      <c r="J337" s="6">
        <v>1.237660765647888</v>
      </c>
      <c r="K337" s="6">
        <v>0.19815303385257702</v>
      </c>
      <c r="L337" s="6">
        <v>0.43074491620063804</v>
      </c>
      <c r="M337" s="6">
        <v>0.81579947471618708</v>
      </c>
      <c r="N337" s="6">
        <v>0.89009961254278902</v>
      </c>
      <c r="O337" s="6">
        <v>0.73859232007829001</v>
      </c>
      <c r="P337" s="6">
        <v>1.7965401768082092</v>
      </c>
      <c r="Q337" s="6">
        <v>1.63430048103848</v>
      </c>
      <c r="R337" s="6">
        <v>8.5171306101834663</v>
      </c>
      <c r="S337" s="6">
        <v>8.0223930631259464</v>
      </c>
      <c r="T337" s="6">
        <v>22.773006439208984</v>
      </c>
      <c r="U337" s="6" t="str">
        <f>_xll.BDP($A337,"TRAILING_12M_R&amp;D_%_SALES",$A$1,$A$2)</f>
        <v>#N/A N/A</v>
      </c>
      <c r="V337" s="6">
        <v>10</v>
      </c>
      <c r="W337" s="6">
        <v>101020</v>
      </c>
      <c r="X337" s="6">
        <v>10102010</v>
      </c>
      <c r="Y337" s="7" t="s">
        <v>387</v>
      </c>
      <c r="Z337" s="7" t="s">
        <v>516</v>
      </c>
      <c r="AA337" s="7" t="s">
        <v>693</v>
      </c>
      <c r="AB337" s="6">
        <v>66.43194580078125</v>
      </c>
      <c r="AC337" s="6">
        <v>0.81885534895926504</v>
      </c>
      <c r="AD337" s="6">
        <v>21.119858288614957</v>
      </c>
      <c r="AE337" s="6">
        <v>5300</v>
      </c>
      <c r="AF337" s="6">
        <v>5400</v>
      </c>
    </row>
    <row r="338" spans="1:32" s="4" customFormat="1" ht="12.75" x14ac:dyDescent="0.2">
      <c r="A338" s="7" t="s">
        <v>1162</v>
      </c>
      <c r="B338" s="7" t="s">
        <v>1163</v>
      </c>
      <c r="C338" s="7" t="s">
        <v>1164</v>
      </c>
      <c r="D338" s="6">
        <v>0.49067685008049006</v>
      </c>
      <c r="E338" s="6">
        <v>-1.023235440254211</v>
      </c>
      <c r="F338" s="6">
        <v>-0.36124774813652005</v>
      </c>
      <c r="G338" s="6">
        <v>-0.58031588792800903</v>
      </c>
      <c r="H338" s="6">
        <v>1.2995932102203369</v>
      </c>
      <c r="I338" s="6">
        <v>0.81362026929855302</v>
      </c>
      <c r="J338" s="6">
        <v>0.45251893997192405</v>
      </c>
      <c r="K338" s="6">
        <v>-1.2332032918930049</v>
      </c>
      <c r="L338" s="6">
        <v>1.9715167284011841</v>
      </c>
      <c r="M338" s="6">
        <v>-0.73849469423294101</v>
      </c>
      <c r="N338" s="6">
        <v>0.8706908273958871</v>
      </c>
      <c r="O338" s="6">
        <v>2.1241267163269781</v>
      </c>
      <c r="P338" s="6">
        <v>0.9160656731313831</v>
      </c>
      <c r="Q338" s="6">
        <v>0.84864755395273406</v>
      </c>
      <c r="R338" s="6">
        <v>7.1411939800688256</v>
      </c>
      <c r="S338" s="6">
        <v>7.0339693982951097</v>
      </c>
      <c r="T338" s="6">
        <v>13.235736846923828</v>
      </c>
      <c r="U338" s="6" t="str">
        <f>_xll.BDP($A338,"TRAILING_12M_R&amp;D_%_SALES",$A$1,$A$2)</f>
        <v>#N/A N/A</v>
      </c>
      <c r="V338" s="6">
        <v>40</v>
      </c>
      <c r="W338" s="6">
        <v>401010</v>
      </c>
      <c r="X338" s="6">
        <v>40101010</v>
      </c>
      <c r="Y338" s="7" t="s">
        <v>43</v>
      </c>
      <c r="Z338" s="7" t="s">
        <v>67</v>
      </c>
      <c r="AA338" s="7" t="s">
        <v>68</v>
      </c>
      <c r="AB338" s="6">
        <v>54.602153778076172</v>
      </c>
      <c r="AC338" s="6">
        <v>1.06234099442803</v>
      </c>
      <c r="AD338" s="6">
        <v>30.994885334649027</v>
      </c>
      <c r="AE338" s="6">
        <v>58232</v>
      </c>
      <c r="AF338" s="6">
        <v>51815</v>
      </c>
    </row>
    <row r="339" spans="1:32" s="4" customFormat="1" ht="12.75" x14ac:dyDescent="0.2">
      <c r="A339" s="7" t="s">
        <v>1165</v>
      </c>
      <c r="B339" s="7" t="s">
        <v>1166</v>
      </c>
      <c r="C339" s="7" t="s">
        <v>1167</v>
      </c>
      <c r="D339" s="6">
        <v>0.49067685008049006</v>
      </c>
      <c r="E339" s="6">
        <v>-1.023235440254211</v>
      </c>
      <c r="F339" s="6">
        <v>-0.36124774813652005</v>
      </c>
      <c r="G339" s="6">
        <v>-0.58031588792800903</v>
      </c>
      <c r="H339" s="6">
        <v>1.2995932102203369</v>
      </c>
      <c r="I339" s="6">
        <v>0.81362026929855302</v>
      </c>
      <c r="J339" s="6">
        <v>0.45251893997192405</v>
      </c>
      <c r="K339" s="6">
        <v>-1.2332032918930049</v>
      </c>
      <c r="L339" s="6">
        <v>1.9715167284011841</v>
      </c>
      <c r="M339" s="6">
        <v>-0.73849469423294101</v>
      </c>
      <c r="N339" s="6">
        <v>0.8706908273958871</v>
      </c>
      <c r="O339" s="6">
        <v>2.128369207578225</v>
      </c>
      <c r="P339" s="6">
        <v>0.9160656731313831</v>
      </c>
      <c r="Q339" s="6">
        <v>0.85637999026574607</v>
      </c>
      <c r="R339" s="6">
        <v>7.1411939800688256</v>
      </c>
      <c r="S339" s="6">
        <v>7.098059278890017</v>
      </c>
      <c r="T339" s="6">
        <v>13.235736846923828</v>
      </c>
      <c r="U339" s="6" t="str">
        <f>_xll.BDP($A339,"TRAILING_12M_R&amp;D_%_SALES",$A$1,$A$2)</f>
        <v>#N/A N/A</v>
      </c>
      <c r="V339" s="6">
        <v>40</v>
      </c>
      <c r="W339" s="6">
        <v>401010</v>
      </c>
      <c r="X339" s="6">
        <v>40101010</v>
      </c>
      <c r="Y339" s="7" t="s">
        <v>43</v>
      </c>
      <c r="Z339" s="7" t="s">
        <v>67</v>
      </c>
      <c r="AA339" s="7" t="s">
        <v>68</v>
      </c>
      <c r="AB339" s="6">
        <v>54.602153778076172</v>
      </c>
      <c r="AC339" s="6">
        <v>0.58757996720112204</v>
      </c>
      <c r="AD339" s="6">
        <v>34.404084312835394</v>
      </c>
      <c r="AE339" s="6">
        <v>58232</v>
      </c>
      <c r="AF339" s="6">
        <v>51815</v>
      </c>
    </row>
    <row r="340" spans="1:32" s="4" customFormat="1" ht="12.75" x14ac:dyDescent="0.2">
      <c r="A340" s="7" t="s">
        <v>1168</v>
      </c>
      <c r="B340" s="7" t="s">
        <v>1169</v>
      </c>
      <c r="C340" s="7" t="s">
        <v>1170</v>
      </c>
      <c r="D340" s="6">
        <v>0.39216795563697804</v>
      </c>
      <c r="E340" s="6">
        <v>-1.254509806632996</v>
      </c>
      <c r="F340" s="6">
        <v>-0.38130396604538003</v>
      </c>
      <c r="G340" s="6">
        <v>0.58305156230926503</v>
      </c>
      <c r="H340" s="6">
        <v>-4.8720557242632002E-2</v>
      </c>
      <c r="I340" s="6">
        <v>0.24284143745899203</v>
      </c>
      <c r="J340" s="6">
        <v>-0.11745813488960301</v>
      </c>
      <c r="K340" s="6">
        <v>-0.38531440496444702</v>
      </c>
      <c r="L340" s="6">
        <v>-9.1855280101299008E-2</v>
      </c>
      <c r="M340" s="6">
        <v>0.19228787720203402</v>
      </c>
      <c r="N340" s="6">
        <v>3.9618657888059223</v>
      </c>
      <c r="O340" s="6">
        <v>3.4393558327287672</v>
      </c>
      <c r="P340" s="6">
        <v>2.0808147264545762</v>
      </c>
      <c r="Q340" s="6">
        <v>2.068326809722131</v>
      </c>
      <c r="R340" s="6"/>
      <c r="S340" s="6">
        <v>27.455115090963304</v>
      </c>
      <c r="T340" s="6">
        <v>-1.630159974098206</v>
      </c>
      <c r="U340" s="6">
        <f>_xll.BDP($A340,"TRAILING_12M_R&amp;D_%_SALES",$A$1,$A$2)</f>
        <v>31.159488521873413</v>
      </c>
      <c r="V340" s="6">
        <v>45</v>
      </c>
      <c r="W340" s="6">
        <v>453010</v>
      </c>
      <c r="X340" s="6">
        <v>45301020</v>
      </c>
      <c r="Y340" s="7" t="s">
        <v>56</v>
      </c>
      <c r="Z340" s="7" t="s">
        <v>130</v>
      </c>
      <c r="AA340" s="7" t="s">
        <v>131</v>
      </c>
      <c r="AB340" s="6">
        <v>73.976463317871094</v>
      </c>
      <c r="AC340" s="6">
        <v>1.271602072331157</v>
      </c>
      <c r="AD340" s="6">
        <v>96.274523725249807</v>
      </c>
      <c r="AE340" s="6">
        <v>131900</v>
      </c>
      <c r="AF340" s="6">
        <v>102700</v>
      </c>
    </row>
    <row r="341" spans="1:32" s="4" customFormat="1" ht="12.75" x14ac:dyDescent="0.2">
      <c r="A341" s="7" t="s">
        <v>1171</v>
      </c>
      <c r="B341" s="7" t="s">
        <v>1172</v>
      </c>
      <c r="C341" s="7" t="s">
        <v>1173</v>
      </c>
      <c r="D341" s="6">
        <v>-0.45033684372901905</v>
      </c>
      <c r="E341" s="6">
        <v>6.6241860389709001E-2</v>
      </c>
      <c r="F341" s="6">
        <v>-0.65109884738922108</v>
      </c>
      <c r="G341" s="6">
        <v>-0.19968630373477902</v>
      </c>
      <c r="H341" s="6">
        <v>-0.48693084716796903</v>
      </c>
      <c r="I341" s="6">
        <v>8.7997704744339003E-2</v>
      </c>
      <c r="J341" s="6">
        <v>-0.49303916096687306</v>
      </c>
      <c r="K341" s="6">
        <v>0.99793422222137507</v>
      </c>
      <c r="L341" s="6">
        <v>-0.40682569146156305</v>
      </c>
      <c r="M341" s="6">
        <v>0.26176697015762301</v>
      </c>
      <c r="N341" s="6">
        <v>11.891774519301341</v>
      </c>
      <c r="O341" s="6">
        <v>10.35807503357398</v>
      </c>
      <c r="P341" s="6">
        <v>10.303321007546455</v>
      </c>
      <c r="Q341" s="6">
        <v>8.2562701316849143</v>
      </c>
      <c r="R341" s="6">
        <v>67.96099734434793</v>
      </c>
      <c r="S341" s="6">
        <v>35.707923036648346</v>
      </c>
      <c r="T341" s="6">
        <v>15.638707160949707</v>
      </c>
      <c r="U341" s="6">
        <f>_xll.BDP($A341,"TRAILING_12M_R&amp;D_%_SALES",$A$1,$A$2)</f>
        <v>16.403564979320791</v>
      </c>
      <c r="V341" s="6">
        <v>45</v>
      </c>
      <c r="W341" s="6">
        <v>451030</v>
      </c>
      <c r="X341" s="6">
        <v>45103010</v>
      </c>
      <c r="Y341" s="7" t="s">
        <v>56</v>
      </c>
      <c r="Z341" s="7" t="s">
        <v>117</v>
      </c>
      <c r="AA341" s="7" t="s">
        <v>118</v>
      </c>
      <c r="AB341" s="6">
        <v>46.232772827148438</v>
      </c>
      <c r="AC341" s="6">
        <v>1.3593412314458031</v>
      </c>
      <c r="AD341" s="6">
        <v>61.062217201153103</v>
      </c>
      <c r="AE341" s="6">
        <v>18200</v>
      </c>
      <c r="AF341" s="6">
        <v>8200</v>
      </c>
    </row>
    <row r="342" spans="1:32" s="4" customFormat="1" ht="12.75" x14ac:dyDescent="0.2">
      <c r="A342" s="7" t="s">
        <v>1174</v>
      </c>
      <c r="B342" s="7" t="s">
        <v>1175</v>
      </c>
      <c r="C342" s="7" t="s">
        <v>1176</v>
      </c>
      <c r="D342" s="6">
        <v>-0.95646250247955311</v>
      </c>
      <c r="E342" s="6">
        <v>-0.16585025191307101</v>
      </c>
      <c r="F342" s="6">
        <v>1.103615522384644</v>
      </c>
      <c r="G342" s="6">
        <v>5.0000483170150002E-3</v>
      </c>
      <c r="H342" s="6">
        <v>-0.38273304700851402</v>
      </c>
      <c r="I342" s="6">
        <v>1.0781605243682859</v>
      </c>
      <c r="J342" s="6">
        <v>2.6643083095550542</v>
      </c>
      <c r="K342" s="6">
        <v>-0.61703401803970304</v>
      </c>
      <c r="L342" s="6">
        <v>0.95646780729293812</v>
      </c>
      <c r="M342" s="6">
        <v>-0.19239562749862701</v>
      </c>
      <c r="N342" s="6">
        <v>1.119044168517106</v>
      </c>
      <c r="O342" s="6">
        <v>1.1761116983299971</v>
      </c>
      <c r="P342" s="6">
        <v>0.56818824603627205</v>
      </c>
      <c r="Q342" s="6">
        <v>0.58428813912939503</v>
      </c>
      <c r="R342" s="6">
        <v>5.5425241333308257</v>
      </c>
      <c r="S342" s="6">
        <v>6.7062790507458061</v>
      </c>
      <c r="T342" s="6">
        <v>11.349021911621094</v>
      </c>
      <c r="U342" s="6" t="str">
        <f>_xll.BDP($A342,"TRAILING_12M_R&amp;D_%_SALES",$A$1,$A$2)</f>
        <v>#N/A N/A</v>
      </c>
      <c r="V342" s="6">
        <v>10</v>
      </c>
      <c r="W342" s="6">
        <v>101020</v>
      </c>
      <c r="X342" s="6">
        <v>10102020</v>
      </c>
      <c r="Y342" s="7" t="s">
        <v>387</v>
      </c>
      <c r="Z342" s="7" t="s">
        <v>516</v>
      </c>
      <c r="AA342" s="7" t="s">
        <v>603</v>
      </c>
      <c r="AB342" s="6">
        <v>63.3236083984375</v>
      </c>
      <c r="AC342" s="6">
        <v>0.21811843716847501</v>
      </c>
      <c r="AD342" s="6">
        <v>31.106055768998964</v>
      </c>
      <c r="AE342" s="6">
        <v>3189</v>
      </c>
      <c r="AF342" s="6">
        <v>3449</v>
      </c>
    </row>
    <row r="343" spans="1:32" s="4" customFormat="1" ht="12.75" x14ac:dyDescent="0.2">
      <c r="A343" s="7" t="s">
        <v>1177</v>
      </c>
      <c r="B343" s="7" t="s">
        <v>1178</v>
      </c>
      <c r="C343" s="7" t="s">
        <v>1179</v>
      </c>
      <c r="D343" s="6">
        <v>-0.95646250247955311</v>
      </c>
      <c r="E343" s="6">
        <v>-0.16585025191307101</v>
      </c>
      <c r="F343" s="6">
        <v>1.103615522384644</v>
      </c>
      <c r="G343" s="6">
        <v>5.0000483170150002E-3</v>
      </c>
      <c r="H343" s="6">
        <v>-0.38273304700851402</v>
      </c>
      <c r="I343" s="6">
        <v>1.0781605243682859</v>
      </c>
      <c r="J343" s="6">
        <v>2.6643083095550542</v>
      </c>
      <c r="K343" s="6">
        <v>-0.61703401803970304</v>
      </c>
      <c r="L343" s="6">
        <v>0.95646780729293812</v>
      </c>
      <c r="M343" s="6">
        <v>-0.19239562749862701</v>
      </c>
      <c r="N343" s="6">
        <v>1.119044168517106</v>
      </c>
      <c r="O343" s="6"/>
      <c r="P343" s="6">
        <v>0.56818824603627205</v>
      </c>
      <c r="Q343" s="6"/>
      <c r="R343" s="6">
        <v>5.5425241333308257</v>
      </c>
      <c r="S343" s="6"/>
      <c r="T343" s="6">
        <v>11.349021911621094</v>
      </c>
      <c r="U343" s="6" t="str">
        <f>_xll.BDP($A343,"TRAILING_12M_R&amp;D_%_SALES",$A$1,$A$2)</f>
        <v>#N/A N/A</v>
      </c>
      <c r="V343" s="6">
        <v>10</v>
      </c>
      <c r="W343" s="6">
        <v>101020</v>
      </c>
      <c r="X343" s="6">
        <v>10102020</v>
      </c>
      <c r="Y343" s="7" t="s">
        <v>387</v>
      </c>
      <c r="Z343" s="7" t="s">
        <v>516</v>
      </c>
      <c r="AA343" s="7" t="s">
        <v>603</v>
      </c>
      <c r="AB343" s="6">
        <v>63.3236083984375</v>
      </c>
      <c r="AC343" s="6">
        <v>0.70527957604397007</v>
      </c>
      <c r="AD343" s="6">
        <v>31.27069678225698</v>
      </c>
      <c r="AE343" s="6">
        <v>3189</v>
      </c>
      <c r="AF343" s="6">
        <v>3449</v>
      </c>
    </row>
    <row r="344" spans="1:32" s="4" customFormat="1" ht="12.75" x14ac:dyDescent="0.2">
      <c r="A344" s="7" t="s">
        <v>1180</v>
      </c>
      <c r="B344" s="7" t="s">
        <v>1181</v>
      </c>
      <c r="C344" s="7" t="s">
        <v>1182</v>
      </c>
      <c r="D344" s="6">
        <v>-0.93345350027084406</v>
      </c>
      <c r="E344" s="6">
        <v>0.65504217147827104</v>
      </c>
      <c r="F344" s="6">
        <v>0.33984470367431602</v>
      </c>
      <c r="G344" s="6">
        <v>-0.25253593921661405</v>
      </c>
      <c r="H344" s="6">
        <v>0.94984763860702504</v>
      </c>
      <c r="I344" s="6">
        <v>-0.55744141340255704</v>
      </c>
      <c r="J344" s="6">
        <v>-9.4224140048027011E-2</v>
      </c>
      <c r="K344" s="6">
        <v>-0.46629610657692006</v>
      </c>
      <c r="L344" s="6">
        <v>-0.72281217575073209</v>
      </c>
      <c r="M344" s="6">
        <v>-0.55393695831298806</v>
      </c>
      <c r="N344" s="6">
        <v>2.876660227623927</v>
      </c>
      <c r="O344" s="6">
        <v>2.70568741331723</v>
      </c>
      <c r="P344" s="6">
        <v>7.2742204857708987</v>
      </c>
      <c r="Q344" s="6">
        <v>5.9904208383899684</v>
      </c>
      <c r="R344" s="6">
        <v>30.442678858150099</v>
      </c>
      <c r="S344" s="6">
        <v>20.890213111247881</v>
      </c>
      <c r="T344" s="6">
        <v>20.014347076416016</v>
      </c>
      <c r="U344" s="6" t="str">
        <f>_xll.BDP($A344,"TRAILING_12M_R&amp;D_%_SALES",$A$1,$A$2)</f>
        <v>#N/A N/A</v>
      </c>
      <c r="V344" s="6">
        <v>35</v>
      </c>
      <c r="W344" s="6">
        <v>352030</v>
      </c>
      <c r="X344" s="6">
        <v>35203010</v>
      </c>
      <c r="Y344" s="7" t="s">
        <v>72</v>
      </c>
      <c r="Z344" s="7" t="s">
        <v>752</v>
      </c>
      <c r="AA344" s="7" t="s">
        <v>752</v>
      </c>
      <c r="AB344" s="6">
        <v>49.361232757568359</v>
      </c>
      <c r="AC344" s="6">
        <v>1.153503535967157</v>
      </c>
      <c r="AD344" s="6">
        <v>11.342094991157969</v>
      </c>
      <c r="AE344" s="6">
        <v>86000</v>
      </c>
      <c r="AF344" s="6">
        <v>55000</v>
      </c>
    </row>
    <row r="345" spans="1:32" s="4" customFormat="1" ht="12.75" x14ac:dyDescent="0.2">
      <c r="A345" s="7" t="s">
        <v>1183</v>
      </c>
      <c r="B345" s="7" t="s">
        <v>1184</v>
      </c>
      <c r="C345" s="7" t="s">
        <v>1185</v>
      </c>
      <c r="D345" s="6">
        <v>0.38687300682067904</v>
      </c>
      <c r="E345" s="6">
        <v>-1.026147127151489</v>
      </c>
      <c r="F345" s="6">
        <v>-0.39891785383224504</v>
      </c>
      <c r="G345" s="6">
        <v>-0.27248123288154602</v>
      </c>
      <c r="H345" s="6">
        <v>1.163551926612854</v>
      </c>
      <c r="I345" s="6">
        <v>0.67368549108505205</v>
      </c>
      <c r="J345" s="6">
        <v>2.5295648574829102</v>
      </c>
      <c r="K345" s="6">
        <v>-1.1078077554702761</v>
      </c>
      <c r="L345" s="6">
        <v>2.7355449199676509</v>
      </c>
      <c r="M345" s="6">
        <v>-0.87658810615539606</v>
      </c>
      <c r="N345" s="6">
        <v>1.243135360530673</v>
      </c>
      <c r="O345" s="6"/>
      <c r="P345" s="6">
        <v>0.84734006285252494</v>
      </c>
      <c r="Q345" s="6"/>
      <c r="R345" s="6">
        <v>6.9147811861014032</v>
      </c>
      <c r="S345" s="6">
        <v>5.8070395486640267</v>
      </c>
      <c r="T345" s="6">
        <v>12.705865859985352</v>
      </c>
      <c r="U345" s="6" t="str">
        <f>_xll.BDP($A345,"TRAILING_12M_R&amp;D_%_SALES",$A$1,$A$2)</f>
        <v>#N/A N/A</v>
      </c>
      <c r="V345" s="6">
        <v>40</v>
      </c>
      <c r="W345" s="6">
        <v>401010</v>
      </c>
      <c r="X345" s="6">
        <v>40101010</v>
      </c>
      <c r="Y345" s="7" t="s">
        <v>43</v>
      </c>
      <c r="Z345" s="7" t="s">
        <v>67</v>
      </c>
      <c r="AA345" s="7" t="s">
        <v>68</v>
      </c>
      <c r="AB345" s="6">
        <v>74.268180847167969</v>
      </c>
      <c r="AC345" s="6">
        <v>0.96868277143187109</v>
      </c>
      <c r="AD345" s="6">
        <v>42.218965576436098</v>
      </c>
      <c r="AE345" s="6">
        <v>94509</v>
      </c>
      <c r="AF345" s="6">
        <v>96892</v>
      </c>
    </row>
    <row r="346" spans="1:32" s="4" customFormat="1" ht="12.75" x14ac:dyDescent="0.2">
      <c r="A346" s="7" t="s">
        <v>1186</v>
      </c>
      <c r="B346" s="7" t="s">
        <v>1187</v>
      </c>
      <c r="C346" s="7" t="s">
        <v>1188</v>
      </c>
      <c r="D346" s="6">
        <v>-0.93561697006225608</v>
      </c>
      <c r="E346" s="6">
        <v>-0.40648442506790206</v>
      </c>
      <c r="F346" s="6">
        <v>1.012652635574341</v>
      </c>
      <c r="G346" s="6">
        <v>-0.35849770903587302</v>
      </c>
      <c r="H346" s="6">
        <v>-1.381528496742249</v>
      </c>
      <c r="I346" s="6">
        <v>0.59353715181350708</v>
      </c>
      <c r="J346" s="6">
        <v>-0.62994754314422607</v>
      </c>
      <c r="K346" s="6">
        <v>9.2463202774525008E-2</v>
      </c>
      <c r="L346" s="6">
        <v>-0.72281217575073209</v>
      </c>
      <c r="M346" s="6">
        <v>-0.31545972824096702</v>
      </c>
      <c r="N346" s="6">
        <v>17.283508542484352</v>
      </c>
      <c r="O346" s="6">
        <v>14.732187686488421</v>
      </c>
      <c r="P346" s="6">
        <v>9.4705094753931061</v>
      </c>
      <c r="Q346" s="6">
        <v>7.6242988830061824</v>
      </c>
      <c r="R346" s="6">
        <v>78.913988644311019</v>
      </c>
      <c r="S346" s="6">
        <v>53.810998358658267</v>
      </c>
      <c r="T346" s="6">
        <v>12.610583305358887</v>
      </c>
      <c r="U346" s="6">
        <f>_xll.BDP($A346,"TRAILING_12M_R&amp;D_%_SALES",$A$1,$A$2)</f>
        <v>13.712718956909043</v>
      </c>
      <c r="V346" s="6">
        <v>35</v>
      </c>
      <c r="W346" s="6">
        <v>351010</v>
      </c>
      <c r="X346" s="6">
        <v>35101010</v>
      </c>
      <c r="Y346" s="7" t="s">
        <v>72</v>
      </c>
      <c r="Z346" s="7" t="s">
        <v>91</v>
      </c>
      <c r="AA346" s="7" t="s">
        <v>92</v>
      </c>
      <c r="AB346" s="6">
        <v>50.477817535400391</v>
      </c>
      <c r="AC346" s="6">
        <v>1.1407861451873291</v>
      </c>
      <c r="AD346" s="6">
        <v>25.979302657578529</v>
      </c>
      <c r="AE346" s="6">
        <v>12120</v>
      </c>
      <c r="AF346" s="6">
        <v>4444</v>
      </c>
    </row>
    <row r="347" spans="1:32" s="4" customFormat="1" ht="12.75" x14ac:dyDescent="0.2">
      <c r="A347" s="7" t="s">
        <v>1189</v>
      </c>
      <c r="B347" s="7" t="s">
        <v>1190</v>
      </c>
      <c r="C347" s="7" t="s">
        <v>1191</v>
      </c>
      <c r="D347" s="6">
        <v>-2.81469459878E-4</v>
      </c>
      <c r="E347" s="6">
        <v>-0.57802391052246105</v>
      </c>
      <c r="F347" s="6">
        <v>1.2766914367675781</v>
      </c>
      <c r="G347" s="6">
        <v>-0.93489623069763206</v>
      </c>
      <c r="H347" s="6">
        <v>0.23045635223388702</v>
      </c>
      <c r="I347" s="6">
        <v>1.017279744148254</v>
      </c>
      <c r="J347" s="6">
        <v>0.9488362669944761</v>
      </c>
      <c r="K347" s="6">
        <v>-1.2451038360595701</v>
      </c>
      <c r="L347" s="6">
        <v>0.70523697137832608</v>
      </c>
      <c r="M347" s="6">
        <v>-0.84583151340484608</v>
      </c>
      <c r="N347" s="6">
        <v>0.61275557950377202</v>
      </c>
      <c r="O347" s="6">
        <v>0.63034938386520301</v>
      </c>
      <c r="P347" s="6">
        <v>1.607120699284609</v>
      </c>
      <c r="Q347" s="6">
        <v>1.4232741153552939</v>
      </c>
      <c r="R347" s="6">
        <v>11.515115042651608</v>
      </c>
      <c r="S347" s="6">
        <v>9.782548037246956</v>
      </c>
      <c r="T347" s="6">
        <v>14.493398666381836</v>
      </c>
      <c r="U347" s="6">
        <f>_xll.BDP($A347,"TRAILING_12M_R&amp;D_%_SALES",$A$1,$A$2)</f>
        <v>0</v>
      </c>
      <c r="V347" s="6">
        <v>20</v>
      </c>
      <c r="W347" s="6">
        <v>201070</v>
      </c>
      <c r="X347" s="6">
        <v>20107010</v>
      </c>
      <c r="Y347" s="7" t="s">
        <v>38</v>
      </c>
      <c r="Z347" s="7" t="s">
        <v>39</v>
      </c>
      <c r="AA347" s="7" t="s">
        <v>39</v>
      </c>
      <c r="AB347" s="6">
        <v>54.521678924560547</v>
      </c>
      <c r="AC347" s="6">
        <v>0.56622547551361102</v>
      </c>
      <c r="AD347" s="6">
        <v>33.83771734020744</v>
      </c>
      <c r="AE347" s="6">
        <v>110698</v>
      </c>
      <c r="AF347" s="6">
        <v>102086</v>
      </c>
    </row>
    <row r="348" spans="1:32" s="4" customFormat="1" ht="12.75" x14ac:dyDescent="0.2">
      <c r="A348" s="7" t="s">
        <v>1192</v>
      </c>
      <c r="B348" s="7" t="s">
        <v>1193</v>
      </c>
      <c r="C348" s="7" t="s">
        <v>1194</v>
      </c>
      <c r="D348" s="6">
        <v>-2.81469459878E-4</v>
      </c>
      <c r="E348" s="6">
        <v>-0.57802391052246105</v>
      </c>
      <c r="F348" s="6">
        <v>1.2766914367675781</v>
      </c>
      <c r="G348" s="6">
        <v>-0.93489623069763206</v>
      </c>
      <c r="H348" s="6">
        <v>0.23045635223388702</v>
      </c>
      <c r="I348" s="6">
        <v>1.017279744148254</v>
      </c>
      <c r="J348" s="6">
        <v>0.9488362669944761</v>
      </c>
      <c r="K348" s="6">
        <v>-1.2451038360595701</v>
      </c>
      <c r="L348" s="6">
        <v>0.70523697137832608</v>
      </c>
      <c r="M348" s="6">
        <v>-0.84583151340484608</v>
      </c>
      <c r="N348" s="6">
        <v>0.61275557950377202</v>
      </c>
      <c r="O348" s="6"/>
      <c r="P348" s="6">
        <v>1.607120699284609</v>
      </c>
      <c r="Q348" s="6"/>
      <c r="R348" s="6">
        <v>11.515115042651608</v>
      </c>
      <c r="S348" s="6"/>
      <c r="T348" s="6">
        <v>14.493398666381836</v>
      </c>
      <c r="U348" s="6">
        <f>_xll.BDP($A348,"TRAILING_12M_R&amp;D_%_SALES",$A$1,$A$2)</f>
        <v>0</v>
      </c>
      <c r="V348" s="6">
        <v>20</v>
      </c>
      <c r="W348" s="6">
        <v>201070</v>
      </c>
      <c r="X348" s="6">
        <v>20107010</v>
      </c>
      <c r="Y348" s="7" t="s">
        <v>38</v>
      </c>
      <c r="Z348" s="7" t="s">
        <v>39</v>
      </c>
      <c r="AA348" s="7" t="s">
        <v>39</v>
      </c>
      <c r="AB348" s="6">
        <v>54.521678924560547</v>
      </c>
      <c r="AC348" s="6">
        <v>0.77628216318842003</v>
      </c>
      <c r="AD348" s="6">
        <v>32.855661329894083</v>
      </c>
      <c r="AE348" s="6">
        <v>110698</v>
      </c>
      <c r="AF348" s="6">
        <v>102086</v>
      </c>
    </row>
    <row r="349" spans="1:32" s="4" customFormat="1" ht="12.75" x14ac:dyDescent="0.2">
      <c r="A349" s="7" t="s">
        <v>1195</v>
      </c>
      <c r="B349" s="7" t="s">
        <v>1196</v>
      </c>
      <c r="C349" s="7" t="s">
        <v>1197</v>
      </c>
      <c r="D349" s="6">
        <v>0.31528833508491505</v>
      </c>
      <c r="E349" s="6">
        <v>-0.85420632362365712</v>
      </c>
      <c r="F349" s="6">
        <v>-1.408825755119324</v>
      </c>
      <c r="G349" s="6">
        <v>-2.2332023829222003E-2</v>
      </c>
      <c r="H349" s="6">
        <v>0.74036461114883401</v>
      </c>
      <c r="I349" s="6">
        <v>-0.52619653940200806</v>
      </c>
      <c r="J349" s="6">
        <v>2.067867517471313</v>
      </c>
      <c r="K349" s="6">
        <v>-0.75584328174591109</v>
      </c>
      <c r="L349" s="6">
        <v>-0.72281217575073209</v>
      </c>
      <c r="M349" s="6">
        <v>-0.57733869552612305</v>
      </c>
      <c r="N349" s="6">
        <v>1.04584910236844</v>
      </c>
      <c r="O349" s="6">
        <v>1.8553290665941711</v>
      </c>
      <c r="P349" s="6">
        <v>1.8133908403218881</v>
      </c>
      <c r="Q349" s="6">
        <v>1.6627982089617932</v>
      </c>
      <c r="R349" s="6">
        <v>10.454578987149528</v>
      </c>
      <c r="S349" s="6">
        <v>8.431218147277832</v>
      </c>
      <c r="T349" s="6">
        <v>18.26915168762207</v>
      </c>
      <c r="U349" s="6" t="str">
        <f>_xll.BDP($A349,"TRAILING_12M_R&amp;D_%_SALES",$A$1,$A$2)</f>
        <v>#N/A N/A</v>
      </c>
      <c r="V349" s="6">
        <v>40</v>
      </c>
      <c r="W349" s="6">
        <v>401010</v>
      </c>
      <c r="X349" s="6">
        <v>40101010</v>
      </c>
      <c r="Y349" s="7" t="s">
        <v>43</v>
      </c>
      <c r="Z349" s="7" t="s">
        <v>67</v>
      </c>
      <c r="AA349" s="7" t="s">
        <v>68</v>
      </c>
      <c r="AB349" s="6">
        <v>59.209335327148438</v>
      </c>
      <c r="AC349" s="6">
        <v>0.87641009408857706</v>
      </c>
      <c r="AD349" s="6">
        <v>54.346358499323479</v>
      </c>
      <c r="AE349" s="6">
        <v>101094</v>
      </c>
      <c r="AF349" s="6">
        <v>99332</v>
      </c>
    </row>
    <row r="350" spans="1:32" s="4" customFormat="1" ht="12.75" x14ac:dyDescent="0.2">
      <c r="A350" s="7" t="s">
        <v>1198</v>
      </c>
      <c r="B350" s="7" t="s">
        <v>1199</v>
      </c>
      <c r="C350" s="7" t="s">
        <v>1200</v>
      </c>
      <c r="D350" s="6">
        <v>-0.83045250177383412</v>
      </c>
      <c r="E350" s="6">
        <v>1.482271194458008</v>
      </c>
      <c r="F350" s="6">
        <v>3.9670594036579E-2</v>
      </c>
      <c r="G350" s="6">
        <v>-0.663640797138214</v>
      </c>
      <c r="H350" s="6">
        <v>0.62045806646347001</v>
      </c>
      <c r="I350" s="6">
        <v>4.8045985400677005E-2</v>
      </c>
      <c r="J350" s="6">
        <v>-0.24718719720840501</v>
      </c>
      <c r="K350" s="6">
        <v>-0.75628316402435303</v>
      </c>
      <c r="L350" s="6">
        <v>0.37128502130508401</v>
      </c>
      <c r="M350" s="6">
        <v>-0.54922986030578602</v>
      </c>
      <c r="N350" s="6">
        <v>4.9511685360904307</v>
      </c>
      <c r="O350" s="6">
        <v>4.7802880824084202</v>
      </c>
      <c r="P350" s="6">
        <v>26.246336426576928</v>
      </c>
      <c r="Q350" s="6">
        <v>26.002104486873936</v>
      </c>
      <c r="R350" s="6">
        <v>25.837702953854301</v>
      </c>
      <c r="S350" s="6">
        <v>25.693742459016057</v>
      </c>
      <c r="T350" s="6">
        <v>104.62100982666016</v>
      </c>
      <c r="U350" s="6" t="str">
        <f>_xll.BDP($A350,"TRAILING_12M_R&amp;D_%_SALES",$A$1,$A$2)</f>
        <v>#N/A N/A</v>
      </c>
      <c r="V350" s="6">
        <v>20</v>
      </c>
      <c r="W350" s="6">
        <v>201060</v>
      </c>
      <c r="X350" s="6">
        <v>20106020</v>
      </c>
      <c r="Y350" s="7" t="s">
        <v>38</v>
      </c>
      <c r="Z350" s="7" t="s">
        <v>493</v>
      </c>
      <c r="AA350" s="7" t="s">
        <v>1201</v>
      </c>
      <c r="AB350" s="6">
        <v>63.534854888916016</v>
      </c>
      <c r="AC350" s="6">
        <v>1.005351545972063</v>
      </c>
      <c r="AD350" s="6">
        <v>20.637955632021242</v>
      </c>
      <c r="AE350" s="6">
        <v>46000</v>
      </c>
      <c r="AF350" s="6">
        <v>50000</v>
      </c>
    </row>
    <row r="351" spans="1:32" s="4" customFormat="1" ht="12.75" x14ac:dyDescent="0.2">
      <c r="A351" s="7" t="s">
        <v>1202</v>
      </c>
      <c r="B351" s="7" t="s">
        <v>1203</v>
      </c>
      <c r="C351" s="7" t="s">
        <v>1204</v>
      </c>
      <c r="D351" s="6">
        <v>-0.85536319017410312</v>
      </c>
      <c r="E351" s="6">
        <v>-0.165354549884796</v>
      </c>
      <c r="F351" s="6">
        <v>-0.11352847516536702</v>
      </c>
      <c r="G351" s="6">
        <v>-0.70237952470779408</v>
      </c>
      <c r="H351" s="6">
        <v>1.249764680862427</v>
      </c>
      <c r="I351" s="6">
        <v>0.49027264118194602</v>
      </c>
      <c r="J351" s="6">
        <v>1.2589701414108281</v>
      </c>
      <c r="K351" s="6">
        <v>-1.066036581993103</v>
      </c>
      <c r="L351" s="6">
        <v>0.92148280143737804</v>
      </c>
      <c r="M351" s="6">
        <v>-1.027857184410095</v>
      </c>
      <c r="N351" s="6">
        <v>2.8118375222019649</v>
      </c>
      <c r="O351" s="6"/>
      <c r="P351" s="6">
        <v>0.81987021920931702</v>
      </c>
      <c r="Q351" s="6"/>
      <c r="R351" s="6">
        <v>11.116226495658129</v>
      </c>
      <c r="S351" s="6"/>
      <c r="T351" s="6">
        <v>8.334752082824707</v>
      </c>
      <c r="U351" s="6" t="str">
        <f>_xll.BDP($A351,"TRAILING_12M_R&amp;D_%_SALES",$A$1,$A$2)</f>
        <v>#N/A N/A</v>
      </c>
      <c r="V351" s="6">
        <v>40</v>
      </c>
      <c r="W351" s="6">
        <v>402010</v>
      </c>
      <c r="X351" s="6">
        <v>40201020</v>
      </c>
      <c r="Y351" s="7" t="s">
        <v>43</v>
      </c>
      <c r="Z351" s="7" t="s">
        <v>255</v>
      </c>
      <c r="AA351" s="7" t="s">
        <v>256</v>
      </c>
      <c r="AB351" s="6">
        <v>38.446834564208984</v>
      </c>
      <c r="AC351" s="6">
        <v>0.71633203458257211</v>
      </c>
      <c r="AD351" s="6">
        <v>19.244871666857442</v>
      </c>
      <c r="AE351" s="6">
        <v>34737</v>
      </c>
      <c r="AF351" s="6">
        <v>31890</v>
      </c>
    </row>
    <row r="352" spans="1:32" s="4" customFormat="1" ht="12.75" x14ac:dyDescent="0.2">
      <c r="A352" s="7" t="s">
        <v>1205</v>
      </c>
      <c r="B352" s="7" t="s">
        <v>1206</v>
      </c>
      <c r="C352" s="7" t="s">
        <v>1207</v>
      </c>
      <c r="D352" s="6">
        <v>-0.61985224485397306</v>
      </c>
      <c r="E352" s="6">
        <v>-0.44860842823982205</v>
      </c>
      <c r="F352" s="6">
        <v>0.75283229351043701</v>
      </c>
      <c r="G352" s="6">
        <v>-0.75358146429061901</v>
      </c>
      <c r="H352" s="6">
        <v>-0.61642599105835005</v>
      </c>
      <c r="I352" s="6">
        <v>0.99281919002533003</v>
      </c>
      <c r="J352" s="6">
        <v>0.62692791223526001</v>
      </c>
      <c r="K352" s="6">
        <v>-1.208083033561707</v>
      </c>
      <c r="L352" s="6">
        <v>1.882330060005188</v>
      </c>
      <c r="M352" s="6">
        <v>-0.97744387388229403</v>
      </c>
      <c r="N352" s="6">
        <v>2.305530883180186</v>
      </c>
      <c r="O352" s="6">
        <v>2.5642990656424121</v>
      </c>
      <c r="P352" s="6">
        <v>1.6511516927713341</v>
      </c>
      <c r="Q352" s="6">
        <v>1.887644668000684</v>
      </c>
      <c r="R352" s="6">
        <v>13.453560531779498</v>
      </c>
      <c r="S352" s="6">
        <v>13.762252843061683</v>
      </c>
      <c r="T352" s="6">
        <v>12.477686882019043</v>
      </c>
      <c r="U352" s="6" t="str">
        <f>_xll.BDP($A352,"TRAILING_12M_R&amp;D_%_SALES",$A$1,$A$2)</f>
        <v>#N/A N/A</v>
      </c>
      <c r="V352" s="6">
        <v>30</v>
      </c>
      <c r="W352" s="6">
        <v>302030</v>
      </c>
      <c r="X352" s="6">
        <v>30203010</v>
      </c>
      <c r="Y352" s="7" t="s">
        <v>106</v>
      </c>
      <c r="Z352" s="7" t="s">
        <v>1208</v>
      </c>
      <c r="AA352" s="7" t="s">
        <v>1208</v>
      </c>
      <c r="AB352" s="6">
        <v>54.813400268554688</v>
      </c>
      <c r="AC352" s="6">
        <v>0.26888765413383103</v>
      </c>
      <c r="AD352" s="6">
        <v>36.914621456654849</v>
      </c>
      <c r="AE352" s="6">
        <v>52640</v>
      </c>
      <c r="AF352" s="6">
        <v>57963</v>
      </c>
    </row>
    <row r="353" spans="1:32" s="4" customFormat="1" ht="12.75" x14ac:dyDescent="0.2">
      <c r="A353" s="7" t="s">
        <v>1209</v>
      </c>
      <c r="B353" s="7" t="s">
        <v>1210</v>
      </c>
      <c r="C353" s="7" t="s">
        <v>1211</v>
      </c>
      <c r="D353" s="6">
        <v>-0.61985224485397306</v>
      </c>
      <c r="E353" s="6">
        <v>-0.44860842823982205</v>
      </c>
      <c r="F353" s="6">
        <v>0.75283229351043701</v>
      </c>
      <c r="G353" s="6">
        <v>-0.75358146429061901</v>
      </c>
      <c r="H353" s="6">
        <v>-0.61642599105835005</v>
      </c>
      <c r="I353" s="6">
        <v>0.99281919002533003</v>
      </c>
      <c r="J353" s="6">
        <v>0.62692791223526001</v>
      </c>
      <c r="K353" s="6">
        <v>-1.208083033561707</v>
      </c>
      <c r="L353" s="6">
        <v>1.882330060005188</v>
      </c>
      <c r="M353" s="6">
        <v>-0.97744387388229403</v>
      </c>
      <c r="N353" s="6">
        <v>2.305530883180186</v>
      </c>
      <c r="O353" s="6"/>
      <c r="P353" s="6">
        <v>1.6511516927713341</v>
      </c>
      <c r="Q353" s="6"/>
      <c r="R353" s="6">
        <v>13.453560531779498</v>
      </c>
      <c r="S353" s="6">
        <v>8.698583344707739</v>
      </c>
      <c r="T353" s="6">
        <v>12.477686882019043</v>
      </c>
      <c r="U353" s="6" t="str">
        <f>_xll.BDP($A353,"TRAILING_12M_R&amp;D_%_SALES",$A$1,$A$2)</f>
        <v>#N/A N/A</v>
      </c>
      <c r="V353" s="6">
        <v>30</v>
      </c>
      <c r="W353" s="6">
        <v>302030</v>
      </c>
      <c r="X353" s="6">
        <v>30203010</v>
      </c>
      <c r="Y353" s="7" t="s">
        <v>106</v>
      </c>
      <c r="Z353" s="7" t="s">
        <v>1208</v>
      </c>
      <c r="AA353" s="7" t="s">
        <v>1208</v>
      </c>
      <c r="AB353" s="6">
        <v>54.813400268554688</v>
      </c>
      <c r="AC353" s="6">
        <v>0.50927934517447104</v>
      </c>
      <c r="AD353" s="6">
        <v>35.19444458636589</v>
      </c>
      <c r="AE353" s="6">
        <v>52640</v>
      </c>
      <c r="AF353" s="6">
        <v>57963</v>
      </c>
    </row>
    <row r="354" spans="1:32" s="4" customFormat="1" ht="12.75" x14ac:dyDescent="0.2">
      <c r="A354" s="7" t="s">
        <v>1212</v>
      </c>
      <c r="B354" s="7" t="s">
        <v>1213</v>
      </c>
      <c r="C354" s="7" t="s">
        <v>1214</v>
      </c>
      <c r="D354" s="6">
        <v>-0.96058154106140103</v>
      </c>
      <c r="E354" s="6">
        <v>-1.033963203430176</v>
      </c>
      <c r="F354" s="6">
        <v>0.66165697574615501</v>
      </c>
      <c r="G354" s="6">
        <v>-0.49067410826683006</v>
      </c>
      <c r="H354" s="6">
        <v>1.7256680727005</v>
      </c>
      <c r="I354" s="6">
        <v>-1.7807227373123169</v>
      </c>
      <c r="J354" s="6">
        <v>1.5535590648651121</v>
      </c>
      <c r="K354" s="6">
        <v>1.0234361886978149</v>
      </c>
      <c r="L354" s="6">
        <v>3.0000102519989009</v>
      </c>
      <c r="M354" s="6">
        <v>0.32462573051452603</v>
      </c>
      <c r="N354" s="6">
        <v>0.153449695859739</v>
      </c>
      <c r="O354" s="6">
        <v>0.14890847309175001</v>
      </c>
      <c r="P354" s="6">
        <v>1.3164175538951961</v>
      </c>
      <c r="Q354" s="6">
        <v>1.1279414071159271</v>
      </c>
      <c r="R354" s="6">
        <v>46.069060056236175</v>
      </c>
      <c r="S354" s="6">
        <v>10.948132761115252</v>
      </c>
      <c r="T354" s="6">
        <v>2.796638965606689</v>
      </c>
      <c r="U354" s="6">
        <f>_xll.BDP($A354,"TRAILING_12M_R&amp;D_%_SALES",$A$1,$A$2)</f>
        <v>3.7612965190361859E-3</v>
      </c>
      <c r="V354" s="6">
        <v>30</v>
      </c>
      <c r="W354" s="6">
        <v>302020</v>
      </c>
      <c r="X354" s="6">
        <v>30202030</v>
      </c>
      <c r="Y354" s="7" t="s">
        <v>106</v>
      </c>
      <c r="Z354" s="7" t="s">
        <v>135</v>
      </c>
      <c r="AA354" s="7" t="s">
        <v>710</v>
      </c>
      <c r="AB354" s="6">
        <v>49.582538604736328</v>
      </c>
      <c r="AC354" s="6">
        <v>0.77019226992464906</v>
      </c>
      <c r="AD354" s="6">
        <v>25.827049642187696</v>
      </c>
      <c r="AE354" s="6">
        <v>260000</v>
      </c>
      <c r="AF354" s="6">
        <v>253000</v>
      </c>
    </row>
    <row r="355" spans="1:32" s="4" customFormat="1" ht="12.75" x14ac:dyDescent="0.2">
      <c r="A355" s="7" t="s">
        <v>1215</v>
      </c>
      <c r="B355" s="7" t="s">
        <v>1216</v>
      </c>
      <c r="C355" s="7" t="s">
        <v>1217</v>
      </c>
      <c r="D355" s="6">
        <v>-1.6570281237364003E-2</v>
      </c>
      <c r="E355" s="6">
        <v>-3.0002784729003911</v>
      </c>
      <c r="F355" s="6">
        <v>0.53208196163177501</v>
      </c>
      <c r="G355" s="6">
        <v>3.000283002853394</v>
      </c>
      <c r="H355" s="6">
        <v>0.9160296916961671</v>
      </c>
      <c r="I355" s="6">
        <v>-1.6057475805282591</v>
      </c>
      <c r="J355" s="6">
        <v>0.77606034278869607</v>
      </c>
      <c r="K355" s="6">
        <v>0.74053883552551303</v>
      </c>
      <c r="L355" s="6">
        <v>-0.75966894626617409</v>
      </c>
      <c r="M355" s="6">
        <v>3.000057697296143</v>
      </c>
      <c r="N355" s="6"/>
      <c r="O355" s="6"/>
      <c r="P355" s="6"/>
      <c r="Q355" s="6"/>
      <c r="R355" s="6"/>
      <c r="S355" s="6"/>
      <c r="T355" s="6"/>
      <c r="U355" s="6" t="str">
        <f>_xll.BDP($A355,"TRAILING_12M_R&amp;D_%_SALES",$A$1,$A$2)</f>
        <v>#N/A N/A</v>
      </c>
      <c r="V355" s="6"/>
      <c r="W355" s="6"/>
      <c r="X355" s="6"/>
      <c r="Y355" s="7" t="s">
        <v>918</v>
      </c>
      <c r="Z355" s="7" t="s">
        <v>918</v>
      </c>
      <c r="AA355" s="7" t="s">
        <v>918</v>
      </c>
      <c r="AB355" s="6"/>
      <c r="AC355" s="6">
        <v>-11.816660214680098</v>
      </c>
      <c r="AD355" s="6">
        <v>-98.999999977262632</v>
      </c>
      <c r="AE355" s="6"/>
      <c r="AF355" s="6"/>
    </row>
    <row r="356" spans="1:32" s="4" customFormat="1" ht="12.75" x14ac:dyDescent="0.2">
      <c r="A356" s="7" t="s">
        <v>1218</v>
      </c>
      <c r="B356" s="7" t="s">
        <v>1219</v>
      </c>
      <c r="C356" s="7" t="s">
        <v>1220</v>
      </c>
      <c r="D356" s="6">
        <v>-0.66515606641769409</v>
      </c>
      <c r="E356" s="6">
        <v>-0.51170933246612504</v>
      </c>
      <c r="F356" s="6">
        <v>3.0597716569901002E-2</v>
      </c>
      <c r="G356" s="6">
        <v>-0.216587290167809</v>
      </c>
      <c r="H356" s="6">
        <v>2.9607575852420003E-3</v>
      </c>
      <c r="I356" s="6">
        <v>-0.44139790534973106</v>
      </c>
      <c r="J356" s="6">
        <v>0.23130320012569403</v>
      </c>
      <c r="K356" s="6">
        <v>-1.1526643037796021</v>
      </c>
      <c r="L356" s="6">
        <v>0.56369143724441506</v>
      </c>
      <c r="M356" s="6">
        <v>-0.53435146808624301</v>
      </c>
      <c r="N356" s="6">
        <v>1.4736603467344032</v>
      </c>
      <c r="O356" s="6">
        <v>1.377674134125433</v>
      </c>
      <c r="P356" s="6">
        <v>2.370301882110033</v>
      </c>
      <c r="Q356" s="6">
        <v>2.1503181788807151</v>
      </c>
      <c r="R356" s="6">
        <v>14.081939862010669</v>
      </c>
      <c r="S356" s="6">
        <v>15.177179749288037</v>
      </c>
      <c r="T356" s="6">
        <v>11.269924163818359</v>
      </c>
      <c r="U356" s="6" t="str">
        <f>_xll.BDP($A356,"TRAILING_12M_R&amp;D_%_SALES",$A$1,$A$2)</f>
        <v>#N/A N/A</v>
      </c>
      <c r="V356" s="6">
        <v>20</v>
      </c>
      <c r="W356" s="6">
        <v>201020</v>
      </c>
      <c r="X356" s="6">
        <v>20102010</v>
      </c>
      <c r="Y356" s="7" t="s">
        <v>38</v>
      </c>
      <c r="Z356" s="7" t="s">
        <v>489</v>
      </c>
      <c r="AA356" s="7" t="s">
        <v>489</v>
      </c>
      <c r="AB356" s="6">
        <v>67.458000183105469</v>
      </c>
      <c r="AC356" s="6">
        <v>1.0535014439907811</v>
      </c>
      <c r="AD356" s="6">
        <v>-8.2600323342831512</v>
      </c>
      <c r="AE356" s="6">
        <v>100000</v>
      </c>
      <c r="AF356" s="6">
        <v>122000</v>
      </c>
    </row>
    <row r="357" spans="1:32" s="4" customFormat="1" ht="12.75" x14ac:dyDescent="0.2">
      <c r="A357" s="7" t="s">
        <v>1221</v>
      </c>
      <c r="B357" s="7" t="s">
        <v>1222</v>
      </c>
      <c r="C357" s="7" t="s">
        <v>1223</v>
      </c>
      <c r="D357" s="6">
        <v>-1.8521662801504E-2</v>
      </c>
      <c r="E357" s="6">
        <v>-0.95402443408966109</v>
      </c>
      <c r="F357" s="6">
        <v>2.7600688934326172</v>
      </c>
      <c r="G357" s="6">
        <v>7.3102898895741009E-2</v>
      </c>
      <c r="H357" s="6">
        <v>-0.75949871540069602</v>
      </c>
      <c r="I357" s="6">
        <v>-2.1942942142486572</v>
      </c>
      <c r="J357" s="6">
        <v>0.86275362968444802</v>
      </c>
      <c r="K357" s="6">
        <v>1.448962330818176</v>
      </c>
      <c r="L357" s="6">
        <v>0.23542444407939903</v>
      </c>
      <c r="M357" s="6">
        <v>0.62317317724227905</v>
      </c>
      <c r="N357" s="6">
        <v>0.29999388407413102</v>
      </c>
      <c r="O357" s="6">
        <v>0.27934038357538404</v>
      </c>
      <c r="P357" s="6">
        <v>1.4029453089334392</v>
      </c>
      <c r="Q357" s="6">
        <v>1.1951233279323701</v>
      </c>
      <c r="R357" s="6">
        <v>11.874716591332295</v>
      </c>
      <c r="S357" s="6">
        <v>9.0696904025107177</v>
      </c>
      <c r="T357" s="6">
        <v>10.767495155334473</v>
      </c>
      <c r="U357" s="6">
        <f>_xll.BDP($A357,"TRAILING_12M_R&amp;D_%_SALES",$A$1,$A$2)</f>
        <v>1.5196214364304819</v>
      </c>
      <c r="V357" s="6">
        <v>25</v>
      </c>
      <c r="W357" s="6">
        <v>255030</v>
      </c>
      <c r="X357" s="6">
        <v>25503030</v>
      </c>
      <c r="Y357" s="7" t="s">
        <v>85</v>
      </c>
      <c r="Z357" s="7" t="s">
        <v>227</v>
      </c>
      <c r="AA357" s="7" t="s">
        <v>227</v>
      </c>
      <c r="AB357" s="6">
        <v>53.133487701416016</v>
      </c>
      <c r="AC357" s="6">
        <v>1.340067370360301</v>
      </c>
      <c r="AD357" s="6">
        <v>-48.621007833774279</v>
      </c>
      <c r="AE357" s="6">
        <v>450679</v>
      </c>
      <c r="AF357" s="6">
        <v>157831</v>
      </c>
    </row>
    <row r="358" spans="1:32" s="4" customFormat="1" ht="12.75" x14ac:dyDescent="0.2">
      <c r="A358" s="7" t="s">
        <v>1224</v>
      </c>
      <c r="B358" s="7" t="s">
        <v>1225</v>
      </c>
      <c r="C358" s="7" t="s">
        <v>1226</v>
      </c>
      <c r="D358" s="6">
        <v>-1.8521662801504E-2</v>
      </c>
      <c r="E358" s="6">
        <v>-0.95402443408966109</v>
      </c>
      <c r="F358" s="6">
        <v>2.7600688934326172</v>
      </c>
      <c r="G358" s="6">
        <v>7.3102898895741009E-2</v>
      </c>
      <c r="H358" s="6">
        <v>-0.75949871540069602</v>
      </c>
      <c r="I358" s="6">
        <v>-2.1942942142486572</v>
      </c>
      <c r="J358" s="6">
        <v>0.86275362968444802</v>
      </c>
      <c r="K358" s="6">
        <v>1.448962330818176</v>
      </c>
      <c r="L358" s="6">
        <v>0.23542444407939903</v>
      </c>
      <c r="M358" s="6">
        <v>0.62317317724227905</v>
      </c>
      <c r="N358" s="6">
        <v>0.29999388407413102</v>
      </c>
      <c r="O358" s="6">
        <v>0.27853792746460004</v>
      </c>
      <c r="P358" s="6">
        <v>1.4029453089334392</v>
      </c>
      <c r="Q358" s="6">
        <v>1.1511005873230209</v>
      </c>
      <c r="R358" s="6">
        <v>11.874716591332295</v>
      </c>
      <c r="S358" s="6">
        <v>8.7355765817346569</v>
      </c>
      <c r="T358" s="6">
        <v>10.767495155334473</v>
      </c>
      <c r="U358" s="6">
        <f>_xll.BDP($A358,"TRAILING_12M_R&amp;D_%_SALES",$A$1,$A$2)</f>
        <v>1.5196214364304819</v>
      </c>
      <c r="V358" s="6">
        <v>25</v>
      </c>
      <c r="W358" s="6">
        <v>255030</v>
      </c>
      <c r="X358" s="6">
        <v>25503030</v>
      </c>
      <c r="Y358" s="7" t="s">
        <v>85</v>
      </c>
      <c r="Z358" s="7" t="s">
        <v>227</v>
      </c>
      <c r="AA358" s="7" t="s">
        <v>227</v>
      </c>
      <c r="AB358" s="6">
        <v>53.133487701416016</v>
      </c>
      <c r="AC358" s="6">
        <v>0.95475287234720108</v>
      </c>
      <c r="AD358" s="6">
        <v>-51.12585345015205</v>
      </c>
      <c r="AE358" s="6">
        <v>450679</v>
      </c>
      <c r="AF358" s="6">
        <v>157831</v>
      </c>
    </row>
    <row r="359" spans="1:32" s="4" customFormat="1" ht="12.75" x14ac:dyDescent="0.2">
      <c r="A359" s="7" t="s">
        <v>1227</v>
      </c>
      <c r="B359" s="7" t="s">
        <v>1228</v>
      </c>
      <c r="C359" s="7" t="s">
        <v>1229</v>
      </c>
      <c r="D359" s="6">
        <v>0.84077942371368408</v>
      </c>
      <c r="E359" s="6">
        <v>-0.15409938991069802</v>
      </c>
      <c r="F359" s="6">
        <v>-0.41158610582351701</v>
      </c>
      <c r="G359" s="6">
        <v>-0.67062449455261208</v>
      </c>
      <c r="H359" s="6">
        <v>-0.46866360306739802</v>
      </c>
      <c r="I359" s="6">
        <v>-0.54550462961196899</v>
      </c>
      <c r="J359" s="6">
        <v>6.8886880762880007E-3</v>
      </c>
      <c r="K359" s="6">
        <v>-0.617320656776428</v>
      </c>
      <c r="L359" s="6">
        <v>0.66492623090744007</v>
      </c>
      <c r="M359" s="6">
        <v>-0.79444134235382102</v>
      </c>
      <c r="N359" s="6">
        <v>4.661487501078839</v>
      </c>
      <c r="O359" s="6">
        <v>4.2796522623371107</v>
      </c>
      <c r="P359" s="6">
        <v>5.297089681663083</v>
      </c>
      <c r="Q359" s="6">
        <v>4.5561305606236582</v>
      </c>
      <c r="R359" s="6">
        <v>18.918984434373385</v>
      </c>
      <c r="S359" s="6">
        <v>14.625498732634458</v>
      </c>
      <c r="T359" s="6">
        <v>47.486404418945313</v>
      </c>
      <c r="U359" s="6">
        <f>_xll.BDP($A359,"TRAILING_12M_R&amp;D_%_SALES",$A$1,$A$2)</f>
        <v>21.331667060717624</v>
      </c>
      <c r="V359" s="6">
        <v>35</v>
      </c>
      <c r="W359" s="6">
        <v>352020</v>
      </c>
      <c r="X359" s="6">
        <v>35202010</v>
      </c>
      <c r="Y359" s="7" t="s">
        <v>72</v>
      </c>
      <c r="Z359" s="7" t="s">
        <v>325</v>
      </c>
      <c r="AA359" s="7" t="s">
        <v>325</v>
      </c>
      <c r="AB359" s="6">
        <v>69.791770935058594</v>
      </c>
      <c r="AC359" s="6">
        <v>0.55720762362591003</v>
      </c>
      <c r="AD359" s="6">
        <v>-9.0720842773536425</v>
      </c>
      <c r="AE359" s="6">
        <v>152700</v>
      </c>
      <c r="AF359" s="6">
        <v>134000</v>
      </c>
    </row>
    <row r="360" spans="1:32" s="4" customFormat="1" ht="12.75" x14ac:dyDescent="0.2">
      <c r="A360" s="7" t="s">
        <v>1230</v>
      </c>
      <c r="B360" s="7" t="s">
        <v>1231</v>
      </c>
      <c r="C360" s="7" t="s">
        <v>1232</v>
      </c>
      <c r="D360" s="6">
        <v>0.58966660499572809</v>
      </c>
      <c r="E360" s="6">
        <v>-1.1869907379150391</v>
      </c>
      <c r="F360" s="6">
        <v>-0.72292071580886808</v>
      </c>
      <c r="G360" s="6">
        <v>-0.75191473960876509</v>
      </c>
      <c r="H360" s="6">
        <v>-1.188639163970947</v>
      </c>
      <c r="I360" s="6">
        <v>0.52373284101486206</v>
      </c>
      <c r="J360" s="6">
        <v>0.62245476245880105</v>
      </c>
      <c r="K360" s="6">
        <v>-1.4377549886703491</v>
      </c>
      <c r="L360" s="6">
        <v>1.178259491920471</v>
      </c>
      <c r="M360" s="6">
        <v>-0.9559023976325991</v>
      </c>
      <c r="N360" s="6">
        <v>0.38711377632291005</v>
      </c>
      <c r="O360" s="6">
        <v>0.40066856086807801</v>
      </c>
      <c r="P360" s="6">
        <v>0.42527405873020302</v>
      </c>
      <c r="Q360" s="6">
        <v>0.39648329604587201</v>
      </c>
      <c r="R360" s="6">
        <v>12.709512437252068</v>
      </c>
      <c r="S360" s="6">
        <v>13.053413482434935</v>
      </c>
      <c r="T360" s="6">
        <v>3.2688689231872559</v>
      </c>
      <c r="U360" s="6">
        <f>_xll.BDP($A360,"TRAILING_12M_R&amp;D_%_SALES",$A$1,$A$2)</f>
        <v>0</v>
      </c>
      <c r="V360" s="6">
        <v>40</v>
      </c>
      <c r="W360" s="6">
        <v>403010</v>
      </c>
      <c r="X360" s="6">
        <v>40301020</v>
      </c>
      <c r="Y360" s="7" t="s">
        <v>43</v>
      </c>
      <c r="Z360" s="7" t="s">
        <v>44</v>
      </c>
      <c r="AA360" s="7" t="s">
        <v>45</v>
      </c>
      <c r="AB360" s="6">
        <v>66.150283813476563</v>
      </c>
      <c r="AC360" s="6">
        <v>0.38630228523737203</v>
      </c>
      <c r="AD360" s="6">
        <v>23.602072886245473</v>
      </c>
      <c r="AE360" s="6">
        <v>227369</v>
      </c>
      <c r="AF360" s="6">
        <v>245863</v>
      </c>
    </row>
    <row r="361" spans="1:32" s="4" customFormat="1" ht="12.75" x14ac:dyDescent="0.2">
      <c r="A361" s="7" t="s">
        <v>1233</v>
      </c>
      <c r="B361" s="7" t="s">
        <v>1234</v>
      </c>
      <c r="C361" s="7" t="s">
        <v>1235</v>
      </c>
      <c r="D361" s="6">
        <v>1.8848879337310791</v>
      </c>
      <c r="E361" s="6">
        <v>-0.85738313198089611</v>
      </c>
      <c r="F361" s="6">
        <v>-0.75745862722396906</v>
      </c>
      <c r="G361" s="6">
        <v>-0.57835710048675504</v>
      </c>
      <c r="H361" s="6">
        <v>0.54461759328842207</v>
      </c>
      <c r="I361" s="6">
        <v>0.33334130048751803</v>
      </c>
      <c r="J361" s="6">
        <v>0.505623519420624</v>
      </c>
      <c r="K361" s="6">
        <v>-1.1101536750793459</v>
      </c>
      <c r="L361" s="6">
        <v>0.61541974544525102</v>
      </c>
      <c r="M361" s="6">
        <v>-0.87701082229614302</v>
      </c>
      <c r="N361" s="6">
        <v>2.2303673403689759</v>
      </c>
      <c r="O361" s="6">
        <v>3.0726197333799599</v>
      </c>
      <c r="P361" s="6">
        <v>1.6959189805324171</v>
      </c>
      <c r="Q361" s="6">
        <v>1.5030751378870422</v>
      </c>
      <c r="R361" s="6">
        <v>9.931673010449769</v>
      </c>
      <c r="S361" s="6">
        <v>10.963018399586563</v>
      </c>
      <c r="T361" s="6">
        <v>18.15546989440918</v>
      </c>
      <c r="U361" s="6" t="str">
        <f>_xll.BDP($A361,"TRAILING_12M_R&amp;D_%_SALES",$A$1,$A$2)</f>
        <v>#N/A N/A</v>
      </c>
      <c r="V361" s="6">
        <v>40</v>
      </c>
      <c r="W361" s="6">
        <v>401010</v>
      </c>
      <c r="X361" s="6">
        <v>40101010</v>
      </c>
      <c r="Y361" s="7" t="s">
        <v>43</v>
      </c>
      <c r="Z361" s="7" t="s">
        <v>67</v>
      </c>
      <c r="AA361" s="7" t="s">
        <v>68</v>
      </c>
      <c r="AB361" s="6">
        <v>54.783222198486328</v>
      </c>
      <c r="AC361" s="6">
        <v>0.92189458072300312</v>
      </c>
      <c r="AD361" s="6">
        <v>31.490237967961111</v>
      </c>
      <c r="AE361" s="6">
        <v>293723</v>
      </c>
      <c r="AF361" s="6">
        <v>252539</v>
      </c>
    </row>
    <row r="362" spans="1:32" s="4" customFormat="1" ht="12.75" x14ac:dyDescent="0.2">
      <c r="A362" s="7" t="s">
        <v>1236</v>
      </c>
      <c r="B362" s="7" t="s">
        <v>1237</v>
      </c>
      <c r="C362" s="7" t="s">
        <v>1238</v>
      </c>
      <c r="D362" s="6">
        <v>0.58966660499572809</v>
      </c>
      <c r="E362" s="6">
        <v>-1.1869907379150391</v>
      </c>
      <c r="F362" s="6">
        <v>-0.72292071580886808</v>
      </c>
      <c r="G362" s="6">
        <v>-0.75191473960876509</v>
      </c>
      <c r="H362" s="6">
        <v>-1.188639163970947</v>
      </c>
      <c r="I362" s="6">
        <v>0.52373284101486206</v>
      </c>
      <c r="J362" s="6">
        <v>0.62245476245880105</v>
      </c>
      <c r="K362" s="6">
        <v>-1.4377549886703491</v>
      </c>
      <c r="L362" s="6">
        <v>1.178259491920471</v>
      </c>
      <c r="M362" s="6">
        <v>-0.9559023976325991</v>
      </c>
      <c r="N362" s="6">
        <v>0.38711377632291005</v>
      </c>
      <c r="O362" s="6"/>
      <c r="P362" s="6">
        <v>0.42527405873020302</v>
      </c>
      <c r="Q362" s="6"/>
      <c r="R362" s="6">
        <v>12.709512437252068</v>
      </c>
      <c r="S362" s="6"/>
      <c r="T362" s="6">
        <v>3.2688689231872559</v>
      </c>
      <c r="U362" s="6">
        <f>_xll.BDP($A362,"TRAILING_12M_R&amp;D_%_SALES",$A$1,$A$2)</f>
        <v>0</v>
      </c>
      <c r="V362" s="6">
        <v>40</v>
      </c>
      <c r="W362" s="6">
        <v>403010</v>
      </c>
      <c r="X362" s="6">
        <v>40301020</v>
      </c>
      <c r="Y362" s="7" t="s">
        <v>43</v>
      </c>
      <c r="Z362" s="7" t="s">
        <v>44</v>
      </c>
      <c r="AA362" s="7" t="s">
        <v>45</v>
      </c>
      <c r="AB362" s="6">
        <v>66.150283813476563</v>
      </c>
      <c r="AC362" s="6">
        <v>0.25637619536518702</v>
      </c>
      <c r="AD362" s="6">
        <v>13.371439371825478</v>
      </c>
      <c r="AE362" s="6">
        <v>227369</v>
      </c>
      <c r="AF362" s="6">
        <v>245863</v>
      </c>
    </row>
    <row r="363" spans="1:32" s="4" customFormat="1" ht="12.75" x14ac:dyDescent="0.2">
      <c r="A363" s="7" t="s">
        <v>1239</v>
      </c>
      <c r="B363" s="7" t="s">
        <v>1240</v>
      </c>
      <c r="C363" s="7" t="s">
        <v>1241</v>
      </c>
      <c r="D363" s="6">
        <v>0.16372132301330602</v>
      </c>
      <c r="E363" s="6">
        <v>-1.221398591995239</v>
      </c>
      <c r="F363" s="6">
        <v>-1.3406310081481929</v>
      </c>
      <c r="G363" s="6">
        <v>-0.97580623626709007</v>
      </c>
      <c r="H363" s="6">
        <v>-0.65416181087493908</v>
      </c>
      <c r="I363" s="6">
        <v>0.49766635894775402</v>
      </c>
      <c r="J363" s="6">
        <v>4.1106339544058006E-2</v>
      </c>
      <c r="K363" s="6">
        <v>-0.74164843559265103</v>
      </c>
      <c r="L363" s="6">
        <v>1.0629522800445561</v>
      </c>
      <c r="M363" s="6">
        <v>-1.0706667900085449</v>
      </c>
      <c r="N363" s="6">
        <v>2.5318520717805382</v>
      </c>
      <c r="O363" s="6"/>
      <c r="P363" s="6">
        <v>0.57540960785393702</v>
      </c>
      <c r="Q363" s="6"/>
      <c r="R363" s="6">
        <v>15.142408204183589</v>
      </c>
      <c r="S363" s="6"/>
      <c r="T363" s="6">
        <v>3.7760529518127441</v>
      </c>
      <c r="U363" s="6" t="str">
        <f>_xll.BDP($A363,"TRAILING_12M_R&amp;D_%_SALES",$A$1,$A$2)</f>
        <v>#N/A N/A</v>
      </c>
      <c r="V363" s="6">
        <v>40</v>
      </c>
      <c r="W363" s="6">
        <v>401010</v>
      </c>
      <c r="X363" s="6">
        <v>40101010</v>
      </c>
      <c r="Y363" s="7" t="s">
        <v>43</v>
      </c>
      <c r="Z363" s="7" t="s">
        <v>67</v>
      </c>
      <c r="AA363" s="7" t="s">
        <v>68</v>
      </c>
      <c r="AB363" s="6">
        <v>62.538978576660156</v>
      </c>
      <c r="AC363" s="6">
        <v>0.35958303223432703</v>
      </c>
      <c r="AD363" s="6">
        <v>51.085606530020122</v>
      </c>
      <c r="AE363" s="6">
        <v>14707</v>
      </c>
      <c r="AF363" s="6">
        <v>17635</v>
      </c>
    </row>
    <row r="364" spans="1:32" s="4" customFormat="1" ht="12.75" x14ac:dyDescent="0.2">
      <c r="A364" s="7" t="s">
        <v>1242</v>
      </c>
      <c r="B364" s="7" t="s">
        <v>1243</v>
      </c>
      <c r="C364" s="7" t="s">
        <v>1244</v>
      </c>
      <c r="D364" s="6">
        <v>0.16372132301330602</v>
      </c>
      <c r="E364" s="6">
        <v>-1.221398591995239</v>
      </c>
      <c r="F364" s="6">
        <v>-1.3406310081481929</v>
      </c>
      <c r="G364" s="6">
        <v>-0.97580623626709007</v>
      </c>
      <c r="H364" s="6">
        <v>-0.65416181087493908</v>
      </c>
      <c r="I364" s="6">
        <v>0.49766635894775402</v>
      </c>
      <c r="J364" s="6">
        <v>4.1106339544058006E-2</v>
      </c>
      <c r="K364" s="6">
        <v>-0.74164843559265103</v>
      </c>
      <c r="L364" s="6">
        <v>1.0629522800445561</v>
      </c>
      <c r="M364" s="6">
        <v>-1.0706667900085449</v>
      </c>
      <c r="N364" s="6">
        <v>2.5318520717805382</v>
      </c>
      <c r="O364" s="6">
        <v>5.3469090648157502</v>
      </c>
      <c r="P364" s="6">
        <v>0.57540960785393702</v>
      </c>
      <c r="Q364" s="6">
        <v>0.53202843239156405</v>
      </c>
      <c r="R364" s="6">
        <v>15.142408204183589</v>
      </c>
      <c r="S364" s="6">
        <v>14.639859630756776</v>
      </c>
      <c r="T364" s="6">
        <v>3.7760529518127441</v>
      </c>
      <c r="U364" s="6" t="str">
        <f>_xll.BDP($A364,"TRAILING_12M_R&amp;D_%_SALES",$A$1,$A$2)</f>
        <v>#N/A N/A</v>
      </c>
      <c r="V364" s="6">
        <v>40</v>
      </c>
      <c r="W364" s="6">
        <v>401010</v>
      </c>
      <c r="X364" s="6">
        <v>40101010</v>
      </c>
      <c r="Y364" s="7" t="s">
        <v>43</v>
      </c>
      <c r="Z364" s="7" t="s">
        <v>67</v>
      </c>
      <c r="AA364" s="7" t="s">
        <v>68</v>
      </c>
      <c r="AB364" s="6">
        <v>62.538978576660156</v>
      </c>
      <c r="AC364" s="6">
        <v>0.40349032181621802</v>
      </c>
      <c r="AD364" s="6">
        <v>41.81248236715016</v>
      </c>
      <c r="AE364" s="6">
        <v>14707</v>
      </c>
      <c r="AF364" s="6">
        <v>17635</v>
      </c>
    </row>
    <row r="365" spans="1:32" s="4" customFormat="1" ht="12.75" x14ac:dyDescent="0.2">
      <c r="A365" s="7" t="s">
        <v>1245</v>
      </c>
      <c r="B365" s="7" t="s">
        <v>1246</v>
      </c>
      <c r="C365" s="7" t="s">
        <v>1247</v>
      </c>
      <c r="D365" s="6">
        <v>-0.61544990539550803</v>
      </c>
      <c r="E365" s="6">
        <v>-1.287036657333374</v>
      </c>
      <c r="F365" s="6">
        <v>-0.48683193325996404</v>
      </c>
      <c r="G365" s="6">
        <v>-0.31837424635887102</v>
      </c>
      <c r="H365" s="6">
        <v>1.269602417945862</v>
      </c>
      <c r="I365" s="6">
        <v>0.33441317081451405</v>
      </c>
      <c r="J365" s="6">
        <v>1.1185591220855711</v>
      </c>
      <c r="K365" s="6">
        <v>-0.95037096738815308</v>
      </c>
      <c r="L365" s="6">
        <v>1.1910257339477539</v>
      </c>
      <c r="M365" s="6">
        <v>-0.18546602129936202</v>
      </c>
      <c r="N365" s="6">
        <v>0.11880143383704501</v>
      </c>
      <c r="O365" s="6">
        <v>0.11080119778941901</v>
      </c>
      <c r="P365" s="6">
        <v>0.54486524581618501</v>
      </c>
      <c r="Q365" s="6">
        <v>0.49676422056884106</v>
      </c>
      <c r="R365" s="6">
        <v>25.017861854209656</v>
      </c>
      <c r="S365" s="6">
        <v>6.799316002429685</v>
      </c>
      <c r="T365" s="6">
        <v>2.163067102432251</v>
      </c>
      <c r="U365" s="6" t="str">
        <f>_xll.BDP($A365,"TRAILING_12M_R&amp;D_%_SALES",$A$1,$A$2)</f>
        <v>#N/A N/A</v>
      </c>
      <c r="V365" s="6">
        <v>10</v>
      </c>
      <c r="W365" s="6">
        <v>101020</v>
      </c>
      <c r="X365" s="6">
        <v>10102030</v>
      </c>
      <c r="Y365" s="7" t="s">
        <v>387</v>
      </c>
      <c r="Z365" s="7" t="s">
        <v>516</v>
      </c>
      <c r="AA365" s="7" t="s">
        <v>1248</v>
      </c>
      <c r="AB365" s="6">
        <v>74.227943420410156</v>
      </c>
      <c r="AC365" s="6">
        <v>0.40554573364357804</v>
      </c>
      <c r="AD365" s="6">
        <v>17.974680692135593</v>
      </c>
      <c r="AE365" s="6">
        <v>44617</v>
      </c>
      <c r="AF365" s="6">
        <v>39784</v>
      </c>
    </row>
    <row r="366" spans="1:32" s="4" customFormat="1" ht="12.75" x14ac:dyDescent="0.2">
      <c r="A366" s="7" t="s">
        <v>1249</v>
      </c>
      <c r="B366" s="7" t="s">
        <v>1250</v>
      </c>
      <c r="C366" s="7" t="s">
        <v>1251</v>
      </c>
      <c r="D366" s="6">
        <v>-0.61544990539550803</v>
      </c>
      <c r="E366" s="6">
        <v>-1.287036657333374</v>
      </c>
      <c r="F366" s="6">
        <v>-0.48683193325996404</v>
      </c>
      <c r="G366" s="6">
        <v>-0.31837424635887102</v>
      </c>
      <c r="H366" s="6">
        <v>1.269602417945862</v>
      </c>
      <c r="I366" s="6">
        <v>0.33441317081451405</v>
      </c>
      <c r="J366" s="6">
        <v>1.1185591220855711</v>
      </c>
      <c r="K366" s="6">
        <v>-0.95037096738815308</v>
      </c>
      <c r="L366" s="6">
        <v>1.1910257339477539</v>
      </c>
      <c r="M366" s="6">
        <v>-0.18546602129936202</v>
      </c>
      <c r="N366" s="6">
        <v>0.11880143383704501</v>
      </c>
      <c r="O366" s="6"/>
      <c r="P366" s="6">
        <v>0.54486524581618501</v>
      </c>
      <c r="Q366" s="6"/>
      <c r="R366" s="6">
        <v>25.017861854209656</v>
      </c>
      <c r="S366" s="6"/>
      <c r="T366" s="6">
        <v>2.163067102432251</v>
      </c>
      <c r="U366" s="6" t="str">
        <f>_xll.BDP($A366,"TRAILING_12M_R&amp;D_%_SALES",$A$1,$A$2)</f>
        <v>#N/A N/A</v>
      </c>
      <c r="V366" s="6">
        <v>10</v>
      </c>
      <c r="W366" s="6">
        <v>101020</v>
      </c>
      <c r="X366" s="6">
        <v>10102030</v>
      </c>
      <c r="Y366" s="7" t="s">
        <v>387</v>
      </c>
      <c r="Z366" s="7" t="s">
        <v>516</v>
      </c>
      <c r="AA366" s="7" t="s">
        <v>1248</v>
      </c>
      <c r="AB366" s="6">
        <v>74.227943420410156</v>
      </c>
      <c r="AC366" s="6">
        <v>0.44656855214890606</v>
      </c>
      <c r="AD366" s="6">
        <v>23.0017016973068</v>
      </c>
      <c r="AE366" s="6">
        <v>44617</v>
      </c>
      <c r="AF366" s="6">
        <v>39784</v>
      </c>
    </row>
    <row r="367" spans="1:32" s="4" customFormat="1" ht="12.75" x14ac:dyDescent="0.2">
      <c r="A367" s="7" t="s">
        <v>1252</v>
      </c>
      <c r="B367" s="7" t="s">
        <v>1253</v>
      </c>
      <c r="C367" s="7" t="s">
        <v>1254</v>
      </c>
      <c r="D367" s="6">
        <v>-0.91059678792953502</v>
      </c>
      <c r="E367" s="6">
        <v>-0.9240060448646551</v>
      </c>
      <c r="F367" s="6">
        <v>1.1787288188934331</v>
      </c>
      <c r="G367" s="6">
        <v>-0.72682213783264205</v>
      </c>
      <c r="H367" s="6">
        <v>1.926856994628906</v>
      </c>
      <c r="I367" s="6">
        <v>1.513429999351501</v>
      </c>
      <c r="J367" s="6">
        <v>1.4361503124237061</v>
      </c>
      <c r="K367" s="6">
        <v>-1.571879982948303</v>
      </c>
      <c r="L367" s="6">
        <v>0.48788371682167103</v>
      </c>
      <c r="M367" s="6">
        <v>-0.84371751546859708</v>
      </c>
      <c r="N367" s="6">
        <v>0.39398483615231306</v>
      </c>
      <c r="O367" s="6">
        <v>0.40246327065110604</v>
      </c>
      <c r="P367" s="6">
        <v>0.75658238073685502</v>
      </c>
      <c r="Q367" s="6">
        <v>0.65955129701378301</v>
      </c>
      <c r="R367" s="6">
        <v>3.5921249610324661</v>
      </c>
      <c r="S367" s="6">
        <v>5.0686345636985992</v>
      </c>
      <c r="T367" s="6">
        <v>24.263404846191406</v>
      </c>
      <c r="U367" s="6" t="str">
        <f>_xll.BDP($A367,"TRAILING_12M_R&amp;D_%_SALES",$A$1,$A$2)</f>
        <v>#N/A N/A</v>
      </c>
      <c r="V367" s="6">
        <v>55</v>
      </c>
      <c r="W367" s="6">
        <v>551010</v>
      </c>
      <c r="X367" s="6">
        <v>55101010</v>
      </c>
      <c r="Y367" s="7" t="s">
        <v>154</v>
      </c>
      <c r="Z367" s="7" t="s">
        <v>155</v>
      </c>
      <c r="AA367" s="7" t="s">
        <v>155</v>
      </c>
      <c r="AB367" s="6">
        <v>65.687553405761719</v>
      </c>
      <c r="AC367" s="6">
        <v>0.45852371527466901</v>
      </c>
      <c r="AD367" s="6">
        <v>51.287661627474911</v>
      </c>
      <c r="AE367" s="6">
        <v>31628</v>
      </c>
      <c r="AF367" s="6">
        <v>32527</v>
      </c>
    </row>
    <row r="368" spans="1:32" s="4" customFormat="1" ht="12.75" x14ac:dyDescent="0.2">
      <c r="A368" s="7" t="s">
        <v>1255</v>
      </c>
      <c r="B368" s="7" t="s">
        <v>1256</v>
      </c>
      <c r="C368" s="7" t="s">
        <v>1257</v>
      </c>
      <c r="D368" s="6">
        <v>-0.91059678792953502</v>
      </c>
      <c r="E368" s="6">
        <v>-0.9240060448646551</v>
      </c>
      <c r="F368" s="6">
        <v>1.1787288188934331</v>
      </c>
      <c r="G368" s="6">
        <v>-0.72682213783264205</v>
      </c>
      <c r="H368" s="6">
        <v>1.926856994628906</v>
      </c>
      <c r="I368" s="6">
        <v>1.513429999351501</v>
      </c>
      <c r="J368" s="6">
        <v>1.4361503124237061</v>
      </c>
      <c r="K368" s="6">
        <v>-1.571879982948303</v>
      </c>
      <c r="L368" s="6">
        <v>0.48788371682167103</v>
      </c>
      <c r="M368" s="6">
        <v>-0.84371751546859708</v>
      </c>
      <c r="N368" s="6">
        <v>0.39398483615231306</v>
      </c>
      <c r="O368" s="6"/>
      <c r="P368" s="6">
        <v>0.75658238073685502</v>
      </c>
      <c r="Q368" s="6"/>
      <c r="R368" s="6">
        <v>3.5921249610324661</v>
      </c>
      <c r="S368" s="6"/>
      <c r="T368" s="6">
        <v>24.263404846191406</v>
      </c>
      <c r="U368" s="6" t="str">
        <f>_xll.BDP($A368,"TRAILING_12M_R&amp;D_%_SALES",$A$1,$A$2)</f>
        <v>#N/A N/A</v>
      </c>
      <c r="V368" s="6">
        <v>55</v>
      </c>
      <c r="W368" s="6">
        <v>551010</v>
      </c>
      <c r="X368" s="6">
        <v>55101010</v>
      </c>
      <c r="Y368" s="7" t="s">
        <v>154</v>
      </c>
      <c r="Z368" s="7" t="s">
        <v>155</v>
      </c>
      <c r="AA368" s="7" t="s">
        <v>155</v>
      </c>
      <c r="AB368" s="6">
        <v>65.687553405761719</v>
      </c>
      <c r="AC368" s="6">
        <v>0.60365081687177902</v>
      </c>
      <c r="AD368" s="6">
        <v>39.406679725170449</v>
      </c>
      <c r="AE368" s="6">
        <v>31628</v>
      </c>
      <c r="AF368" s="6">
        <v>32527</v>
      </c>
    </row>
    <row r="369" spans="1:32" s="4" customFormat="1" ht="12.75" x14ac:dyDescent="0.2">
      <c r="A369" s="7" t="s">
        <v>1258</v>
      </c>
      <c r="B369" s="7" t="s">
        <v>1259</v>
      </c>
      <c r="C369" s="7" t="s">
        <v>1260</v>
      </c>
      <c r="D369" s="6">
        <v>-0.15466699004173301</v>
      </c>
      <c r="E369" s="6">
        <v>-0.62614536285400402</v>
      </c>
      <c r="F369" s="6">
        <v>-0.5737890601158141</v>
      </c>
      <c r="G369" s="6">
        <v>-0.78007024526596103</v>
      </c>
      <c r="H369" s="6">
        <v>1.294548511505127</v>
      </c>
      <c r="I369" s="6">
        <v>0.13107146322727201</v>
      </c>
      <c r="J369" s="6">
        <v>2.7757477760314941</v>
      </c>
      <c r="K369" s="6">
        <v>-1.0643937587738039</v>
      </c>
      <c r="L369" s="6">
        <v>0.96813374757766713</v>
      </c>
      <c r="M369" s="6">
        <v>-0.91467714309692405</v>
      </c>
      <c r="N369" s="6">
        <v>0.44985611172189005</v>
      </c>
      <c r="O369" s="6"/>
      <c r="P369" s="6">
        <v>0.36363361392831001</v>
      </c>
      <c r="Q369" s="6"/>
      <c r="R369" s="6">
        <v>4.5758267783134574</v>
      </c>
      <c r="S369" s="6"/>
      <c r="T369" s="6">
        <v>8.253016471862793</v>
      </c>
      <c r="U369" s="6" t="str">
        <f>_xll.BDP($A369,"TRAILING_12M_R&amp;D_%_SALES",$A$1,$A$2)</f>
        <v>#N/A N/A</v>
      </c>
      <c r="V369" s="6">
        <v>40</v>
      </c>
      <c r="W369" s="6">
        <v>401010</v>
      </c>
      <c r="X369" s="6">
        <v>40101010</v>
      </c>
      <c r="Y369" s="7" t="s">
        <v>43</v>
      </c>
      <c r="Z369" s="7" t="s">
        <v>67</v>
      </c>
      <c r="AA369" s="7" t="s">
        <v>68</v>
      </c>
      <c r="AB369" s="6">
        <v>68.574592590332031</v>
      </c>
      <c r="AC369" s="6">
        <v>0.8809117096562421</v>
      </c>
      <c r="AD369" s="6">
        <v>9.4401364840955182</v>
      </c>
      <c r="AE369" s="6"/>
      <c r="AF369" s="6"/>
    </row>
    <row r="370" spans="1:32" s="4" customFormat="1" ht="12.75" x14ac:dyDescent="0.2">
      <c r="A370" s="7" t="s">
        <v>1261</v>
      </c>
      <c r="B370" s="7" t="s">
        <v>1262</v>
      </c>
      <c r="C370" s="7" t="s">
        <v>1263</v>
      </c>
      <c r="D370" s="6">
        <v>-0.15498021245002702</v>
      </c>
      <c r="E370" s="6">
        <v>-0.31119972467422502</v>
      </c>
      <c r="F370" s="6">
        <v>-0.38954454660415605</v>
      </c>
      <c r="G370" s="6">
        <v>-0.98869854211807306</v>
      </c>
      <c r="H370" s="6">
        <v>-0.69276630878448509</v>
      </c>
      <c r="I370" s="6">
        <v>-3.0989157035947002E-2</v>
      </c>
      <c r="J370" s="6">
        <v>0.76706081628799405</v>
      </c>
      <c r="K370" s="6">
        <v>-1.2523676156997681</v>
      </c>
      <c r="L370" s="6">
        <v>0.71071952581405606</v>
      </c>
      <c r="M370" s="6">
        <v>-0.6892676353454591</v>
      </c>
      <c r="N370" s="6">
        <v>1.694695198059277</v>
      </c>
      <c r="O370" s="6">
        <v>1.6662085372059372</v>
      </c>
      <c r="P370" s="6">
        <v>1.818155875523997</v>
      </c>
      <c r="Q370" s="6">
        <v>1.616036837049567</v>
      </c>
      <c r="R370" s="6">
        <v>13.984662438653038</v>
      </c>
      <c r="S370" s="6">
        <v>12.2236586200407</v>
      </c>
      <c r="T370" s="6">
        <v>13.511412620544434</v>
      </c>
      <c r="U370" s="6" t="str">
        <f>_xll.BDP($A370,"TRAILING_12M_R&amp;D_%_SALES",$A$1,$A$2)</f>
        <v>#N/A N/A</v>
      </c>
      <c r="V370" s="6">
        <v>50</v>
      </c>
      <c r="W370" s="6">
        <v>501020</v>
      </c>
      <c r="X370" s="6">
        <v>50102010</v>
      </c>
      <c r="Y370" s="7" t="s">
        <v>311</v>
      </c>
      <c r="Z370" s="7" t="s">
        <v>1264</v>
      </c>
      <c r="AA370" s="7" t="s">
        <v>1264</v>
      </c>
      <c r="AB370" s="6">
        <v>55.889751434326172</v>
      </c>
      <c r="AC370" s="6">
        <v>0.36710062072768002</v>
      </c>
      <c r="AD370" s="6">
        <v>5.2024809509864989</v>
      </c>
      <c r="AE370" s="6">
        <v>49659</v>
      </c>
      <c r="AF370" s="6">
        <v>38826</v>
      </c>
    </row>
    <row r="371" spans="1:32" s="4" customFormat="1" ht="12.75" x14ac:dyDescent="0.2">
      <c r="A371" s="7" t="s">
        <v>1265</v>
      </c>
      <c r="B371" s="7" t="s">
        <v>1266</v>
      </c>
      <c r="C371" s="7" t="s">
        <v>1267</v>
      </c>
      <c r="D371" s="6">
        <v>-0.15498021245002702</v>
      </c>
      <c r="E371" s="6">
        <v>-0.31119972467422502</v>
      </c>
      <c r="F371" s="6">
        <v>-0.38954454660415605</v>
      </c>
      <c r="G371" s="6">
        <v>-0.98869854211807306</v>
      </c>
      <c r="H371" s="6">
        <v>-0.69276630878448509</v>
      </c>
      <c r="I371" s="6">
        <v>-3.0989157035947002E-2</v>
      </c>
      <c r="J371" s="6">
        <v>0.76706081628799405</v>
      </c>
      <c r="K371" s="6">
        <v>-1.2523676156997681</v>
      </c>
      <c r="L371" s="6">
        <v>0.71071952581405606</v>
      </c>
      <c r="M371" s="6">
        <v>-0.6892676353454591</v>
      </c>
      <c r="N371" s="6">
        <v>1.694695198059277</v>
      </c>
      <c r="O371" s="6">
        <v>1.8348002206515781</v>
      </c>
      <c r="P371" s="6">
        <v>1.818155875523997</v>
      </c>
      <c r="Q371" s="6"/>
      <c r="R371" s="6">
        <v>13.984662438653038</v>
      </c>
      <c r="S371" s="6">
        <v>6.9397103877054231</v>
      </c>
      <c r="T371" s="6">
        <v>13.511412620544434</v>
      </c>
      <c r="U371" s="6" t="str">
        <f>_xll.BDP($A371,"TRAILING_12M_R&amp;D_%_SALES",$A$1,$A$2)</f>
        <v>#N/A N/A</v>
      </c>
      <c r="V371" s="6">
        <v>50</v>
      </c>
      <c r="W371" s="6">
        <v>501020</v>
      </c>
      <c r="X371" s="6">
        <v>50102010</v>
      </c>
      <c r="Y371" s="7" t="s">
        <v>311</v>
      </c>
      <c r="Z371" s="7" t="s">
        <v>1264</v>
      </c>
      <c r="AA371" s="7" t="s">
        <v>1264</v>
      </c>
      <c r="AB371" s="6">
        <v>55.889751434326172</v>
      </c>
      <c r="AC371" s="6">
        <v>0.50448088836161009</v>
      </c>
      <c r="AD371" s="6">
        <v>8.1002364645544667</v>
      </c>
      <c r="AE371" s="6">
        <v>49659</v>
      </c>
      <c r="AF371" s="6">
        <v>38826</v>
      </c>
    </row>
    <row r="372" spans="1:32" s="4" customFormat="1" ht="12.75" x14ac:dyDescent="0.2">
      <c r="A372" s="7" t="s">
        <v>1268</v>
      </c>
      <c r="B372" s="7" t="s">
        <v>1269</v>
      </c>
      <c r="C372" s="7" t="s">
        <v>1270</v>
      </c>
      <c r="D372" s="6">
        <v>-0.672318816184998</v>
      </c>
      <c r="E372" s="6">
        <v>0.48223909735679604</v>
      </c>
      <c r="F372" s="6">
        <v>-0.18338894844055201</v>
      </c>
      <c r="G372" s="6">
        <v>-0.23307940363884003</v>
      </c>
      <c r="H372" s="6">
        <v>4.9210995435715006E-2</v>
      </c>
      <c r="I372" s="6">
        <v>-0.88948315382003806</v>
      </c>
      <c r="J372" s="6">
        <v>4.9203321337700001E-2</v>
      </c>
      <c r="K372" s="6">
        <v>-0.8901953101158141</v>
      </c>
      <c r="L372" s="6">
        <v>0.50724720954895008</v>
      </c>
      <c r="M372" s="6">
        <v>-0.93297189474105813</v>
      </c>
      <c r="N372" s="6">
        <v>3.173367819177205</v>
      </c>
      <c r="O372" s="6">
        <v>2.9977904242758302</v>
      </c>
      <c r="P372" s="6">
        <v>1.8369377325907181</v>
      </c>
      <c r="Q372" s="6">
        <v>1.7391667423290311</v>
      </c>
      <c r="R372" s="6">
        <v>20.415791113375974</v>
      </c>
      <c r="S372" s="6">
        <v>17.404566908021408</v>
      </c>
      <c r="T372" s="6">
        <v>7.6923079490661621</v>
      </c>
      <c r="U372" s="6" t="str">
        <f>_xll.BDP($A372,"TRAILING_12M_R&amp;D_%_SALES",$A$1,$A$2)</f>
        <v>#N/A N/A</v>
      </c>
      <c r="V372" s="6">
        <v>30</v>
      </c>
      <c r="W372" s="6">
        <v>302010</v>
      </c>
      <c r="X372" s="6">
        <v>30201030</v>
      </c>
      <c r="Y372" s="7" t="s">
        <v>106</v>
      </c>
      <c r="Z372" s="7" t="s">
        <v>505</v>
      </c>
      <c r="AA372" s="7" t="s">
        <v>506</v>
      </c>
      <c r="AB372" s="6">
        <v>62.156726837158203</v>
      </c>
      <c r="AC372" s="6">
        <v>0.5449031085707321</v>
      </c>
      <c r="AD372" s="6">
        <v>-4.6873610421076739</v>
      </c>
      <c r="AE372" s="6">
        <v>28000</v>
      </c>
      <c r="AF372" s="6">
        <v>21000</v>
      </c>
    </row>
    <row r="373" spans="1:32" s="4" customFormat="1" ht="12.75" x14ac:dyDescent="0.2">
      <c r="A373" s="7" t="s">
        <v>1271</v>
      </c>
      <c r="B373" s="7" t="s">
        <v>1272</v>
      </c>
      <c r="C373" s="7" t="s">
        <v>1273</v>
      </c>
      <c r="D373" s="6">
        <v>-0.56609994173049905</v>
      </c>
      <c r="E373" s="6">
        <v>-2.5174307823181152</v>
      </c>
      <c r="F373" s="6">
        <v>-1.0903675556182859</v>
      </c>
      <c r="G373" s="6">
        <v>-0.93999624252319303</v>
      </c>
      <c r="H373" s="6">
        <v>2.1328492164611821</v>
      </c>
      <c r="I373" s="6">
        <v>-0.67655408382415805</v>
      </c>
      <c r="J373" s="6">
        <v>-1.9591391086578369</v>
      </c>
      <c r="K373" s="6">
        <v>-0.41704130172729503</v>
      </c>
      <c r="L373" s="6">
        <v>-0.72281217575073209</v>
      </c>
      <c r="M373" s="6">
        <v>-0.10655946284532501</v>
      </c>
      <c r="N373" s="6">
        <v>0.14244214921604101</v>
      </c>
      <c r="O373" s="6"/>
      <c r="P373" s="6">
        <v>0.34870564721675101</v>
      </c>
      <c r="Q373" s="6"/>
      <c r="R373" s="6"/>
      <c r="S373" s="6"/>
      <c r="T373" s="6">
        <v>-33.140548706054688</v>
      </c>
      <c r="U373" s="6">
        <f>_xll.BDP($A373,"TRAILING_12M_R&amp;D_%_SALES",$A$1,$A$2)</f>
        <v>1.0799469803813364</v>
      </c>
      <c r="V373" s="6">
        <v>55</v>
      </c>
      <c r="W373" s="6">
        <v>551010</v>
      </c>
      <c r="X373" s="6">
        <v>55101010</v>
      </c>
      <c r="Y373" s="7" t="s">
        <v>154</v>
      </c>
      <c r="Z373" s="7" t="s">
        <v>155</v>
      </c>
      <c r="AA373" s="7" t="s">
        <v>155</v>
      </c>
      <c r="AB373" s="6">
        <v>59.148979187011719</v>
      </c>
      <c r="AC373" s="6">
        <v>0.69190450961357308</v>
      </c>
      <c r="AD373" s="6">
        <v>-16.087966297327604</v>
      </c>
      <c r="AE373" s="6"/>
      <c r="AF373" s="6"/>
    </row>
    <row r="374" spans="1:32" s="4" customFormat="1" ht="12.75" x14ac:dyDescent="0.2">
      <c r="A374" s="7" t="s">
        <v>1274</v>
      </c>
      <c r="B374" s="7" t="s">
        <v>1275</v>
      </c>
      <c r="C374" s="7" t="s">
        <v>1276</v>
      </c>
      <c r="D374" s="6">
        <v>-0.91139048337936412</v>
      </c>
      <c r="E374" s="6">
        <v>-0.96040922403335605</v>
      </c>
      <c r="F374" s="6">
        <v>1.4380307197570801</v>
      </c>
      <c r="G374" s="6">
        <v>1.822081923484802</v>
      </c>
      <c r="H374" s="6">
        <v>1.333396434783936</v>
      </c>
      <c r="I374" s="6">
        <v>-1.421222448348999</v>
      </c>
      <c r="J374" s="6">
        <v>2.2532835006713872</v>
      </c>
      <c r="K374" s="6">
        <v>-0.85398638248443604</v>
      </c>
      <c r="L374" s="6">
        <v>2.9044325351715092</v>
      </c>
      <c r="M374" s="6">
        <v>-1.053401112556458</v>
      </c>
      <c r="N374" s="6">
        <v>1.320372640008951</v>
      </c>
      <c r="O374" s="6">
        <v>2.0381792496956739</v>
      </c>
      <c r="P374" s="6">
        <v>1.24177524545826</v>
      </c>
      <c r="Q374" s="6">
        <v>1.1216612374462591</v>
      </c>
      <c r="R374" s="6">
        <v>11.390845988668275</v>
      </c>
      <c r="S374" s="6">
        <v>10.867923849288514</v>
      </c>
      <c r="T374" s="6">
        <v>10.625519752502441</v>
      </c>
      <c r="U374" s="6" t="str">
        <f>_xll.BDP($A374,"TRAILING_12M_R&amp;D_%_SALES",$A$1,$A$2)</f>
        <v>#N/A N/A</v>
      </c>
      <c r="V374" s="6">
        <v>40</v>
      </c>
      <c r="W374" s="6">
        <v>401010</v>
      </c>
      <c r="X374" s="6">
        <v>40101010</v>
      </c>
      <c r="Y374" s="7" t="s">
        <v>43</v>
      </c>
      <c r="Z374" s="7" t="s">
        <v>67</v>
      </c>
      <c r="AA374" s="7" t="s">
        <v>68</v>
      </c>
      <c r="AB374" s="6">
        <v>53.032894134521484</v>
      </c>
      <c r="AC374" s="6">
        <v>1.7391955116089761</v>
      </c>
      <c r="AD374" s="6">
        <v>-11.597662915159479</v>
      </c>
      <c r="AE374" s="6">
        <v>17660</v>
      </c>
      <c r="AF374" s="6">
        <v>18379</v>
      </c>
    </row>
    <row r="375" spans="1:32" s="4" customFormat="1" ht="12.75" x14ac:dyDescent="0.2">
      <c r="A375" s="7" t="s">
        <v>1277</v>
      </c>
      <c r="B375" s="7" t="s">
        <v>1278</v>
      </c>
      <c r="C375" s="7" t="s">
        <v>1279</v>
      </c>
      <c r="D375" s="6">
        <v>-0.40208199620246904</v>
      </c>
      <c r="E375" s="6">
        <v>-0.51206326484680209</v>
      </c>
      <c r="F375" s="6">
        <v>-0.45533913373947105</v>
      </c>
      <c r="G375" s="6">
        <v>-0.17009352147579201</v>
      </c>
      <c r="H375" s="6">
        <v>2.3426208645100001E-4</v>
      </c>
      <c r="I375" s="6">
        <v>-0.55660414695739702</v>
      </c>
      <c r="J375" s="6">
        <v>0.8111630678176881</v>
      </c>
      <c r="K375" s="6">
        <v>-0.92039674520492609</v>
      </c>
      <c r="L375" s="6">
        <v>1.457022428512573</v>
      </c>
      <c r="M375" s="6">
        <v>-0.59894514083862305</v>
      </c>
      <c r="N375" s="6">
        <v>1.6708723940569929</v>
      </c>
      <c r="O375" s="6">
        <v>1.679959742562364</v>
      </c>
      <c r="P375" s="6">
        <v>0.92007220424930303</v>
      </c>
      <c r="Q375" s="6">
        <v>0.88212071462252906</v>
      </c>
      <c r="R375" s="6">
        <v>12.302373482868763</v>
      </c>
      <c r="S375" s="6">
        <v>12.235835970994419</v>
      </c>
      <c r="T375" s="6">
        <v>6.1340122222900391</v>
      </c>
      <c r="U375" s="6" t="str">
        <f>_xll.BDP($A375,"TRAILING_12M_R&amp;D_%_SALES",$A$1,$A$2)</f>
        <v>#N/A N/A</v>
      </c>
      <c r="V375" s="6">
        <v>30</v>
      </c>
      <c r="W375" s="6">
        <v>302020</v>
      </c>
      <c r="X375" s="6">
        <v>30202030</v>
      </c>
      <c r="Y375" s="7" t="s">
        <v>106</v>
      </c>
      <c r="Z375" s="7" t="s">
        <v>135</v>
      </c>
      <c r="AA375" s="7" t="s">
        <v>710</v>
      </c>
      <c r="AB375" s="6">
        <v>60.718238830566406</v>
      </c>
      <c r="AC375" s="6">
        <v>0.59746884665788202</v>
      </c>
      <c r="AD375" s="6">
        <v>-4.9750990675407998</v>
      </c>
      <c r="AE375" s="6">
        <v>37000</v>
      </c>
      <c r="AF375" s="6">
        <v>39000</v>
      </c>
    </row>
    <row r="376" spans="1:32" s="4" customFormat="1" ht="12.75" x14ac:dyDescent="0.2">
      <c r="A376" s="7" t="s">
        <v>1280</v>
      </c>
      <c r="B376" s="7" t="s">
        <v>1281</v>
      </c>
      <c r="C376" s="7" t="s">
        <v>1282</v>
      </c>
      <c r="D376" s="6">
        <v>-0.65468901395797707</v>
      </c>
      <c r="E376" s="6">
        <v>1.08271336555481</v>
      </c>
      <c r="F376" s="6">
        <v>2.735514640808105</v>
      </c>
      <c r="G376" s="6">
        <v>0.49333330988884005</v>
      </c>
      <c r="H376" s="6">
        <v>0.181763306260109</v>
      </c>
      <c r="I376" s="6">
        <v>3.0000865459442139</v>
      </c>
      <c r="J376" s="6">
        <v>2.913216352462769</v>
      </c>
      <c r="K376" s="6">
        <v>1.3059202432632451</v>
      </c>
      <c r="L376" s="6">
        <v>-0.26568436622619601</v>
      </c>
      <c r="M376" s="6">
        <v>-0.21479079127311701</v>
      </c>
      <c r="N376" s="6">
        <v>0.31495889929227705</v>
      </c>
      <c r="O376" s="6"/>
      <c r="P376" s="6">
        <v>1.678651111620304</v>
      </c>
      <c r="Q376" s="6"/>
      <c r="R376" s="6">
        <v>3.5429546624261539</v>
      </c>
      <c r="S376" s="6"/>
      <c r="T376" s="6">
        <v>60.564903259277344</v>
      </c>
      <c r="U376" s="6">
        <f>_xll.BDP($A376,"TRAILING_12M_R&amp;D_%_SALES",$A$1,$A$2)</f>
        <v>0.29707835560270535</v>
      </c>
      <c r="V376" s="6">
        <v>20</v>
      </c>
      <c r="W376" s="6">
        <v>201050</v>
      </c>
      <c r="X376" s="6">
        <v>20105010</v>
      </c>
      <c r="Y376" s="7" t="s">
        <v>38</v>
      </c>
      <c r="Z376" s="7" t="s">
        <v>1098</v>
      </c>
      <c r="AA376" s="7" t="s">
        <v>1098</v>
      </c>
      <c r="AB376" s="6">
        <v>58.796901702880859</v>
      </c>
      <c r="AC376" s="6">
        <v>0.51829994406955904</v>
      </c>
      <c r="AD376" s="6">
        <v>20.306275143087426</v>
      </c>
      <c r="AE376" s="6">
        <v>114677</v>
      </c>
      <c r="AF376" s="6">
        <v>94111</v>
      </c>
    </row>
    <row r="377" spans="1:32" s="4" customFormat="1" ht="12.75" x14ac:dyDescent="0.2">
      <c r="A377" s="7" t="s">
        <v>1283</v>
      </c>
      <c r="B377" s="7" t="s">
        <v>1284</v>
      </c>
      <c r="C377" s="7" t="s">
        <v>1285</v>
      </c>
      <c r="D377" s="6">
        <v>-0.14378604292869601</v>
      </c>
      <c r="E377" s="6">
        <v>-0.81824767589569103</v>
      </c>
      <c r="F377" s="6">
        <v>-0.76163268089294411</v>
      </c>
      <c r="G377" s="6">
        <v>-0.57755786180496205</v>
      </c>
      <c r="H377" s="6">
        <v>1.2609773874282841</v>
      </c>
      <c r="I377" s="6">
        <v>0.31384369730949402</v>
      </c>
      <c r="J377" s="6">
        <v>-0.50988650321960405</v>
      </c>
      <c r="K377" s="6">
        <v>1.5221245288848881</v>
      </c>
      <c r="L377" s="6">
        <v>-0.22214677929878202</v>
      </c>
      <c r="M377" s="6">
        <v>-0.87230783700943004</v>
      </c>
      <c r="N377" s="6">
        <v>3.9479533492258172</v>
      </c>
      <c r="O377" s="6">
        <v>9.4924329411696089</v>
      </c>
      <c r="P377" s="6">
        <v>3.591174842134182</v>
      </c>
      <c r="Q377" s="6">
        <v>2.390287731976815</v>
      </c>
      <c r="R377" s="6">
        <v>27.035740865825407</v>
      </c>
      <c r="S377" s="6">
        <v>17.184839673214249</v>
      </c>
      <c r="T377" s="6">
        <v>14.823520660400391</v>
      </c>
      <c r="U377" s="6" t="str">
        <f>_xll.BDP($A377,"TRAILING_12M_R&amp;D_%_SALES",$A$1,$A$2)</f>
        <v>#N/A N/A</v>
      </c>
      <c r="V377" s="6">
        <v>40</v>
      </c>
      <c r="W377" s="6">
        <v>402030</v>
      </c>
      <c r="X377" s="6">
        <v>40203010</v>
      </c>
      <c r="Y377" s="7" t="s">
        <v>43</v>
      </c>
      <c r="Z377" s="7" t="s">
        <v>212</v>
      </c>
      <c r="AA377" s="7" t="s">
        <v>213</v>
      </c>
      <c r="AB377" s="6">
        <v>27.109949111938477</v>
      </c>
      <c r="AC377" s="6">
        <v>1.469776393185106</v>
      </c>
      <c r="AD377" s="6">
        <v>79.265098795992202</v>
      </c>
      <c r="AE377" s="6">
        <v>4150</v>
      </c>
      <c r="AF377" s="6">
        <v>1184</v>
      </c>
    </row>
    <row r="378" spans="1:32" s="4" customFormat="1" ht="12.75" x14ac:dyDescent="0.2">
      <c r="A378" s="7" t="s">
        <v>1286</v>
      </c>
      <c r="B378" s="7" t="s">
        <v>1287</v>
      </c>
      <c r="C378" s="7" t="s">
        <v>1288</v>
      </c>
      <c r="D378" s="6">
        <v>-0.99324214458465609</v>
      </c>
      <c r="E378" s="6">
        <v>1.7577638626098631</v>
      </c>
      <c r="F378" s="6">
        <v>0.33053761720657304</v>
      </c>
      <c r="G378" s="6">
        <v>0.35208261013031</v>
      </c>
      <c r="H378" s="6">
        <v>0.50030034780502308</v>
      </c>
      <c r="I378" s="6">
        <v>0.47666665911674505</v>
      </c>
      <c r="J378" s="6">
        <v>-0.14204244315624201</v>
      </c>
      <c r="K378" s="6">
        <v>0.91679424047470104</v>
      </c>
      <c r="L378" s="6">
        <v>-0.211433976888657</v>
      </c>
      <c r="M378" s="6">
        <v>1.3079932928085332</v>
      </c>
      <c r="N378" s="6">
        <v>7.9044801829339075</v>
      </c>
      <c r="O378" s="6">
        <v>7.7546411961830248</v>
      </c>
      <c r="P378" s="6">
        <v>26.432067273417946</v>
      </c>
      <c r="Q378" s="6">
        <v>23.615365219303637</v>
      </c>
      <c r="R378" s="6">
        <v>24.227415361107649</v>
      </c>
      <c r="S378" s="6">
        <v>23.199679514297813</v>
      </c>
      <c r="T378" s="6">
        <v>121.857177734375</v>
      </c>
      <c r="U378" s="6">
        <f>_xll.BDP($A378,"TRAILING_12M_R&amp;D_%_SALES",$A$1,$A$2)</f>
        <v>12.138436614066045</v>
      </c>
      <c r="V378" s="6">
        <v>45</v>
      </c>
      <c r="W378" s="6">
        <v>453010</v>
      </c>
      <c r="X378" s="6">
        <v>45301010</v>
      </c>
      <c r="Y378" s="7" t="s">
        <v>56</v>
      </c>
      <c r="Z378" s="7" t="s">
        <v>130</v>
      </c>
      <c r="AA378" s="7" t="s">
        <v>192</v>
      </c>
      <c r="AB378" s="6">
        <v>58.092746734619141</v>
      </c>
      <c r="AC378" s="6">
        <v>1.462009768152019</v>
      </c>
      <c r="AD378" s="6">
        <v>54.867196846725449</v>
      </c>
      <c r="AE378" s="6">
        <v>15000</v>
      </c>
      <c r="AF378" s="6">
        <v>5990</v>
      </c>
    </row>
    <row r="379" spans="1:32" s="4" customFormat="1" ht="12.75" x14ac:dyDescent="0.2">
      <c r="A379" s="7" t="s">
        <v>1289</v>
      </c>
      <c r="B379" s="7" t="s">
        <v>1290</v>
      </c>
      <c r="C379" s="7" t="s">
        <v>1291</v>
      </c>
      <c r="D379" s="6">
        <v>-0.92978262901306208</v>
      </c>
      <c r="E379" s="6">
        <v>0.67431145906448409</v>
      </c>
      <c r="F379" s="6">
        <v>-0.35462501645088201</v>
      </c>
      <c r="G379" s="6">
        <v>-0.38570037484169001</v>
      </c>
      <c r="H379" s="6">
        <v>1.0432542562484739</v>
      </c>
      <c r="I379" s="6">
        <v>-0.41886147856712302</v>
      </c>
      <c r="J379" s="6">
        <v>-7.9303063452244013E-2</v>
      </c>
      <c r="K379" s="6">
        <v>-0.99530202150344804</v>
      </c>
      <c r="L379" s="6">
        <v>1.045552015304565</v>
      </c>
      <c r="M379" s="6">
        <v>-0.47873148322105402</v>
      </c>
      <c r="N379" s="6">
        <v>2.010799746821851</v>
      </c>
      <c r="O379" s="6">
        <v>1.9918032713601761</v>
      </c>
      <c r="P379" s="6">
        <v>46.146496256442198</v>
      </c>
      <c r="Q379" s="6">
        <v>28.71606066834709</v>
      </c>
      <c r="R379" s="6">
        <v>14.952916654099544</v>
      </c>
      <c r="S379" s="6">
        <v>17.200231869908777</v>
      </c>
      <c r="T379" s="6">
        <v>265.56143188476563</v>
      </c>
      <c r="U379" s="6" t="str">
        <f>_xll.BDP($A379,"TRAILING_12M_R&amp;D_%_SALES",$A$1,$A$2)</f>
        <v>#N/A N/A</v>
      </c>
      <c r="V379" s="6">
        <v>30</v>
      </c>
      <c r="W379" s="6">
        <v>303010</v>
      </c>
      <c r="X379" s="6">
        <v>30301010</v>
      </c>
      <c r="Y379" s="7" t="s">
        <v>106</v>
      </c>
      <c r="Z379" s="7" t="s">
        <v>569</v>
      </c>
      <c r="AA379" s="7" t="s">
        <v>569</v>
      </c>
      <c r="AB379" s="6">
        <v>74.901924133300781</v>
      </c>
      <c r="AC379" s="6">
        <v>0.53718904258042699</v>
      </c>
      <c r="AD379" s="6">
        <v>-8.105681796020237</v>
      </c>
      <c r="AE379" s="6">
        <v>44000</v>
      </c>
      <c r="AF379" s="6">
        <v>42000</v>
      </c>
    </row>
    <row r="380" spans="1:32" s="4" customFormat="1" ht="12.75" x14ac:dyDescent="0.2">
      <c r="A380" s="7" t="s">
        <v>1292</v>
      </c>
      <c r="B380" s="7" t="s">
        <v>1293</v>
      </c>
      <c r="C380" s="7" t="s">
        <v>1294</v>
      </c>
      <c r="D380" s="6">
        <v>-0.62756669521331809</v>
      </c>
      <c r="E380" s="6">
        <v>-0.705402731895447</v>
      </c>
      <c r="F380" s="6">
        <v>-0.26810458302497903</v>
      </c>
      <c r="G380" s="6">
        <v>-9.5871560275555004E-2</v>
      </c>
      <c r="H380" s="6">
        <v>0.99863630533218406</v>
      </c>
      <c r="I380" s="6">
        <v>-0.68554872274398804</v>
      </c>
      <c r="J380" s="6">
        <v>0.71458381414413508</v>
      </c>
      <c r="K380" s="6">
        <v>-1.1573529243469241</v>
      </c>
      <c r="L380" s="6">
        <v>2.4733719825744629</v>
      </c>
      <c r="M380" s="6">
        <v>-0.91782897710800204</v>
      </c>
      <c r="N380" s="6">
        <v>2.4900169236968659</v>
      </c>
      <c r="O380" s="6">
        <v>2.4180254714283</v>
      </c>
      <c r="P380" s="6">
        <v>1.2987873459079959</v>
      </c>
      <c r="Q380" s="6">
        <v>1.2980131855472661</v>
      </c>
      <c r="R380" s="6">
        <v>16.130565377389996</v>
      </c>
      <c r="S380" s="6">
        <v>14.548453390936574</v>
      </c>
      <c r="T380" s="6">
        <v>8.0342216491699219</v>
      </c>
      <c r="U380" s="6" t="str">
        <f>_xll.BDP($A380,"TRAILING_12M_R&amp;D_%_SALES",$A$1,$A$2)</f>
        <v>#N/A N/A</v>
      </c>
      <c r="V380" s="6">
        <v>10</v>
      </c>
      <c r="W380" s="6">
        <v>101020</v>
      </c>
      <c r="X380" s="6">
        <v>10102040</v>
      </c>
      <c r="Y380" s="7" t="s">
        <v>387</v>
      </c>
      <c r="Z380" s="7" t="s">
        <v>516</v>
      </c>
      <c r="AA380" s="7" t="s">
        <v>849</v>
      </c>
      <c r="AB380" s="6">
        <v>76.380645751953125</v>
      </c>
      <c r="AC380" s="6">
        <v>0.77754840925509805</v>
      </c>
      <c r="AD380" s="6">
        <v>3.7086061376471191</v>
      </c>
      <c r="AE380" s="6">
        <v>10525</v>
      </c>
      <c r="AF380" s="6">
        <v>10897</v>
      </c>
    </row>
    <row r="381" spans="1:32" s="4" customFormat="1" ht="12.75" x14ac:dyDescent="0.2">
      <c r="A381" s="7" t="s">
        <v>1295</v>
      </c>
      <c r="B381" s="7" t="s">
        <v>1296</v>
      </c>
      <c r="C381" s="7" t="s">
        <v>1297</v>
      </c>
      <c r="D381" s="6">
        <v>-0.8295123577117921</v>
      </c>
      <c r="E381" s="6">
        <v>-0.58122372627258301</v>
      </c>
      <c r="F381" s="6">
        <v>0.76204991340637207</v>
      </c>
      <c r="G381" s="6">
        <v>-0.68879210948944103</v>
      </c>
      <c r="H381" s="6">
        <v>-0.31796604394912703</v>
      </c>
      <c r="I381" s="6">
        <v>1.175748825073242</v>
      </c>
      <c r="J381" s="6">
        <v>1.028407216072083</v>
      </c>
      <c r="K381" s="6">
        <v>-1.013353586196899</v>
      </c>
      <c r="L381" s="6">
        <v>0.95289587974548307</v>
      </c>
      <c r="M381" s="6">
        <v>-0.67990642786026001</v>
      </c>
      <c r="N381" s="6">
        <v>0.92976859569751003</v>
      </c>
      <c r="O381" s="6">
        <v>0.9623591801197241</v>
      </c>
      <c r="P381" s="6">
        <v>1.2176065378154051</v>
      </c>
      <c r="Q381" s="6">
        <v>1.1744380949934561</v>
      </c>
      <c r="R381" s="6">
        <v>9.4416425443211356</v>
      </c>
      <c r="S381" s="6">
        <v>9.3961237400475763</v>
      </c>
      <c r="T381" s="6">
        <v>13.562614440917969</v>
      </c>
      <c r="U381" s="6" t="str">
        <f>_xll.BDP($A381,"TRAILING_12M_R&amp;D_%_SALES",$A$1,$A$2)</f>
        <v>#N/A N/A</v>
      </c>
      <c r="V381" s="6">
        <v>20</v>
      </c>
      <c r="W381" s="6">
        <v>201060</v>
      </c>
      <c r="X381" s="6">
        <v>20106010</v>
      </c>
      <c r="Y381" s="7" t="s">
        <v>38</v>
      </c>
      <c r="Z381" s="7" t="s">
        <v>493</v>
      </c>
      <c r="AA381" s="7" t="s">
        <v>494</v>
      </c>
      <c r="AB381" s="6">
        <v>63.585151672363281</v>
      </c>
      <c r="AC381" s="6">
        <v>0.61916088100122402</v>
      </c>
      <c r="AD381" s="6">
        <v>25.010444245634034</v>
      </c>
      <c r="AE381" s="6">
        <v>64343</v>
      </c>
      <c r="AF381" s="6">
        <v>59632</v>
      </c>
    </row>
    <row r="382" spans="1:32" s="4" customFormat="1" ht="12.75" x14ac:dyDescent="0.2">
      <c r="A382" s="7" t="s">
        <v>1298</v>
      </c>
      <c r="B382" s="7" t="s">
        <v>1299</v>
      </c>
      <c r="C382" s="7" t="s">
        <v>1300</v>
      </c>
      <c r="D382" s="6">
        <v>-0.8295123577117921</v>
      </c>
      <c r="E382" s="6">
        <v>-0.58122372627258301</v>
      </c>
      <c r="F382" s="6">
        <v>0.76204991340637207</v>
      </c>
      <c r="G382" s="6">
        <v>-0.68879210948944103</v>
      </c>
      <c r="H382" s="6">
        <v>-0.31796604394912703</v>
      </c>
      <c r="I382" s="6">
        <v>1.175748825073242</v>
      </c>
      <c r="J382" s="6">
        <v>1.028407216072083</v>
      </c>
      <c r="K382" s="6">
        <v>-1.013353586196899</v>
      </c>
      <c r="L382" s="6">
        <v>0.95289587974548307</v>
      </c>
      <c r="M382" s="6">
        <v>-0.67990642786026001</v>
      </c>
      <c r="N382" s="6">
        <v>0.92976859569751003</v>
      </c>
      <c r="O382" s="6">
        <v>0.92740985310562907</v>
      </c>
      <c r="P382" s="6">
        <v>1.2176065378154051</v>
      </c>
      <c r="Q382" s="6"/>
      <c r="R382" s="6">
        <v>9.4416425443211356</v>
      </c>
      <c r="S382" s="6">
        <v>8.8743905248711794</v>
      </c>
      <c r="T382" s="6">
        <v>13.562614440917969</v>
      </c>
      <c r="U382" s="6" t="str">
        <f>_xll.BDP($A382,"TRAILING_12M_R&amp;D_%_SALES",$A$1,$A$2)</f>
        <v>#N/A N/A</v>
      </c>
      <c r="V382" s="6">
        <v>20</v>
      </c>
      <c r="W382" s="6">
        <v>201060</v>
      </c>
      <c r="X382" s="6">
        <v>20106010</v>
      </c>
      <c r="Y382" s="7" t="s">
        <v>38</v>
      </c>
      <c r="Z382" s="7" t="s">
        <v>493</v>
      </c>
      <c r="AA382" s="7" t="s">
        <v>494</v>
      </c>
      <c r="AB382" s="6">
        <v>63.585151672363281</v>
      </c>
      <c r="AC382" s="6">
        <v>0.78188824442537208</v>
      </c>
      <c r="AD382" s="6">
        <v>23.914196359500693</v>
      </c>
      <c r="AE382" s="6">
        <v>64343</v>
      </c>
      <c r="AF382" s="6">
        <v>59632</v>
      </c>
    </row>
    <row r="383" spans="1:32" s="4" customFormat="1" ht="12.75" x14ac:dyDescent="0.2">
      <c r="A383" s="7" t="s">
        <v>1301</v>
      </c>
      <c r="B383" s="7" t="s">
        <v>1302</v>
      </c>
      <c r="C383" s="7" t="s">
        <v>1303</v>
      </c>
      <c r="D383" s="6">
        <v>0.32347819209098805</v>
      </c>
      <c r="E383" s="6">
        <v>0.50111109018325806</v>
      </c>
      <c r="F383" s="6">
        <v>-0.19235718250274703</v>
      </c>
      <c r="G383" s="6">
        <v>-0.7233999967575071</v>
      </c>
      <c r="H383" s="6">
        <v>0.32704201340675404</v>
      </c>
      <c r="I383" s="6">
        <v>-0.62683212757110607</v>
      </c>
      <c r="J383" s="6">
        <v>-0.23008999228477503</v>
      </c>
      <c r="K383" s="6">
        <v>-0.76508623361587502</v>
      </c>
      <c r="L383" s="6">
        <v>0.79293328523635909</v>
      </c>
      <c r="M383" s="6">
        <v>-0.76221662759780906</v>
      </c>
      <c r="N383" s="6">
        <v>5.6603207588598083</v>
      </c>
      <c r="O383" s="6">
        <v>5.4284014251661254</v>
      </c>
      <c r="P383" s="6">
        <v>9.6795184221932562</v>
      </c>
      <c r="Q383" s="6">
        <v>8.650275274154243</v>
      </c>
      <c r="R383" s="6">
        <v>22.168111199245359</v>
      </c>
      <c r="S383" s="6">
        <v>21.054774538655991</v>
      </c>
      <c r="T383" s="6">
        <v>43.851009368896484</v>
      </c>
      <c r="U383" s="6">
        <f>_xll.BDP($A383,"TRAILING_12M_R&amp;D_%_SALES",$A$1,$A$2)</f>
        <v>0</v>
      </c>
      <c r="V383" s="6">
        <v>30</v>
      </c>
      <c r="W383" s="6">
        <v>302010</v>
      </c>
      <c r="X383" s="6">
        <v>30201030</v>
      </c>
      <c r="Y383" s="7" t="s">
        <v>106</v>
      </c>
      <c r="Z383" s="7" t="s">
        <v>505</v>
      </c>
      <c r="AA383" s="7" t="s">
        <v>506</v>
      </c>
      <c r="AB383" s="6">
        <v>60.255508422851563</v>
      </c>
      <c r="AC383" s="6">
        <v>0.57725370233932405</v>
      </c>
      <c r="AD383" s="6">
        <v>-4.971064983909268</v>
      </c>
      <c r="AE383" s="6">
        <v>82500</v>
      </c>
      <c r="AF383" s="6">
        <v>61800</v>
      </c>
    </row>
    <row r="384" spans="1:32" s="4" customFormat="1" ht="12.75" x14ac:dyDescent="0.2">
      <c r="A384" s="7" t="s">
        <v>1304</v>
      </c>
      <c r="B384" s="7" t="s">
        <v>1305</v>
      </c>
      <c r="C384" s="7" t="s">
        <v>1306</v>
      </c>
      <c r="D384" s="6">
        <v>-0.26591891050338701</v>
      </c>
      <c r="E384" s="6">
        <v>-0.94189280271530207</v>
      </c>
      <c r="F384" s="6">
        <v>-0.79653441905975308</v>
      </c>
      <c r="G384" s="6">
        <v>0.177187770605087</v>
      </c>
      <c r="H384" s="6">
        <v>0.85841894149780307</v>
      </c>
      <c r="I384" s="6">
        <v>-0.6854889988899231</v>
      </c>
      <c r="J384" s="6">
        <v>0.81454652547836304</v>
      </c>
      <c r="K384" s="6">
        <v>-0.49283033609390303</v>
      </c>
      <c r="L384" s="6">
        <v>0.44752711057663003</v>
      </c>
      <c r="M384" s="6">
        <v>-0.22656686604023002</v>
      </c>
      <c r="N384" s="6">
        <v>0.22195930017018201</v>
      </c>
      <c r="O384" s="6">
        <v>0.22050585461463601</v>
      </c>
      <c r="P384" s="6">
        <v>2.9361404385734389</v>
      </c>
      <c r="Q384" s="6">
        <v>2.4198953874289533</v>
      </c>
      <c r="R384" s="6">
        <v>10.413773385384919</v>
      </c>
      <c r="S384" s="6">
        <v>10.500903927432784</v>
      </c>
      <c r="T384" s="6">
        <v>17.74711799621582</v>
      </c>
      <c r="U384" s="6" t="str">
        <f>_xll.BDP($A384,"TRAILING_12M_R&amp;D_%_SALES",$A$1,$A$2)</f>
        <v>#N/A N/A</v>
      </c>
      <c r="V384" s="6">
        <v>30</v>
      </c>
      <c r="W384" s="6">
        <v>301010</v>
      </c>
      <c r="X384" s="6">
        <v>30101030</v>
      </c>
      <c r="Y384" s="7" t="s">
        <v>106</v>
      </c>
      <c r="Z384" s="7" t="s">
        <v>107</v>
      </c>
      <c r="AA384" s="7" t="s">
        <v>108</v>
      </c>
      <c r="AB384" s="6">
        <v>59.038326263427734</v>
      </c>
      <c r="AC384" s="6">
        <v>0.48931207197061105</v>
      </c>
      <c r="AD384" s="6">
        <v>4.8999893371917791</v>
      </c>
      <c r="AE384" s="6">
        <v>430000</v>
      </c>
      <c r="AF384" s="6">
        <v>449000</v>
      </c>
    </row>
    <row r="385" spans="1:32" s="4" customFormat="1" ht="12.75" x14ac:dyDescent="0.2">
      <c r="A385" s="7" t="s">
        <v>1307</v>
      </c>
      <c r="B385" s="7" t="s">
        <v>1308</v>
      </c>
      <c r="C385" s="7" t="s">
        <v>1309</v>
      </c>
      <c r="D385" s="6">
        <v>-0.89707082509994507</v>
      </c>
      <c r="E385" s="6">
        <v>5.2174493670464006E-2</v>
      </c>
      <c r="F385" s="6">
        <v>0.120565146207809</v>
      </c>
      <c r="G385" s="6">
        <v>-0.24048662185668901</v>
      </c>
      <c r="H385" s="6">
        <v>1.4884674921632E-2</v>
      </c>
      <c r="I385" s="6">
        <v>-0.37916949391365101</v>
      </c>
      <c r="J385" s="6">
        <v>0.11916914582252501</v>
      </c>
      <c r="K385" s="6">
        <v>-0.97224539518356312</v>
      </c>
      <c r="L385" s="6">
        <v>1.115629196166992</v>
      </c>
      <c r="M385" s="6">
        <v>-0.253427714109421</v>
      </c>
      <c r="N385" s="6"/>
      <c r="O385" s="6">
        <v>2.583679745663908</v>
      </c>
      <c r="P385" s="6">
        <v>3.784994828204947</v>
      </c>
      <c r="Q385" s="6">
        <v>3.6215307089938702</v>
      </c>
      <c r="R385" s="6"/>
      <c r="S385" s="6">
        <v>17.117462069791717</v>
      </c>
      <c r="T385" s="6">
        <v>10.355465888977051</v>
      </c>
      <c r="U385" s="6">
        <f>_xll.BDP($A385,"TRAILING_12M_R&amp;D_%_SALES",$A$1,$A$2)</f>
        <v>2.6399223552248463</v>
      </c>
      <c r="V385" s="6">
        <v>30</v>
      </c>
      <c r="W385" s="6">
        <v>303020</v>
      </c>
      <c r="X385" s="6">
        <v>30302010</v>
      </c>
      <c r="Y385" s="7" t="s">
        <v>106</v>
      </c>
      <c r="Z385" s="7" t="s">
        <v>834</v>
      </c>
      <c r="AA385" s="7" t="s">
        <v>834</v>
      </c>
      <c r="AB385" s="6"/>
      <c r="AC385" s="6">
        <v>0.68597617010345702</v>
      </c>
      <c r="AD385" s="6"/>
      <c r="AE385" s="6"/>
      <c r="AF385" s="6"/>
    </row>
    <row r="386" spans="1:32" s="4" customFormat="1" ht="12.75" x14ac:dyDescent="0.2">
      <c r="A386" s="7" t="s">
        <v>1310</v>
      </c>
      <c r="B386" s="7" t="s">
        <v>1311</v>
      </c>
      <c r="C386" s="7" t="s">
        <v>1312</v>
      </c>
      <c r="D386" s="6">
        <v>-0.93936276435852106</v>
      </c>
      <c r="E386" s="6">
        <v>-0.99385166168212913</v>
      </c>
      <c r="F386" s="6">
        <v>-0.18019038438797003</v>
      </c>
      <c r="G386" s="6">
        <v>-0.68139171600341808</v>
      </c>
      <c r="H386" s="6">
        <v>6.0031566768885006E-2</v>
      </c>
      <c r="I386" s="6">
        <v>-6.3621096313000003E-2</v>
      </c>
      <c r="J386" s="6">
        <v>1.842661380767822</v>
      </c>
      <c r="K386" s="6">
        <v>-1.3056813478469851</v>
      </c>
      <c r="L386" s="6">
        <v>-0.54162383079528809</v>
      </c>
      <c r="M386" s="6">
        <v>-0.88034409284591708</v>
      </c>
      <c r="N386" s="6">
        <v>1.041391198535798</v>
      </c>
      <c r="O386" s="6"/>
      <c r="P386" s="6">
        <v>1.080142747993613</v>
      </c>
      <c r="Q386" s="6"/>
      <c r="R386" s="6">
        <v>11.327184601167351</v>
      </c>
      <c r="S386" s="6"/>
      <c r="T386" s="6">
        <v>9.4931793212890625</v>
      </c>
      <c r="U386" s="6" t="str">
        <f>_xll.BDP($A386,"TRAILING_12M_R&amp;D_%_SALES",$A$1,$A$2)</f>
        <v>#N/A N/A</v>
      </c>
      <c r="V386" s="6">
        <v>40</v>
      </c>
      <c r="W386" s="6">
        <v>403010</v>
      </c>
      <c r="X386" s="6">
        <v>40301040</v>
      </c>
      <c r="Y386" s="7" t="s">
        <v>43</v>
      </c>
      <c r="Z386" s="7" t="s">
        <v>44</v>
      </c>
      <c r="AA386" s="7" t="s">
        <v>102</v>
      </c>
      <c r="AB386" s="6">
        <v>32.220100402832031</v>
      </c>
      <c r="AC386" s="6">
        <v>0.8074954855329981</v>
      </c>
      <c r="AD386" s="6">
        <v>19.091054788113084</v>
      </c>
      <c r="AE386" s="6">
        <v>12050</v>
      </c>
      <c r="AF386" s="6">
        <v>18100</v>
      </c>
    </row>
    <row r="387" spans="1:32" s="4" customFormat="1" ht="12.75" x14ac:dyDescent="0.2">
      <c r="A387" s="7" t="s">
        <v>1313</v>
      </c>
      <c r="B387" s="7" t="s">
        <v>1314</v>
      </c>
      <c r="C387" s="7" t="s">
        <v>1315</v>
      </c>
      <c r="D387" s="6">
        <v>-0.75775849819183305</v>
      </c>
      <c r="E387" s="6">
        <v>-0.71134597063064609</v>
      </c>
      <c r="F387" s="6">
        <v>-0.285354733467102</v>
      </c>
      <c r="G387" s="6">
        <v>-0.93192803859710704</v>
      </c>
      <c r="H387" s="6">
        <v>0.78971385955810502</v>
      </c>
      <c r="I387" s="6">
        <v>-0.48133590817451505</v>
      </c>
      <c r="J387" s="6">
        <v>0.49965354800224304</v>
      </c>
      <c r="K387" s="6">
        <v>-0.55946511030197099</v>
      </c>
      <c r="L387" s="6">
        <v>-3.4875754266977005E-2</v>
      </c>
      <c r="M387" s="6">
        <v>-0.49469155073165905</v>
      </c>
      <c r="N387" s="6">
        <v>0.69461531632358708</v>
      </c>
      <c r="O387" s="6">
        <v>0.64917101996918802</v>
      </c>
      <c r="P387" s="6">
        <v>3.6066945768247591</v>
      </c>
      <c r="Q387" s="6"/>
      <c r="R387" s="6">
        <v>19.881402713634657</v>
      </c>
      <c r="S387" s="6">
        <v>15.332224319264233</v>
      </c>
      <c r="T387" s="6">
        <v>18.732337951660156</v>
      </c>
      <c r="U387" s="6" t="str">
        <f>_xll.BDP($A387,"TRAILING_12M_R&amp;D_%_SALES",$A$1,$A$2)</f>
        <v>#N/A N/A</v>
      </c>
      <c r="V387" s="6">
        <v>30</v>
      </c>
      <c r="W387" s="6">
        <v>301010</v>
      </c>
      <c r="X387" s="6">
        <v>30101030</v>
      </c>
      <c r="Y387" s="7" t="s">
        <v>106</v>
      </c>
      <c r="Z387" s="7" t="s">
        <v>107</v>
      </c>
      <c r="AA387" s="7" t="s">
        <v>108</v>
      </c>
      <c r="AB387" s="6">
        <v>60.124736785888672</v>
      </c>
      <c r="AC387" s="6">
        <v>0.61497187143365306</v>
      </c>
      <c r="AD387" s="6">
        <v>9.0859730765771261</v>
      </c>
      <c r="AE387" s="6">
        <v>221000</v>
      </c>
      <c r="AF387" s="6">
        <v>198000</v>
      </c>
    </row>
    <row r="388" spans="1:32" s="4" customFormat="1" ht="12.75" x14ac:dyDescent="0.2">
      <c r="A388" s="7" t="s">
        <v>1316</v>
      </c>
      <c r="B388" s="7" t="s">
        <v>1317</v>
      </c>
      <c r="C388" s="7" t="s">
        <v>1318</v>
      </c>
      <c r="D388" s="6">
        <v>-0.7000318765640261</v>
      </c>
      <c r="E388" s="6">
        <v>-0.47035661339759804</v>
      </c>
      <c r="F388" s="6">
        <v>3.4942414611578002E-2</v>
      </c>
      <c r="G388" s="6">
        <v>0.47969368100166304</v>
      </c>
      <c r="H388" s="6">
        <v>-0.70009863376617409</v>
      </c>
      <c r="I388" s="6">
        <v>0.98227375745773304</v>
      </c>
      <c r="J388" s="6">
        <v>1.4255672693252559</v>
      </c>
      <c r="K388" s="6">
        <v>-0.12737917900085402</v>
      </c>
      <c r="L388" s="6">
        <v>-9.8687738180161008E-2</v>
      </c>
      <c r="M388" s="6">
        <v>5.2124105393887003E-2</v>
      </c>
      <c r="N388" s="6">
        <v>1.2313397144793949</v>
      </c>
      <c r="O388" s="6">
        <v>1.1644208418819531</v>
      </c>
      <c r="P388" s="6">
        <v>1.5955229239466511</v>
      </c>
      <c r="Q388" s="6">
        <v>1.3903463781157941</v>
      </c>
      <c r="R388" s="6">
        <v>10.645627147644305</v>
      </c>
      <c r="S388" s="6">
        <v>10.280237192593166</v>
      </c>
      <c r="T388" s="6">
        <v>15.406615257263184</v>
      </c>
      <c r="U388" s="6" t="str">
        <f>_xll.BDP($A388,"TRAILING_12M_R&amp;D_%_SALES",$A$1,$A$2)</f>
        <v>#N/A N/A</v>
      </c>
      <c r="V388" s="6">
        <v>25</v>
      </c>
      <c r="W388" s="6">
        <v>252010</v>
      </c>
      <c r="X388" s="6">
        <v>25201030</v>
      </c>
      <c r="Y388" s="7" t="s">
        <v>85</v>
      </c>
      <c r="Z388" s="7" t="s">
        <v>743</v>
      </c>
      <c r="AA388" s="7" t="s">
        <v>744</v>
      </c>
      <c r="AB388" s="6">
        <v>35.016597747802734</v>
      </c>
      <c r="AC388" s="6">
        <v>1.1319119384893961</v>
      </c>
      <c r="AD388" s="6">
        <v>66.610035372384019</v>
      </c>
      <c r="AE388" s="6">
        <v>12012</v>
      </c>
      <c r="AF388" s="6">
        <v>9111</v>
      </c>
    </row>
    <row r="389" spans="1:32" s="4" customFormat="1" ht="12.75" x14ac:dyDescent="0.2">
      <c r="A389" s="7" t="s">
        <v>1319</v>
      </c>
      <c r="B389" s="7" t="s">
        <v>1320</v>
      </c>
      <c r="C389" s="7" t="s">
        <v>1321</v>
      </c>
      <c r="D389" s="6">
        <v>-0.7000318765640261</v>
      </c>
      <c r="E389" s="6">
        <v>-0.47035661339759804</v>
      </c>
      <c r="F389" s="6">
        <v>3.4942414611578002E-2</v>
      </c>
      <c r="G389" s="6">
        <v>0.47969368100166304</v>
      </c>
      <c r="H389" s="6">
        <v>-0.70009863376617409</v>
      </c>
      <c r="I389" s="6">
        <v>0.98227375745773304</v>
      </c>
      <c r="J389" s="6">
        <v>1.4255672693252559</v>
      </c>
      <c r="K389" s="6">
        <v>-0.12737917900085402</v>
      </c>
      <c r="L389" s="6">
        <v>-9.8687738180161008E-2</v>
      </c>
      <c r="M389" s="6">
        <v>5.2124105393887003E-2</v>
      </c>
      <c r="N389" s="6">
        <v>1.2313397144793949</v>
      </c>
      <c r="O389" s="6">
        <v>1.1644208418819531</v>
      </c>
      <c r="P389" s="6">
        <v>1.5955229239466511</v>
      </c>
      <c r="Q389" s="6">
        <v>1.2505095586767161</v>
      </c>
      <c r="R389" s="6">
        <v>10.645627147644305</v>
      </c>
      <c r="S389" s="6">
        <v>9.2462821331066714</v>
      </c>
      <c r="T389" s="6">
        <v>15.406615257263184</v>
      </c>
      <c r="U389" s="6" t="str">
        <f>_xll.BDP($A389,"TRAILING_12M_R&amp;D_%_SALES",$A$1,$A$2)</f>
        <v>#N/A N/A</v>
      </c>
      <c r="V389" s="6">
        <v>25</v>
      </c>
      <c r="W389" s="6">
        <v>252010</v>
      </c>
      <c r="X389" s="6">
        <v>25201030</v>
      </c>
      <c r="Y389" s="7" t="s">
        <v>85</v>
      </c>
      <c r="Z389" s="7" t="s">
        <v>743</v>
      </c>
      <c r="AA389" s="7" t="s">
        <v>744</v>
      </c>
      <c r="AB389" s="6">
        <v>35.016597747802734</v>
      </c>
      <c r="AC389" s="6">
        <v>1.149679943925477</v>
      </c>
      <c r="AD389" s="6">
        <v>81.813894043557639</v>
      </c>
      <c r="AE389" s="6">
        <v>12012</v>
      </c>
      <c r="AF389" s="6">
        <v>9111</v>
      </c>
    </row>
    <row r="390" spans="1:32" s="4" customFormat="1" ht="12.75" x14ac:dyDescent="0.2">
      <c r="A390" s="7" t="s">
        <v>1322</v>
      </c>
      <c r="B390" s="7" t="s">
        <v>1323</v>
      </c>
      <c r="C390" s="7" t="s">
        <v>1324</v>
      </c>
      <c r="D390" s="6">
        <v>-0.36390486359596302</v>
      </c>
      <c r="E390" s="6">
        <v>-0.98109924793243408</v>
      </c>
      <c r="F390" s="6">
        <v>0.276879042387009</v>
      </c>
      <c r="G390" s="6">
        <v>-0.46884658932685902</v>
      </c>
      <c r="H390" s="6">
        <v>0.45288452506065402</v>
      </c>
      <c r="I390" s="6">
        <v>-1.70858371257782</v>
      </c>
      <c r="J390" s="6">
        <v>2.399999618530273</v>
      </c>
      <c r="K390" s="6">
        <v>-0.18140354752540602</v>
      </c>
      <c r="L390" s="6">
        <v>-0.59108185768127408</v>
      </c>
      <c r="M390" s="6">
        <v>-0.49756643176078802</v>
      </c>
      <c r="N390" s="6">
        <v>0.19982431029030001</v>
      </c>
      <c r="O390" s="6"/>
      <c r="P390" s="6">
        <v>0.81051716685485908</v>
      </c>
      <c r="Q390" s="6"/>
      <c r="R390" s="6">
        <v>27.168401387776889</v>
      </c>
      <c r="S390" s="6"/>
      <c r="T390" s="6">
        <v>2.911262035369873</v>
      </c>
      <c r="U390" s="6">
        <f>_xll.BDP($A390,"TRAILING_12M_R&amp;D_%_SALES",$A$1,$A$2)</f>
        <v>5.2788710934674237</v>
      </c>
      <c r="V390" s="6">
        <v>25</v>
      </c>
      <c r="W390" s="6">
        <v>252010</v>
      </c>
      <c r="X390" s="6">
        <v>25201010</v>
      </c>
      <c r="Y390" s="7" t="s">
        <v>85</v>
      </c>
      <c r="Z390" s="7" t="s">
        <v>743</v>
      </c>
      <c r="AA390" s="7" t="s">
        <v>1325</v>
      </c>
      <c r="AB390" s="6">
        <v>67.136100769042969</v>
      </c>
      <c r="AC390" s="6"/>
      <c r="AD390" s="6"/>
      <c r="AE390" s="6"/>
      <c r="AF390" s="6"/>
    </row>
    <row r="391" spans="1:32" s="4" customFormat="1" ht="12.75" x14ac:dyDescent="0.2">
      <c r="A391" s="7" t="s">
        <v>1326</v>
      </c>
      <c r="B391" s="7" t="s">
        <v>1323</v>
      </c>
      <c r="C391" s="7" t="s">
        <v>1327</v>
      </c>
      <c r="D391" s="6">
        <v>-0.36390486359596302</v>
      </c>
      <c r="E391" s="6">
        <v>-0.98109924793243408</v>
      </c>
      <c r="F391" s="6">
        <v>0.276879042387009</v>
      </c>
      <c r="G391" s="6">
        <v>-0.46884658932685902</v>
      </c>
      <c r="H391" s="6">
        <v>0.45288452506065402</v>
      </c>
      <c r="I391" s="6">
        <v>-1.70858371257782</v>
      </c>
      <c r="J391" s="6">
        <v>2.399999618530273</v>
      </c>
      <c r="K391" s="6">
        <v>-0.18140354752540602</v>
      </c>
      <c r="L391" s="6">
        <v>-0.59108185768127408</v>
      </c>
      <c r="M391" s="6">
        <v>-0.49756643176078802</v>
      </c>
      <c r="N391" s="6">
        <v>0.19982431029030001</v>
      </c>
      <c r="O391" s="6"/>
      <c r="P391" s="6">
        <v>0.81051716685485908</v>
      </c>
      <c r="Q391" s="6"/>
      <c r="R391" s="6">
        <v>27.168401387776889</v>
      </c>
      <c r="S391" s="6"/>
      <c r="T391" s="6">
        <v>2.911262035369873</v>
      </c>
      <c r="U391" s="6">
        <f>_xll.BDP($A391,"TRAILING_12M_R&amp;D_%_SALES",$A$1,$A$2)</f>
        <v>5.2788710934674237</v>
      </c>
      <c r="V391" s="6">
        <v>25</v>
      </c>
      <c r="W391" s="6">
        <v>252010</v>
      </c>
      <c r="X391" s="6">
        <v>25201010</v>
      </c>
      <c r="Y391" s="7" t="s">
        <v>85</v>
      </c>
      <c r="Z391" s="7" t="s">
        <v>743</v>
      </c>
      <c r="AA391" s="7" t="s">
        <v>1325</v>
      </c>
      <c r="AB391" s="6">
        <v>67.136100769042969</v>
      </c>
      <c r="AC391" s="6"/>
      <c r="AD391" s="6"/>
      <c r="AE391" s="6"/>
      <c r="AF391" s="6"/>
    </row>
    <row r="392" spans="1:32" s="4" customFormat="1" ht="12.75" x14ac:dyDescent="0.2">
      <c r="A392" s="7" t="s">
        <v>1328</v>
      </c>
      <c r="B392" s="7" t="s">
        <v>1329</v>
      </c>
      <c r="C392" s="7" t="s">
        <v>1330</v>
      </c>
      <c r="D392" s="6">
        <v>-0.71787941455841109</v>
      </c>
      <c r="E392" s="6">
        <v>-0.655409336090088</v>
      </c>
      <c r="F392" s="6">
        <v>3.0000524520874019</v>
      </c>
      <c r="G392" s="6">
        <v>-0.8582961559295651</v>
      </c>
      <c r="H392" s="6">
        <v>1.2863650321960449</v>
      </c>
      <c r="I392" s="6">
        <v>-1.4241940975189209</v>
      </c>
      <c r="J392" s="6">
        <v>2.443791389465332</v>
      </c>
      <c r="K392" s="6">
        <v>-0.80280321836471602</v>
      </c>
      <c r="L392" s="6">
        <v>3.0000102519989009</v>
      </c>
      <c r="M392" s="6">
        <v>-0.71958929300308205</v>
      </c>
      <c r="N392" s="6">
        <v>0.31600119583006003</v>
      </c>
      <c r="O392" s="6"/>
      <c r="P392" s="6">
        <v>0.48640842513882604</v>
      </c>
      <c r="Q392" s="6"/>
      <c r="R392" s="6">
        <v>2.7610328211550281</v>
      </c>
      <c r="S392" s="6"/>
      <c r="T392" s="6">
        <v>18.438472747802734</v>
      </c>
      <c r="U392" s="6">
        <f>_xll.BDP($A392,"TRAILING_12M_R&amp;D_%_SALES",$A$1,$A$2)</f>
        <v>0</v>
      </c>
      <c r="V392" s="6">
        <v>60</v>
      </c>
      <c r="W392" s="6">
        <v>602010</v>
      </c>
      <c r="X392" s="6">
        <v>60201030</v>
      </c>
      <c r="Y392" s="7" t="s">
        <v>221</v>
      </c>
      <c r="Z392" s="7" t="s">
        <v>478</v>
      </c>
      <c r="AA392" s="7" t="s">
        <v>479</v>
      </c>
      <c r="AB392" s="6">
        <v>51.202091217041016</v>
      </c>
      <c r="AC392" s="6">
        <v>1.181474199027446</v>
      </c>
      <c r="AD392" s="6">
        <v>-44.353575162084155</v>
      </c>
      <c r="AE392" s="6">
        <v>31565</v>
      </c>
      <c r="AF392" s="6">
        <v>19903</v>
      </c>
    </row>
    <row r="393" spans="1:32" s="4" customFormat="1" ht="12.75" x14ac:dyDescent="0.2">
      <c r="A393" s="7" t="s">
        <v>1331</v>
      </c>
      <c r="B393" s="7" t="s">
        <v>1332</v>
      </c>
      <c r="C393" s="7" t="s">
        <v>1333</v>
      </c>
      <c r="D393" s="6">
        <v>-0.85236680507659912</v>
      </c>
      <c r="E393" s="6">
        <v>-0.89210343360900912</v>
      </c>
      <c r="F393" s="6">
        <v>4.5884016901255001E-2</v>
      </c>
      <c r="G393" s="6">
        <v>-0.16468264162540402</v>
      </c>
      <c r="H393" s="6">
        <v>-2.0866516977549002E-2</v>
      </c>
      <c r="I393" s="6">
        <v>-1.411841869354248</v>
      </c>
      <c r="J393" s="6">
        <v>0.15969885885715501</v>
      </c>
      <c r="K393" s="6">
        <v>-9.0694755315781E-2</v>
      </c>
      <c r="L393" s="6">
        <v>0.53956997394561801</v>
      </c>
      <c r="M393" s="6">
        <v>-0.50325304269790605</v>
      </c>
      <c r="N393" s="6">
        <v>2.143024685971993</v>
      </c>
      <c r="O393" s="6">
        <v>1.860206742019094</v>
      </c>
      <c r="P393" s="6">
        <v>2.1433095294660198</v>
      </c>
      <c r="Q393" s="6">
        <v>2.02105303847034</v>
      </c>
      <c r="R393" s="6">
        <v>23.694373038841832</v>
      </c>
      <c r="S393" s="6">
        <v>16.061923012671222</v>
      </c>
      <c r="T393" s="6">
        <v>8.037236213684082</v>
      </c>
      <c r="U393" s="6" t="str">
        <f>_xll.BDP($A393,"TRAILING_12M_R&amp;D_%_SALES",$A$1,$A$2)</f>
        <v>#N/A N/A</v>
      </c>
      <c r="V393" s="6">
        <v>20</v>
      </c>
      <c r="W393" s="6">
        <v>201010</v>
      </c>
      <c r="X393" s="6">
        <v>20101010</v>
      </c>
      <c r="Y393" s="7" t="s">
        <v>38</v>
      </c>
      <c r="Z393" s="7" t="s">
        <v>292</v>
      </c>
      <c r="AA393" s="7" t="s">
        <v>292</v>
      </c>
      <c r="AB393" s="6">
        <v>63.303489685058594</v>
      </c>
      <c r="AC393" s="6">
        <v>0.7394931408296741</v>
      </c>
      <c r="AD393" s="6">
        <v>4.4437420923915116</v>
      </c>
      <c r="AE393" s="6">
        <v>46000</v>
      </c>
      <c r="AF393" s="6">
        <v>17000</v>
      </c>
    </row>
    <row r="394" spans="1:32" s="4" customFormat="1" ht="12.75" x14ac:dyDescent="0.2">
      <c r="A394" s="7" t="s">
        <v>1334</v>
      </c>
      <c r="B394" s="7" t="s">
        <v>1335</v>
      </c>
      <c r="C394" s="7" t="s">
        <v>1336</v>
      </c>
      <c r="D394" s="6">
        <v>0.11065093427896501</v>
      </c>
      <c r="E394" s="6">
        <v>-0.34785166382789601</v>
      </c>
      <c r="F394" s="6">
        <v>-0.24879670143127403</v>
      </c>
      <c r="G394" s="6">
        <v>-0.65076458454132102</v>
      </c>
      <c r="H394" s="6">
        <v>-0.55785489082336404</v>
      </c>
      <c r="I394" s="6">
        <v>0.35233378410339405</v>
      </c>
      <c r="J394" s="6">
        <v>-0.22960241138935103</v>
      </c>
      <c r="K394" s="6">
        <v>-0.88817358016967807</v>
      </c>
      <c r="L394" s="6">
        <v>-0.11206007748842201</v>
      </c>
      <c r="M394" s="6">
        <v>-0.68689846992492709</v>
      </c>
      <c r="N394" s="6">
        <v>6.2081211202544111</v>
      </c>
      <c r="O394" s="6">
        <v>5.7795148652328798</v>
      </c>
      <c r="P394" s="6">
        <v>5.1197841785803178</v>
      </c>
      <c r="Q394" s="6">
        <v>4.9163273516165429</v>
      </c>
      <c r="R394" s="6">
        <v>29.798707834296017</v>
      </c>
      <c r="S394" s="6">
        <v>26.674330482484692</v>
      </c>
      <c r="T394" s="6">
        <v>15.639128684997559</v>
      </c>
      <c r="U394" s="6">
        <f>_xll.BDP($A394,"TRAILING_12M_R&amp;D_%_SALES",$A$1,$A$2)</f>
        <v>0.45447659445538552</v>
      </c>
      <c r="V394" s="6">
        <v>15</v>
      </c>
      <c r="W394" s="6">
        <v>151010</v>
      </c>
      <c r="X394" s="6">
        <v>15101040</v>
      </c>
      <c r="Y394" s="7" t="s">
        <v>61</v>
      </c>
      <c r="Z394" s="7" t="s">
        <v>250</v>
      </c>
      <c r="AA394" s="7" t="s">
        <v>251</v>
      </c>
      <c r="AB394" s="6">
        <v>74.891860961914063</v>
      </c>
      <c r="AC394" s="6">
        <v>0.8532415579869761</v>
      </c>
      <c r="AD394" s="6">
        <v>26.27584566514367</v>
      </c>
      <c r="AE394" s="6">
        <v>65010</v>
      </c>
      <c r="AF394" s="6"/>
    </row>
    <row r="395" spans="1:32" s="4" customFormat="1" ht="12.75" x14ac:dyDescent="0.2">
      <c r="A395" s="7" t="s">
        <v>1337</v>
      </c>
      <c r="B395" s="7" t="s">
        <v>1338</v>
      </c>
      <c r="C395" s="7" t="s">
        <v>1339</v>
      </c>
      <c r="D395" s="6">
        <v>0.19344462454319</v>
      </c>
      <c r="E395" s="6">
        <v>-0.95772302150726307</v>
      </c>
      <c r="F395" s="6">
        <v>-2.4459069594741003E-2</v>
      </c>
      <c r="G395" s="6">
        <v>-0.95132678747177113</v>
      </c>
      <c r="H395" s="6">
        <v>1.2120760679245</v>
      </c>
      <c r="I395" s="6">
        <v>-0.45355260372161904</v>
      </c>
      <c r="J395" s="6">
        <v>2.8213820457458501</v>
      </c>
      <c r="K395" s="6">
        <v>-1.189905643463135</v>
      </c>
      <c r="L395" s="6">
        <v>1.968148946762085</v>
      </c>
      <c r="M395" s="6">
        <v>-0.95302140712738004</v>
      </c>
      <c r="N395" s="6">
        <v>1.6341613738156531</v>
      </c>
      <c r="O395" s="6">
        <v>1.6665122857336501</v>
      </c>
      <c r="P395" s="6">
        <v>0.67689114135655304</v>
      </c>
      <c r="Q395" s="6">
        <v>0.73174979657460004</v>
      </c>
      <c r="R395" s="6">
        <v>5.710694341143757</v>
      </c>
      <c r="S395" s="6">
        <v>6.7945878950107002</v>
      </c>
      <c r="T395" s="6">
        <v>12.116135597229004</v>
      </c>
      <c r="U395" s="6" t="str">
        <f>_xll.BDP($A395,"TRAILING_12M_R&amp;D_%_SALES",$A$1,$A$2)</f>
        <v>#N/A N/A</v>
      </c>
      <c r="V395" s="6">
        <v>40</v>
      </c>
      <c r="W395" s="6">
        <v>401010</v>
      </c>
      <c r="X395" s="6">
        <v>40101010</v>
      </c>
      <c r="Y395" s="7" t="s">
        <v>43</v>
      </c>
      <c r="Z395" s="7" t="s">
        <v>67</v>
      </c>
      <c r="AA395" s="7" t="s">
        <v>68</v>
      </c>
      <c r="AB395" s="6">
        <v>61.744289398193359</v>
      </c>
      <c r="AC395" s="6">
        <v>1.15855587054902</v>
      </c>
      <c r="AD395" s="6">
        <v>6.0481605498601274</v>
      </c>
      <c r="AE395" s="6">
        <v>59354</v>
      </c>
      <c r="AF395" s="6">
        <v>67905</v>
      </c>
    </row>
    <row r="396" spans="1:32" s="4" customFormat="1" ht="12.75" x14ac:dyDescent="0.2">
      <c r="A396" s="7" t="s">
        <v>1340</v>
      </c>
      <c r="B396" s="7" t="s">
        <v>1341</v>
      </c>
      <c r="C396" s="7" t="s">
        <v>1342</v>
      </c>
      <c r="D396" s="6">
        <v>0.32204720377922103</v>
      </c>
      <c r="E396" s="6">
        <v>0.48066046833992004</v>
      </c>
      <c r="F396" s="6">
        <v>0.73368626832962003</v>
      </c>
      <c r="G396" s="6">
        <v>-0.74895596504211404</v>
      </c>
      <c r="H396" s="6">
        <v>0.15557420253753701</v>
      </c>
      <c r="I396" s="6">
        <v>1.4944251775741582</v>
      </c>
      <c r="J396" s="6">
        <v>-0.70280182361602805</v>
      </c>
      <c r="K396" s="6">
        <v>-9.6998557448387007E-2</v>
      </c>
      <c r="L396" s="6">
        <v>-0.33719643950462302</v>
      </c>
      <c r="M396" s="6">
        <v>-0.59961336851120006</v>
      </c>
      <c r="N396" s="6">
        <v>16.378518995909456</v>
      </c>
      <c r="O396" s="6">
        <v>14.146250504175599</v>
      </c>
      <c r="P396" s="6">
        <v>49.318000359696875</v>
      </c>
      <c r="Q396" s="6">
        <v>31.268337685167822</v>
      </c>
      <c r="R396" s="6">
        <v>65.915367353600615</v>
      </c>
      <c r="S396" s="6">
        <v>46.53122936021186</v>
      </c>
      <c r="T396" s="6">
        <v>46.860336303710938</v>
      </c>
      <c r="U396" s="6">
        <f>_xll.BDP($A396,"TRAILING_12M_R&amp;D_%_SALES",$A$1,$A$2)</f>
        <v>24.400402284942952</v>
      </c>
      <c r="V396" s="6">
        <v>35</v>
      </c>
      <c r="W396" s="6">
        <v>352020</v>
      </c>
      <c r="X396" s="6">
        <v>35202010</v>
      </c>
      <c r="Y396" s="7" t="s">
        <v>72</v>
      </c>
      <c r="Z396" s="7" t="s">
        <v>325</v>
      </c>
      <c r="AA396" s="7" t="s">
        <v>325</v>
      </c>
      <c r="AB396" s="6">
        <v>73.614326477050781</v>
      </c>
      <c r="AC396" s="6">
        <v>0.62487343446492705</v>
      </c>
      <c r="AD396" s="6">
        <v>60.387692218815744</v>
      </c>
      <c r="AE396" s="6">
        <v>39000</v>
      </c>
      <c r="AF396" s="6">
        <v>40655</v>
      </c>
    </row>
    <row r="397" spans="1:32" s="4" customFormat="1" ht="12.75" x14ac:dyDescent="0.2">
      <c r="A397" s="7" t="s">
        <v>1343</v>
      </c>
      <c r="B397" s="7" t="s">
        <v>1344</v>
      </c>
      <c r="C397" s="7" t="s">
        <v>1345</v>
      </c>
      <c r="D397" s="6">
        <v>-2.3255242034793001E-2</v>
      </c>
      <c r="E397" s="6">
        <v>0.60711216926574707</v>
      </c>
      <c r="F397" s="6">
        <v>-2.9524031560870002E-3</v>
      </c>
      <c r="G397" s="6">
        <v>-0.37473598122596702</v>
      </c>
      <c r="H397" s="6">
        <v>0.35917997360229503</v>
      </c>
      <c r="I397" s="6">
        <v>-0.42180579900741605</v>
      </c>
      <c r="J397" s="6">
        <v>0.17683312296867401</v>
      </c>
      <c r="K397" s="6">
        <v>-0.80511707067489602</v>
      </c>
      <c r="L397" s="6">
        <v>0.63289690017700206</v>
      </c>
      <c r="M397" s="6">
        <v>-0.59715789556503307</v>
      </c>
      <c r="N397" s="6">
        <v>1.6976061273656842</v>
      </c>
      <c r="O397" s="6">
        <v>1.6367942971527141</v>
      </c>
      <c r="P397" s="6">
        <v>12.071412395397356</v>
      </c>
      <c r="Q397" s="6">
        <v>16.981640358381441</v>
      </c>
      <c r="R397" s="6">
        <v>13.709278302518005</v>
      </c>
      <c r="S397" s="6">
        <v>16.929312007979195</v>
      </c>
      <c r="T397" s="6">
        <v>65.593223571777344</v>
      </c>
      <c r="U397" s="6" t="str">
        <f>_xll.BDP($A397,"TRAILING_12M_R&amp;D_%_SALES",$A$1,$A$2)</f>
        <v>#N/A N/A</v>
      </c>
      <c r="V397" s="6">
        <v>20</v>
      </c>
      <c r="W397" s="6">
        <v>201010</v>
      </c>
      <c r="X397" s="6">
        <v>20101010</v>
      </c>
      <c r="Y397" s="7" t="s">
        <v>38</v>
      </c>
      <c r="Z397" s="7" t="s">
        <v>292</v>
      </c>
      <c r="AA397" s="7" t="s">
        <v>292</v>
      </c>
      <c r="AB397" s="6">
        <v>69.469871520996094</v>
      </c>
      <c r="AC397" s="6">
        <v>0.55060410293015005</v>
      </c>
      <c r="AD397" s="6">
        <v>-4.4218765344576374</v>
      </c>
      <c r="AE397" s="6">
        <v>116000</v>
      </c>
      <c r="AF397" s="6">
        <v>100000</v>
      </c>
    </row>
    <row r="398" spans="1:32" s="4" customFormat="1" ht="12.75" x14ac:dyDescent="0.2">
      <c r="A398" s="7" t="s">
        <v>1346</v>
      </c>
      <c r="B398" s="7" t="s">
        <v>1347</v>
      </c>
      <c r="C398" s="7" t="s">
        <v>1348</v>
      </c>
      <c r="D398" s="6">
        <v>-0.93529534339904807</v>
      </c>
      <c r="E398" s="6">
        <v>-2.489620447158813</v>
      </c>
      <c r="F398" s="6">
        <v>2.342157125473022</v>
      </c>
      <c r="G398" s="6">
        <v>1.6432145833969121</v>
      </c>
      <c r="H398" s="6">
        <v>0.57746261358261108</v>
      </c>
      <c r="I398" s="6">
        <v>-1.8587065935134892</v>
      </c>
      <c r="J398" s="6">
        <v>1.284718871116638</v>
      </c>
      <c r="K398" s="6">
        <v>-1.2655670642852781</v>
      </c>
      <c r="L398" s="6">
        <v>2.7829010486602783</v>
      </c>
      <c r="M398" s="6">
        <v>-1.048570036888123</v>
      </c>
      <c r="N398" s="6">
        <v>0.301880390476504</v>
      </c>
      <c r="O398" s="6">
        <v>0.25405619608420604</v>
      </c>
      <c r="P398" s="6">
        <v>2.0676383072152289</v>
      </c>
      <c r="Q398" s="6">
        <v>1.2331171432102079</v>
      </c>
      <c r="R398" s="6">
        <v>2.4173270099029889</v>
      </c>
      <c r="S398" s="6">
        <v>3.8588271605949021</v>
      </c>
      <c r="T398" s="6">
        <v>55.033859252929688</v>
      </c>
      <c r="U398" s="6" t="str">
        <f>_xll.BDP($A398,"TRAILING_12M_R&amp;D_%_SALES",$A$1,$A$2)</f>
        <v>#N/A N/A</v>
      </c>
      <c r="V398" s="6">
        <v>40</v>
      </c>
      <c r="W398" s="6">
        <v>403010</v>
      </c>
      <c r="X398" s="6">
        <v>40301020</v>
      </c>
      <c r="Y398" s="7" t="s">
        <v>43</v>
      </c>
      <c r="Z398" s="7" t="s">
        <v>44</v>
      </c>
      <c r="AA398" s="7" t="s">
        <v>45</v>
      </c>
      <c r="AB398" s="6">
        <v>50.276630401611328</v>
      </c>
      <c r="AC398" s="6">
        <v>1.730904372484521</v>
      </c>
      <c r="AD398" s="6">
        <v>-5.3731034447221164</v>
      </c>
      <c r="AE398" s="6">
        <v>11316</v>
      </c>
      <c r="AF398" s="6">
        <v>9047</v>
      </c>
    </row>
    <row r="399" spans="1:32" s="4" customFormat="1" ht="12.75" x14ac:dyDescent="0.2">
      <c r="A399" s="7" t="s">
        <v>1349</v>
      </c>
      <c r="B399" s="7" t="s">
        <v>1350</v>
      </c>
      <c r="C399" s="7" t="s">
        <v>1351</v>
      </c>
      <c r="D399" s="6">
        <v>-0.62436622381210305</v>
      </c>
      <c r="E399" s="6">
        <v>1.6505743265151982</v>
      </c>
      <c r="F399" s="6">
        <v>-6.0135625302792005E-2</v>
      </c>
      <c r="G399" s="6">
        <v>0.11999241262674301</v>
      </c>
      <c r="H399" s="6">
        <v>1.7462097406387329</v>
      </c>
      <c r="I399" s="6">
        <v>-0.75981378555297907</v>
      </c>
      <c r="J399" s="6">
        <v>1.8172328472137451</v>
      </c>
      <c r="K399" s="6">
        <v>-0.47922062873840304</v>
      </c>
      <c r="L399" s="6">
        <v>-0.27211642265319802</v>
      </c>
      <c r="M399" s="6">
        <v>1.463652372360229</v>
      </c>
      <c r="N399" s="6">
        <v>1.6907491521479709</v>
      </c>
      <c r="O399" s="6">
        <v>2.3063634920415561</v>
      </c>
      <c r="P399" s="6">
        <v>9.837246654474507</v>
      </c>
      <c r="Q399" s="6">
        <v>9.2051769216267409</v>
      </c>
      <c r="R399" s="6">
        <v>5.0790625141871342</v>
      </c>
      <c r="S399" s="6">
        <v>17.467513644237219</v>
      </c>
      <c r="T399" s="6"/>
      <c r="U399" s="6" t="str">
        <f>_xll.BDP($A399,"TRAILING_12M_R&amp;D_%_SALES",$A$1,$A$2)</f>
        <v>#N/A N/A</v>
      </c>
      <c r="V399" s="6">
        <v>10</v>
      </c>
      <c r="W399" s="6">
        <v>101020</v>
      </c>
      <c r="X399" s="6">
        <v>10102040</v>
      </c>
      <c r="Y399" s="7" t="s">
        <v>387</v>
      </c>
      <c r="Z399" s="7" t="s">
        <v>516</v>
      </c>
      <c r="AA399" s="7" t="s">
        <v>849</v>
      </c>
      <c r="AB399" s="6">
        <v>70.143852233886719</v>
      </c>
      <c r="AC399" s="6">
        <v>0.7252673353202741</v>
      </c>
      <c r="AD399" s="6">
        <v>15.088479857807592</v>
      </c>
      <c r="AE399" s="6">
        <v>1551</v>
      </c>
      <c r="AF399" s="6">
        <v>1230</v>
      </c>
    </row>
    <row r="400" spans="1:32" s="4" customFormat="1" ht="12.75" x14ac:dyDescent="0.2">
      <c r="A400" s="7" t="s">
        <v>1352</v>
      </c>
      <c r="B400" s="7" t="s">
        <v>1353</v>
      </c>
      <c r="C400" s="7" t="s">
        <v>1354</v>
      </c>
      <c r="D400" s="6">
        <v>-0.71787941455841109</v>
      </c>
      <c r="E400" s="6">
        <v>-0.655409336090088</v>
      </c>
      <c r="F400" s="6">
        <v>3.0000524520874019</v>
      </c>
      <c r="G400" s="6">
        <v>-0.8582961559295651</v>
      </c>
      <c r="H400" s="6">
        <v>1.2863650321960449</v>
      </c>
      <c r="I400" s="6">
        <v>-1.4241940975189209</v>
      </c>
      <c r="J400" s="6">
        <v>2.443791389465332</v>
      </c>
      <c r="K400" s="6">
        <v>-0.80280321836471602</v>
      </c>
      <c r="L400" s="6">
        <v>3.0000102519989009</v>
      </c>
      <c r="M400" s="6">
        <v>-0.71958929300308205</v>
      </c>
      <c r="N400" s="6">
        <v>0.31600119583006003</v>
      </c>
      <c r="O400" s="6">
        <v>0.34057730008433201</v>
      </c>
      <c r="P400" s="6">
        <v>0.48640842513882604</v>
      </c>
      <c r="Q400" s="6">
        <v>0.41437700497471003</v>
      </c>
      <c r="R400" s="6">
        <v>2.7610328211550281</v>
      </c>
      <c r="S400" s="6">
        <v>3.3592440680350601</v>
      </c>
      <c r="T400" s="6">
        <v>18.438472747802734</v>
      </c>
      <c r="U400" s="6">
        <f>_xll.BDP($A400,"TRAILING_12M_R&amp;D_%_SALES",$A$1,$A$2)</f>
        <v>0</v>
      </c>
      <c r="V400" s="6">
        <v>60</v>
      </c>
      <c r="W400" s="6">
        <v>602010</v>
      </c>
      <c r="X400" s="6">
        <v>60201030</v>
      </c>
      <c r="Y400" s="7" t="s">
        <v>221</v>
      </c>
      <c r="Z400" s="7" t="s">
        <v>478</v>
      </c>
      <c r="AA400" s="7" t="s">
        <v>479</v>
      </c>
      <c r="AB400" s="6">
        <v>51.202091217041016</v>
      </c>
      <c r="AC400" s="6">
        <v>0.33212104796307601</v>
      </c>
      <c r="AD400" s="6">
        <v>-46.061834180863869</v>
      </c>
      <c r="AE400" s="6">
        <v>31565</v>
      </c>
      <c r="AF400" s="6">
        <v>19903</v>
      </c>
    </row>
    <row r="401" spans="1:32" s="4" customFormat="1" ht="12.75" x14ac:dyDescent="0.2">
      <c r="A401" s="7" t="s">
        <v>1355</v>
      </c>
      <c r="B401" s="7" t="s">
        <v>1356</v>
      </c>
      <c r="C401" s="7" t="s">
        <v>1357</v>
      </c>
      <c r="D401" s="6">
        <v>-0.87950456142425504</v>
      </c>
      <c r="E401" s="6">
        <v>-0.6406501531600951</v>
      </c>
      <c r="F401" s="6">
        <v>0.68647319078445401</v>
      </c>
      <c r="G401" s="6">
        <v>-0.61115378141403209</v>
      </c>
      <c r="H401" s="6">
        <v>-0.18509200215339702</v>
      </c>
      <c r="I401" s="6">
        <v>0.51866412162780806</v>
      </c>
      <c r="J401" s="6">
        <v>1.5970418453216551</v>
      </c>
      <c r="K401" s="6">
        <v>-1.2798146344721002E-2</v>
      </c>
      <c r="L401" s="6">
        <v>1.4362621307373051</v>
      </c>
      <c r="M401" s="6">
        <v>-0.12344444543123201</v>
      </c>
      <c r="N401" s="6">
        <v>0.30259494857070701</v>
      </c>
      <c r="O401" s="6">
        <v>0.28906440077240902</v>
      </c>
      <c r="P401" s="6">
        <v>3.3071476760588698</v>
      </c>
      <c r="Q401" s="6">
        <v>2.4638513882051649</v>
      </c>
      <c r="R401" s="6">
        <v>17.117007132253235</v>
      </c>
      <c r="S401" s="6">
        <v>12.184039050830625</v>
      </c>
      <c r="T401" s="6">
        <v>18.941558837890625</v>
      </c>
      <c r="U401" s="6">
        <f>_xll.BDP($A401,"TRAILING_12M_R&amp;D_%_SALES",$A$1,$A$2)</f>
        <v>3.3007219383111326</v>
      </c>
      <c r="V401" s="6">
        <v>45</v>
      </c>
      <c r="W401" s="6">
        <v>452020</v>
      </c>
      <c r="X401" s="6">
        <v>45202030</v>
      </c>
      <c r="Y401" s="7" t="s">
        <v>56</v>
      </c>
      <c r="Z401" s="7" t="s">
        <v>57</v>
      </c>
      <c r="AA401" s="7" t="s">
        <v>57</v>
      </c>
      <c r="AB401" s="6">
        <v>67.427825927734375</v>
      </c>
      <c r="AC401" s="6">
        <v>0.67053433286793307</v>
      </c>
      <c r="AD401" s="6">
        <v>86.724786508338042</v>
      </c>
      <c r="AE401" s="6">
        <v>77000</v>
      </c>
      <c r="AF401" s="6">
        <v>54000</v>
      </c>
    </row>
    <row r="402" spans="1:32" s="4" customFormat="1" ht="12.75" x14ac:dyDescent="0.2">
      <c r="A402" s="7" t="s">
        <v>1358</v>
      </c>
      <c r="B402" s="7" t="s">
        <v>1359</v>
      </c>
      <c r="C402" s="7" t="s">
        <v>1360</v>
      </c>
      <c r="D402" s="6">
        <v>-0.87950456142425504</v>
      </c>
      <c r="E402" s="6">
        <v>-0.6406501531600951</v>
      </c>
      <c r="F402" s="6">
        <v>0.68647319078445401</v>
      </c>
      <c r="G402" s="6">
        <v>-0.61115378141403209</v>
      </c>
      <c r="H402" s="6">
        <v>-0.18509200215339702</v>
      </c>
      <c r="I402" s="6">
        <v>0.51866412162780806</v>
      </c>
      <c r="J402" s="6">
        <v>1.5970418453216551</v>
      </c>
      <c r="K402" s="6">
        <v>-1.2798146344721002E-2</v>
      </c>
      <c r="L402" s="6">
        <v>1.4362621307373051</v>
      </c>
      <c r="M402" s="6">
        <v>-0.12344444543123201</v>
      </c>
      <c r="N402" s="6">
        <v>0.30259494857070701</v>
      </c>
      <c r="O402" s="6">
        <v>0.29345697552433403</v>
      </c>
      <c r="P402" s="6">
        <v>3.3071476760588698</v>
      </c>
      <c r="Q402" s="6"/>
      <c r="R402" s="6">
        <v>17.117007132253235</v>
      </c>
      <c r="S402" s="6">
        <v>12.962227231868203</v>
      </c>
      <c r="T402" s="6">
        <v>18.941558837890625</v>
      </c>
      <c r="U402" s="6">
        <f>_xll.BDP($A402,"TRAILING_12M_R&amp;D_%_SALES",$A$1,$A$2)</f>
        <v>3.3007219383111326</v>
      </c>
      <c r="V402" s="6">
        <v>45</v>
      </c>
      <c r="W402" s="6">
        <v>452020</v>
      </c>
      <c r="X402" s="6">
        <v>45202030</v>
      </c>
      <c r="Y402" s="7" t="s">
        <v>56</v>
      </c>
      <c r="Z402" s="7" t="s">
        <v>57</v>
      </c>
      <c r="AA402" s="7" t="s">
        <v>57</v>
      </c>
      <c r="AB402" s="6">
        <v>67.427825927734375</v>
      </c>
      <c r="AC402" s="6">
        <v>0.73337329090076109</v>
      </c>
      <c r="AD402" s="6">
        <v>77.721682858878353</v>
      </c>
      <c r="AE402" s="6">
        <v>77000</v>
      </c>
      <c r="AF402" s="6">
        <v>54000</v>
      </c>
    </row>
    <row r="403" spans="1:32" s="4" customFormat="1" ht="12.75" x14ac:dyDescent="0.2">
      <c r="A403" s="7" t="s">
        <v>1361</v>
      </c>
      <c r="B403" s="7" t="s">
        <v>1362</v>
      </c>
      <c r="C403" s="7" t="s">
        <v>1363</v>
      </c>
      <c r="D403" s="6">
        <v>2.4637771770358002E-2</v>
      </c>
      <c r="E403" s="6">
        <v>-0.21379232406616203</v>
      </c>
      <c r="F403" s="6">
        <v>-0.58151996135711703</v>
      </c>
      <c r="G403" s="6">
        <v>-0.33785945177078203</v>
      </c>
      <c r="H403" s="6">
        <v>2.085370779037476</v>
      </c>
      <c r="I403" s="6">
        <v>-0.13111495971679701</v>
      </c>
      <c r="J403" s="6">
        <v>9.0247634798290011E-3</v>
      </c>
      <c r="K403" s="6">
        <v>-0.29054799675941501</v>
      </c>
      <c r="L403" s="6">
        <v>0.276729226112366</v>
      </c>
      <c r="M403" s="6">
        <v>0.47845807671546903</v>
      </c>
      <c r="N403" s="6">
        <v>1.454670316415424</v>
      </c>
      <c r="O403" s="6">
        <v>1.4976469894652571</v>
      </c>
      <c r="P403" s="6"/>
      <c r="Q403" s="6"/>
      <c r="R403" s="6">
        <v>16.496525495288612</v>
      </c>
      <c r="S403" s="6">
        <v>17.114362351921454</v>
      </c>
      <c r="T403" s="6"/>
      <c r="U403" s="6">
        <f>_xll.BDP($A403,"TRAILING_12M_R&amp;D_%_SALES",$A$1,$A$2)</f>
        <v>0</v>
      </c>
      <c r="V403" s="6">
        <v>25</v>
      </c>
      <c r="W403" s="6">
        <v>255040</v>
      </c>
      <c r="X403" s="6">
        <v>25504030</v>
      </c>
      <c r="Y403" s="7" t="s">
        <v>85</v>
      </c>
      <c r="Z403" s="7" t="s">
        <v>287</v>
      </c>
      <c r="AA403" s="7" t="s">
        <v>1056</v>
      </c>
      <c r="AB403" s="6">
        <v>65.234886169433594</v>
      </c>
      <c r="AC403" s="6">
        <v>1.050526308470356</v>
      </c>
      <c r="AD403" s="6">
        <v>12.33766343798437</v>
      </c>
      <c r="AE403" s="6">
        <v>182000</v>
      </c>
      <c r="AF403" s="6">
        <v>200000</v>
      </c>
    </row>
    <row r="404" spans="1:32" s="4" customFormat="1" ht="12.75" x14ac:dyDescent="0.2">
      <c r="A404" s="7" t="s">
        <v>1364</v>
      </c>
      <c r="B404" s="7" t="s">
        <v>1365</v>
      </c>
      <c r="C404" s="7" t="s">
        <v>1366</v>
      </c>
      <c r="D404" s="6">
        <v>-0.70142281055450406</v>
      </c>
      <c r="E404" s="6">
        <v>0.84924781322479204</v>
      </c>
      <c r="F404" s="6">
        <v>0.55311417579650901</v>
      </c>
      <c r="G404" s="6">
        <v>0.62510341405868508</v>
      </c>
      <c r="H404" s="6">
        <v>-0.23459115624427801</v>
      </c>
      <c r="I404" s="6">
        <v>0.90930718183517512</v>
      </c>
      <c r="J404" s="6">
        <v>-0.123113013803959</v>
      </c>
      <c r="K404" s="6">
        <v>1.206904292106628</v>
      </c>
      <c r="L404" s="6">
        <v>-0.14922592043876601</v>
      </c>
      <c r="M404" s="6">
        <v>0.75371152162551902</v>
      </c>
      <c r="N404" s="6">
        <v>6.6564872825562329</v>
      </c>
      <c r="O404" s="6">
        <v>6.437143759996367</v>
      </c>
      <c r="P404" s="6">
        <v>12.854787549106145</v>
      </c>
      <c r="Q404" s="6">
        <v>12.913812601422357</v>
      </c>
      <c r="R404" s="6">
        <v>25.748214837367037</v>
      </c>
      <c r="S404" s="6">
        <v>24.787177586362144</v>
      </c>
      <c r="T404" s="6">
        <v>51.390380859375</v>
      </c>
      <c r="U404" s="6">
        <f>_xll.BDP($A404,"TRAILING_12M_R&amp;D_%_SALES",$A$1,$A$2)</f>
        <v>12.341274228383483</v>
      </c>
      <c r="V404" s="6">
        <v>45</v>
      </c>
      <c r="W404" s="6">
        <v>453010</v>
      </c>
      <c r="X404" s="6">
        <v>45301010</v>
      </c>
      <c r="Y404" s="7" t="s">
        <v>56</v>
      </c>
      <c r="Z404" s="7" t="s">
        <v>130</v>
      </c>
      <c r="AA404" s="7" t="s">
        <v>192</v>
      </c>
      <c r="AB404" s="6">
        <v>68.051506042480469</v>
      </c>
      <c r="AC404" s="6">
        <v>1.4204717868676651</v>
      </c>
      <c r="AD404" s="6">
        <v>88.473893113895869</v>
      </c>
      <c r="AE404" s="6">
        <v>17200</v>
      </c>
      <c r="AF404" s="6">
        <v>10900</v>
      </c>
    </row>
    <row r="405" spans="1:32" s="4" customFormat="1" ht="12.75" x14ac:dyDescent="0.2">
      <c r="A405" s="7" t="s">
        <v>1367</v>
      </c>
      <c r="B405" s="7" t="s">
        <v>1368</v>
      </c>
      <c r="C405" s="7" t="s">
        <v>1369</v>
      </c>
      <c r="D405" s="6">
        <v>-0.27022993564605702</v>
      </c>
      <c r="E405" s="6">
        <v>-0.63747006654739402</v>
      </c>
      <c r="F405" s="6">
        <v>1.139124989509583</v>
      </c>
      <c r="G405" s="6">
        <v>-0.97254610061645508</v>
      </c>
      <c r="H405" s="6">
        <v>0.92861390113830611</v>
      </c>
      <c r="I405" s="6">
        <v>-0.22387821972370101</v>
      </c>
      <c r="J405" s="6">
        <v>-0.79002916812896706</v>
      </c>
      <c r="K405" s="6">
        <v>0.298636674880981</v>
      </c>
      <c r="L405" s="6">
        <v>-0.48930212855339106</v>
      </c>
      <c r="M405" s="6">
        <v>-0.55878639221191406</v>
      </c>
      <c r="N405" s="6">
        <v>2.7271448709009469</v>
      </c>
      <c r="O405" s="6"/>
      <c r="P405" s="6">
        <v>5.5470522033555838</v>
      </c>
      <c r="Q405" s="6"/>
      <c r="R405" s="6">
        <v>47.315123474645908</v>
      </c>
      <c r="S405" s="6"/>
      <c r="T405" s="6">
        <v>12.19414234161377</v>
      </c>
      <c r="U405" s="6" t="str">
        <f>_xll.BDP($A405,"TRAILING_12M_R&amp;D_%_SALES",$A$1,$A$2)</f>
        <v>#N/A N/A</v>
      </c>
      <c r="V405" s="6">
        <v>20</v>
      </c>
      <c r="W405" s="6">
        <v>201030</v>
      </c>
      <c r="X405" s="6">
        <v>20103010</v>
      </c>
      <c r="Y405" s="7" t="s">
        <v>38</v>
      </c>
      <c r="Z405" s="7" t="s">
        <v>423</v>
      </c>
      <c r="AA405" s="7" t="s">
        <v>423</v>
      </c>
      <c r="AB405" s="6"/>
      <c r="AC405" s="6"/>
      <c r="AD405" s="6"/>
      <c r="AE405" s="6">
        <v>55202</v>
      </c>
      <c r="AF405" s="6">
        <v>42464</v>
      </c>
    </row>
    <row r="406" spans="1:32" s="4" customFormat="1" ht="12.75" x14ac:dyDescent="0.2">
      <c r="A406" s="7" t="s">
        <v>1370</v>
      </c>
      <c r="B406" s="7" t="s">
        <v>1371</v>
      </c>
      <c r="C406" s="7" t="s">
        <v>1372</v>
      </c>
      <c r="D406" s="6">
        <v>4.2231544852257004E-2</v>
      </c>
      <c r="E406" s="6">
        <v>-0.42921382188797003</v>
      </c>
      <c r="F406" s="6">
        <v>1.183748602867126</v>
      </c>
      <c r="G406" s="6">
        <v>-0.98792141675949108</v>
      </c>
      <c r="H406" s="6">
        <v>-0.65819972753524802</v>
      </c>
      <c r="I406" s="6">
        <v>-0.78351342678070102</v>
      </c>
      <c r="J406" s="6">
        <v>3.0000064373016362</v>
      </c>
      <c r="K406" s="6">
        <v>-1.9632564783096311</v>
      </c>
      <c r="L406" s="6">
        <v>3.000003576278687</v>
      </c>
      <c r="M406" s="6">
        <v>7.1037940680981002E-2</v>
      </c>
      <c r="N406" s="6"/>
      <c r="O406" s="6"/>
      <c r="P406" s="6">
        <v>0.77799923866350107</v>
      </c>
      <c r="Q406" s="6"/>
      <c r="R406" s="6"/>
      <c r="S406" s="6"/>
      <c r="T406" s="6"/>
      <c r="U406" s="6" t="str">
        <f>_xll.BDP($A406,"TRAILING_12M_R&amp;D_%_SALES",$A$1,$A$2)</f>
        <v>#N/A N/A</v>
      </c>
      <c r="V406" s="6">
        <v>10</v>
      </c>
      <c r="W406" s="6">
        <v>101020</v>
      </c>
      <c r="X406" s="6">
        <v>10102010</v>
      </c>
      <c r="Y406" s="7" t="s">
        <v>387</v>
      </c>
      <c r="Z406" s="7" t="s">
        <v>516</v>
      </c>
      <c r="AA406" s="7" t="s">
        <v>693</v>
      </c>
      <c r="AB406" s="6">
        <v>68.926666259765625</v>
      </c>
      <c r="AC406" s="6"/>
      <c r="AD406" s="6"/>
      <c r="AE406" s="6"/>
      <c r="AF406" s="6"/>
    </row>
    <row r="407" spans="1:32" s="4" customFormat="1" ht="12.75" x14ac:dyDescent="0.2">
      <c r="A407" s="7" t="s">
        <v>1373</v>
      </c>
      <c r="B407" s="7" t="s">
        <v>1374</v>
      </c>
      <c r="C407" s="7" t="s">
        <v>1375</v>
      </c>
      <c r="D407" s="6">
        <v>-0.98652607202529907</v>
      </c>
      <c r="E407" s="6">
        <v>-1.1197524070739751</v>
      </c>
      <c r="F407" s="6">
        <v>-8.8941439986229012E-2</v>
      </c>
      <c r="G407" s="6">
        <v>0.93152546882629406</v>
      </c>
      <c r="H407" s="6">
        <v>0.38696122169494601</v>
      </c>
      <c r="I407" s="6">
        <v>-1.3223826885223391</v>
      </c>
      <c r="J407" s="6">
        <v>0.63080787658691406</v>
      </c>
      <c r="K407" s="6">
        <v>-0.57807290554046609</v>
      </c>
      <c r="L407" s="6">
        <v>0.47737917304039001</v>
      </c>
      <c r="M407" s="6">
        <v>-8.826109021902101E-2</v>
      </c>
      <c r="N407" s="6">
        <v>0.67521579380527808</v>
      </c>
      <c r="O407" s="6">
        <v>0.61939634969756208</v>
      </c>
      <c r="P407" s="6">
        <v>1.557428212099123</v>
      </c>
      <c r="Q407" s="6">
        <v>1.4569669270066301</v>
      </c>
      <c r="R407" s="6">
        <v>34.162756392455506</v>
      </c>
      <c r="S407" s="6">
        <v>18.302922546110125</v>
      </c>
      <c r="T407" s="6">
        <v>4.522705078125</v>
      </c>
      <c r="U407" s="6">
        <f>_xll.BDP($A407,"TRAILING_12M_R&amp;D_%_SALES",$A$1,$A$2)</f>
        <v>0</v>
      </c>
      <c r="V407" s="6">
        <v>20</v>
      </c>
      <c r="W407" s="6">
        <v>203020</v>
      </c>
      <c r="X407" s="6">
        <v>20302010</v>
      </c>
      <c r="Y407" s="7" t="s">
        <v>38</v>
      </c>
      <c r="Z407" s="7" t="s">
        <v>52</v>
      </c>
      <c r="AA407" s="7" t="s">
        <v>52</v>
      </c>
      <c r="AB407" s="6">
        <v>69.027259826660156</v>
      </c>
      <c r="AC407" s="6">
        <v>1.023544171024964</v>
      </c>
      <c r="AD407" s="6">
        <v>-11.056783620399591</v>
      </c>
      <c r="AE407" s="6">
        <v>66656</v>
      </c>
      <c r="AF407" s="6">
        <v>56100</v>
      </c>
    </row>
    <row r="408" spans="1:32" s="4" customFormat="1" ht="12.75" x14ac:dyDescent="0.2">
      <c r="A408" s="7" t="s">
        <v>1376</v>
      </c>
      <c r="B408" s="7" t="s">
        <v>1377</v>
      </c>
      <c r="C408" s="7" t="s">
        <v>1378</v>
      </c>
      <c r="D408" s="6">
        <v>-0.65340435504913308</v>
      </c>
      <c r="E408" s="6">
        <v>-0.7498476505279541</v>
      </c>
      <c r="F408" s="6">
        <v>-0.33408305048942605</v>
      </c>
      <c r="G408" s="6">
        <v>-7.8527010977268011E-2</v>
      </c>
      <c r="H408" s="6">
        <v>0.38589096069335904</v>
      </c>
      <c r="I408" s="6">
        <v>0.29481551051139804</v>
      </c>
      <c r="J408" s="6">
        <v>0.76616203784942605</v>
      </c>
      <c r="K408" s="6">
        <v>-0.58589911460876509</v>
      </c>
      <c r="L408" s="6">
        <v>1.7018166780471802</v>
      </c>
      <c r="M408" s="6">
        <v>0.26146659255027804</v>
      </c>
      <c r="N408" s="6">
        <v>0.74779292624218108</v>
      </c>
      <c r="O408" s="6">
        <v>0.7544459647064311</v>
      </c>
      <c r="P408" s="6">
        <v>2.335485320625617</v>
      </c>
      <c r="Q408" s="6">
        <v>2.2980450716317802</v>
      </c>
      <c r="R408" s="6">
        <v>10.830594548329996</v>
      </c>
      <c r="S408" s="6">
        <v>10.068322957530878</v>
      </c>
      <c r="T408" s="6">
        <v>17.971334457397461</v>
      </c>
      <c r="U408" s="6">
        <f>_xll.BDP($A408,"TRAILING_12M_R&amp;D_%_SALES",$A$1,$A$2)</f>
        <v>0.33497096918267083</v>
      </c>
      <c r="V408" s="6">
        <v>15</v>
      </c>
      <c r="W408" s="6">
        <v>151010</v>
      </c>
      <c r="X408" s="6">
        <v>15101010</v>
      </c>
      <c r="Y408" s="7" t="s">
        <v>61</v>
      </c>
      <c r="Z408" s="7" t="s">
        <v>250</v>
      </c>
      <c r="AA408" s="7" t="s">
        <v>784</v>
      </c>
      <c r="AB408" s="6">
        <v>73.051002502441406</v>
      </c>
      <c r="AC408" s="6">
        <v>0.90476649381258911</v>
      </c>
      <c r="AD408" s="6">
        <v>20.867331836642688</v>
      </c>
      <c r="AE408" s="6">
        <v>19300</v>
      </c>
      <c r="AF408" s="6">
        <v>13400</v>
      </c>
    </row>
    <row r="409" spans="1:32" s="4" customFormat="1" ht="12.75" x14ac:dyDescent="0.2">
      <c r="A409" s="7" t="s">
        <v>1379</v>
      </c>
      <c r="B409" s="7" t="s">
        <v>1380</v>
      </c>
      <c r="C409" s="7" t="s">
        <v>1381</v>
      </c>
      <c r="D409" s="6">
        <v>0.19344462454319</v>
      </c>
      <c r="E409" s="6">
        <v>-0.95772302150726307</v>
      </c>
      <c r="F409" s="6">
        <v>-2.4459069594741003E-2</v>
      </c>
      <c r="G409" s="6">
        <v>-0.95132678747177113</v>
      </c>
      <c r="H409" s="6">
        <v>1.2120760679245</v>
      </c>
      <c r="I409" s="6">
        <v>-0.45355260372161904</v>
      </c>
      <c r="J409" s="6">
        <v>2.8213820457458501</v>
      </c>
      <c r="K409" s="6">
        <v>-1.189905643463135</v>
      </c>
      <c r="L409" s="6">
        <v>1.968148946762085</v>
      </c>
      <c r="M409" s="6">
        <v>-0.95302140712738004</v>
      </c>
      <c r="N409" s="6">
        <v>1.6341613738156531</v>
      </c>
      <c r="O409" s="6">
        <v>1.622475980608296</v>
      </c>
      <c r="P409" s="6">
        <v>0.67689114135655304</v>
      </c>
      <c r="Q409" s="6">
        <v>0.71392098732036202</v>
      </c>
      <c r="R409" s="6">
        <v>5.710694341143757</v>
      </c>
      <c r="S409" s="6">
        <v>6.6290501013336369</v>
      </c>
      <c r="T409" s="6">
        <v>12.116135597229004</v>
      </c>
      <c r="U409" s="6" t="str">
        <f>_xll.BDP($A409,"TRAILING_12M_R&amp;D_%_SALES",$A$1,$A$2)</f>
        <v>#N/A N/A</v>
      </c>
      <c r="V409" s="6">
        <v>40</v>
      </c>
      <c r="W409" s="6">
        <v>401010</v>
      </c>
      <c r="X409" s="6">
        <v>40101010</v>
      </c>
      <c r="Y409" s="7" t="s">
        <v>43</v>
      </c>
      <c r="Z409" s="7" t="s">
        <v>67</v>
      </c>
      <c r="AA409" s="7" t="s">
        <v>68</v>
      </c>
      <c r="AB409" s="6">
        <v>61.744289398193359</v>
      </c>
      <c r="AC409" s="6">
        <v>1.03686709376662</v>
      </c>
      <c r="AD409" s="6">
        <v>13.636847479142533</v>
      </c>
      <c r="AE409" s="6">
        <v>59354</v>
      </c>
      <c r="AF409" s="6">
        <v>67905</v>
      </c>
    </row>
    <row r="410" spans="1:32" s="4" customFormat="1" ht="12.75" x14ac:dyDescent="0.2">
      <c r="A410" s="7" t="s">
        <v>1382</v>
      </c>
      <c r="B410" s="7" t="s">
        <v>1383</v>
      </c>
      <c r="C410" s="7" t="s">
        <v>1384</v>
      </c>
      <c r="D410" s="6">
        <v>7.2743237018585011E-2</v>
      </c>
      <c r="E410" s="6">
        <v>2.8816781044006352</v>
      </c>
      <c r="F410" s="6">
        <v>0.19547788798809101</v>
      </c>
      <c r="G410" s="6">
        <v>-0.75526612997055109</v>
      </c>
      <c r="H410" s="6">
        <v>0.36535006761550903</v>
      </c>
      <c r="I410" s="6">
        <v>0.19316104054451003</v>
      </c>
      <c r="J410" s="6">
        <v>-0.49762037396431003</v>
      </c>
      <c r="K410" s="6">
        <v>0.26116234064102201</v>
      </c>
      <c r="L410" s="6">
        <v>-0.45989468693733204</v>
      </c>
      <c r="M410" s="6">
        <v>1.8932007253170003E-2</v>
      </c>
      <c r="N410" s="6">
        <v>16.621383866443104</v>
      </c>
      <c r="O410" s="6">
        <v>14.240325297698712</v>
      </c>
      <c r="P410" s="6">
        <v>63.459495362760919</v>
      </c>
      <c r="Q410" s="6">
        <v>40.759749620384937</v>
      </c>
      <c r="R410" s="6">
        <v>35.674418836534386</v>
      </c>
      <c r="S410" s="6">
        <v>29.97680764285392</v>
      </c>
      <c r="T410" s="6">
        <v>172.49052429199219</v>
      </c>
      <c r="U410" s="6" t="str">
        <f>_xll.BDP($A410,"TRAILING_12M_R&amp;D_%_SALES",$A$1,$A$2)</f>
        <v>#N/A N/A</v>
      </c>
      <c r="V410" s="6">
        <v>40</v>
      </c>
      <c r="W410" s="6">
        <v>402010</v>
      </c>
      <c r="X410" s="6">
        <v>40201060</v>
      </c>
      <c r="Y410" s="7" t="s">
        <v>43</v>
      </c>
      <c r="Z410" s="7" t="s">
        <v>255</v>
      </c>
      <c r="AA410" s="7" t="s">
        <v>445</v>
      </c>
      <c r="AB410" s="6">
        <v>56.603961944580078</v>
      </c>
      <c r="AC410" s="6">
        <v>0.9223696359155481</v>
      </c>
      <c r="AD410" s="6">
        <v>23.224608313694304</v>
      </c>
      <c r="AE410" s="6">
        <v>29900</v>
      </c>
      <c r="AF410" s="6">
        <v>13400</v>
      </c>
    </row>
    <row r="411" spans="1:32" s="4" customFormat="1" ht="12.75" x14ac:dyDescent="0.2">
      <c r="A411" s="7" t="s">
        <v>1385</v>
      </c>
      <c r="B411" s="7" t="s">
        <v>1386</v>
      </c>
      <c r="C411" s="7" t="s">
        <v>1387</v>
      </c>
      <c r="D411" s="6">
        <v>-0.68206715583801303</v>
      </c>
      <c r="E411" s="6">
        <v>-4.1411824524403E-2</v>
      </c>
      <c r="F411" s="6">
        <v>-5.0099849700928005E-2</v>
      </c>
      <c r="G411" s="6">
        <v>-9.613634645938901E-2</v>
      </c>
      <c r="H411" s="6">
        <v>1.189543604850769</v>
      </c>
      <c r="I411" s="6">
        <v>0.17605221271514901</v>
      </c>
      <c r="J411" s="6">
        <v>-0.18814751505851701</v>
      </c>
      <c r="K411" s="6">
        <v>-0.88058829307556208</v>
      </c>
      <c r="L411" s="6">
        <v>-0.23873266577720603</v>
      </c>
      <c r="M411" s="6">
        <v>8.1183917820454005E-2</v>
      </c>
      <c r="N411" s="6">
        <v>2.939662326234183</v>
      </c>
      <c r="O411" s="6">
        <v>2.5984298874984382</v>
      </c>
      <c r="P411" s="6"/>
      <c r="Q411" s="6"/>
      <c r="R411" s="6">
        <v>24.560285735770858</v>
      </c>
      <c r="S411" s="6">
        <v>23.298581981442471</v>
      </c>
      <c r="T411" s="6"/>
      <c r="U411" s="6">
        <f>_xll.BDP($A411,"TRAILING_12M_R&amp;D_%_SALES",$A$1,$A$2)</f>
        <v>0</v>
      </c>
      <c r="V411" s="6">
        <v>25</v>
      </c>
      <c r="W411" s="6">
        <v>253010</v>
      </c>
      <c r="X411" s="6">
        <v>25301020</v>
      </c>
      <c r="Y411" s="7" t="s">
        <v>85</v>
      </c>
      <c r="Z411" s="7" t="s">
        <v>86</v>
      </c>
      <c r="AA411" s="7" t="s">
        <v>87</v>
      </c>
      <c r="AB411" s="6">
        <v>62.066192626953125</v>
      </c>
      <c r="AC411" s="6">
        <v>0.98462524307076904</v>
      </c>
      <c r="AD411" s="6">
        <v>53.991177535223891</v>
      </c>
      <c r="AE411" s="6">
        <v>140000</v>
      </c>
      <c r="AF411" s="6">
        <v>177000</v>
      </c>
    </row>
    <row r="412" spans="1:32" s="4" customFormat="1" ht="12.75" x14ac:dyDescent="0.2">
      <c r="A412" s="7" t="s">
        <v>1388</v>
      </c>
      <c r="B412" s="7" t="s">
        <v>1389</v>
      </c>
      <c r="C412" s="7" t="s">
        <v>1390</v>
      </c>
      <c r="D412" s="6">
        <v>-0.5260152220726011</v>
      </c>
      <c r="E412" s="6">
        <v>-0.62382042407989502</v>
      </c>
      <c r="F412" s="6">
        <v>2.0473461151123051</v>
      </c>
      <c r="G412" s="6">
        <v>-0.42956644296646102</v>
      </c>
      <c r="H412" s="6">
        <v>0.21972832083702101</v>
      </c>
      <c r="I412" s="6">
        <v>1.658532381057739</v>
      </c>
      <c r="J412" s="6">
        <v>1.2277237176895139</v>
      </c>
      <c r="K412" s="6">
        <v>-1.3138964176177981</v>
      </c>
      <c r="L412" s="6">
        <v>0.91828465461731013</v>
      </c>
      <c r="M412" s="6">
        <v>-0.38367903232574502</v>
      </c>
      <c r="N412" s="6">
        <v>0.51428863925444301</v>
      </c>
      <c r="O412" s="6">
        <v>0.48089691736695006</v>
      </c>
      <c r="P412" s="6">
        <v>1.1544553302144189</v>
      </c>
      <c r="Q412" s="6">
        <v>1.054895419124819</v>
      </c>
      <c r="R412" s="6">
        <v>7.9153939864604395</v>
      </c>
      <c r="S412" s="6">
        <v>7.9605043626742011</v>
      </c>
      <c r="T412" s="6">
        <v>15.987610816955566</v>
      </c>
      <c r="U412" s="6">
        <f>_xll.BDP($A412,"TRAILING_12M_R&amp;D_%_SALES",$A$1,$A$2)</f>
        <v>0</v>
      </c>
      <c r="V412" s="6">
        <v>20</v>
      </c>
      <c r="W412" s="6">
        <v>201070</v>
      </c>
      <c r="X412" s="6">
        <v>20107010</v>
      </c>
      <c r="Y412" s="7" t="s">
        <v>38</v>
      </c>
      <c r="Z412" s="7" t="s">
        <v>39</v>
      </c>
      <c r="AA412" s="7" t="s">
        <v>39</v>
      </c>
      <c r="AB412" s="6">
        <v>59.008148193359375</v>
      </c>
      <c r="AC412" s="6">
        <v>0.7349103896400131</v>
      </c>
      <c r="AD412" s="6">
        <v>42.504251933588044</v>
      </c>
      <c r="AE412" s="6">
        <v>45995</v>
      </c>
      <c r="AF412" s="6">
        <v>41353</v>
      </c>
    </row>
    <row r="413" spans="1:32" s="4" customFormat="1" ht="12.75" x14ac:dyDescent="0.2">
      <c r="A413" s="7" t="s">
        <v>1391</v>
      </c>
      <c r="B413" s="7" t="s">
        <v>1392</v>
      </c>
      <c r="C413" s="7" t="s">
        <v>1393</v>
      </c>
      <c r="D413" s="6">
        <v>-0.5260152220726011</v>
      </c>
      <c r="E413" s="6">
        <v>-0.62382042407989502</v>
      </c>
      <c r="F413" s="6">
        <v>2.0473461151123051</v>
      </c>
      <c r="G413" s="6">
        <v>-0.42956644296646102</v>
      </c>
      <c r="H413" s="6">
        <v>0.21972832083702101</v>
      </c>
      <c r="I413" s="6">
        <v>1.658532381057739</v>
      </c>
      <c r="J413" s="6">
        <v>1.2277237176895139</v>
      </c>
      <c r="K413" s="6">
        <v>-1.3138964176177981</v>
      </c>
      <c r="L413" s="6">
        <v>0.91828465461731013</v>
      </c>
      <c r="M413" s="6">
        <v>-0.38367903232574502</v>
      </c>
      <c r="N413" s="6">
        <v>0.51428863925444301</v>
      </c>
      <c r="O413" s="6">
        <v>0.39890156289540002</v>
      </c>
      <c r="P413" s="6">
        <v>1.1544553302144189</v>
      </c>
      <c r="Q413" s="6"/>
      <c r="R413" s="6">
        <v>7.9153939864604395</v>
      </c>
      <c r="S413" s="6">
        <v>8.1844812707116734</v>
      </c>
      <c r="T413" s="6">
        <v>15.987610816955566</v>
      </c>
      <c r="U413" s="6">
        <f>_xll.BDP($A413,"TRAILING_12M_R&amp;D_%_SALES",$A$1,$A$2)</f>
        <v>0</v>
      </c>
      <c r="V413" s="6">
        <v>20</v>
      </c>
      <c r="W413" s="6">
        <v>201070</v>
      </c>
      <c r="X413" s="6">
        <v>20107010</v>
      </c>
      <c r="Y413" s="7" t="s">
        <v>38</v>
      </c>
      <c r="Z413" s="7" t="s">
        <v>39</v>
      </c>
      <c r="AA413" s="7" t="s">
        <v>39</v>
      </c>
      <c r="AB413" s="6">
        <v>59.008148193359375</v>
      </c>
      <c r="AC413" s="6">
        <v>0.77493467036829511</v>
      </c>
      <c r="AD413" s="6">
        <v>41.740538849871101</v>
      </c>
      <c r="AE413" s="6">
        <v>45995</v>
      </c>
      <c r="AF413" s="6">
        <v>41353</v>
      </c>
    </row>
    <row r="414" spans="1:32" s="4" customFormat="1" ht="12.75" x14ac:dyDescent="0.2">
      <c r="A414" s="7" t="s">
        <v>1394</v>
      </c>
      <c r="B414" s="7" t="s">
        <v>1395</v>
      </c>
      <c r="C414" s="7" t="s">
        <v>1396</v>
      </c>
      <c r="D414" s="6">
        <v>1.0511152744293211</v>
      </c>
      <c r="E414" s="6">
        <v>-1.0665522813796999</v>
      </c>
      <c r="F414" s="6">
        <v>-0.10546270757913601</v>
      </c>
      <c r="G414" s="6">
        <v>-0.26548469066619901</v>
      </c>
      <c r="H414" s="6">
        <v>1.1936855316162109</v>
      </c>
      <c r="I414" s="6">
        <v>1.649165272712708</v>
      </c>
      <c r="J414" s="6">
        <v>1.9371846914291382</v>
      </c>
      <c r="K414" s="6">
        <v>-1.165002703666687</v>
      </c>
      <c r="L414" s="6">
        <v>0.81797766685485807</v>
      </c>
      <c r="M414" s="6">
        <v>-0.97611457109451305</v>
      </c>
      <c r="N414" s="6">
        <v>1.4988742047322909</v>
      </c>
      <c r="O414" s="6">
        <v>3.1464991308854078</v>
      </c>
      <c r="P414" s="6">
        <v>0.78665183396195304</v>
      </c>
      <c r="Q414" s="6">
        <v>0.73407644331063704</v>
      </c>
      <c r="R414" s="6">
        <v>8.0495664024592912</v>
      </c>
      <c r="S414" s="6">
        <v>9.7065577246433641</v>
      </c>
      <c r="T414" s="6">
        <v>10.257819175720215</v>
      </c>
      <c r="U414" s="6" t="str">
        <f>_xll.BDP($A414,"TRAILING_12M_R&amp;D_%_SALES",$A$1,$A$2)</f>
        <v>#N/A N/A</v>
      </c>
      <c r="V414" s="6">
        <v>40</v>
      </c>
      <c r="W414" s="6">
        <v>401010</v>
      </c>
      <c r="X414" s="6">
        <v>40101010</v>
      </c>
      <c r="Y414" s="7" t="s">
        <v>43</v>
      </c>
      <c r="Z414" s="7" t="s">
        <v>67</v>
      </c>
      <c r="AA414" s="7" t="s">
        <v>68</v>
      </c>
      <c r="AB414" s="6">
        <v>59.722362518310547</v>
      </c>
      <c r="AC414" s="6">
        <v>0.63931962479999305</v>
      </c>
      <c r="AD414" s="6">
        <v>27.744645856728532</v>
      </c>
      <c r="AE414" s="6">
        <v>127122</v>
      </c>
      <c r="AF414" s="6">
        <v>117321</v>
      </c>
    </row>
    <row r="415" spans="1:32" s="4" customFormat="1" ht="12.75" x14ac:dyDescent="0.2">
      <c r="A415" s="7" t="s">
        <v>1397</v>
      </c>
      <c r="B415" s="7" t="s">
        <v>1398</v>
      </c>
      <c r="C415" s="7" t="s">
        <v>1399</v>
      </c>
      <c r="D415" s="6">
        <v>0.51414328813552901</v>
      </c>
      <c r="E415" s="6">
        <v>-0.60868090391159102</v>
      </c>
      <c r="F415" s="6">
        <v>-0.289731204509735</v>
      </c>
      <c r="G415" s="6">
        <v>-0.84784954786300704</v>
      </c>
      <c r="H415" s="6">
        <v>1.043810963630676</v>
      </c>
      <c r="I415" s="6">
        <v>0.23005509376525901</v>
      </c>
      <c r="J415" s="6">
        <v>2.3282754421234131</v>
      </c>
      <c r="K415" s="6">
        <v>-1.320425391197205</v>
      </c>
      <c r="L415" s="6">
        <v>2.8933060169219971</v>
      </c>
      <c r="M415" s="6">
        <v>-0.44072267413139304</v>
      </c>
      <c r="N415" s="6">
        <v>0.43294144603506002</v>
      </c>
      <c r="O415" s="6">
        <v>0.42834768765087206</v>
      </c>
      <c r="P415" s="6">
        <v>0.73525974583863707</v>
      </c>
      <c r="Q415" s="6">
        <v>0.6802429656255321</v>
      </c>
      <c r="R415" s="6">
        <v>4.4076436245676884</v>
      </c>
      <c r="S415" s="6">
        <v>5.3473872409403791</v>
      </c>
      <c r="T415" s="6">
        <v>17.525766372680664</v>
      </c>
      <c r="U415" s="6">
        <f>_xll.BDP($A415,"TRAILING_12M_R&amp;D_%_SALES",$A$1,$A$2)</f>
        <v>6.6733519238430157</v>
      </c>
      <c r="V415" s="6">
        <v>25</v>
      </c>
      <c r="W415" s="6">
        <v>251020</v>
      </c>
      <c r="X415" s="6">
        <v>25102010</v>
      </c>
      <c r="Y415" s="7" t="s">
        <v>85</v>
      </c>
      <c r="Z415" s="7" t="s">
        <v>316</v>
      </c>
      <c r="AA415" s="7" t="s">
        <v>317</v>
      </c>
      <c r="AB415" s="6">
        <v>72.527915954589844</v>
      </c>
      <c r="AC415" s="6">
        <v>0.91654083875817705</v>
      </c>
      <c r="AD415" s="6">
        <v>12.729454722919908</v>
      </c>
      <c r="AE415" s="6">
        <v>168797</v>
      </c>
      <c r="AF415" s="6">
        <v>289530</v>
      </c>
    </row>
    <row r="416" spans="1:32" s="4" customFormat="1" ht="12.75" x14ac:dyDescent="0.2">
      <c r="A416" s="7" t="s">
        <v>1400</v>
      </c>
      <c r="B416" s="7" t="s">
        <v>1401</v>
      </c>
      <c r="C416" s="7" t="s">
        <v>1402</v>
      </c>
      <c r="D416" s="6">
        <v>0.51414328813552901</v>
      </c>
      <c r="E416" s="6">
        <v>-0.60868090391159102</v>
      </c>
      <c r="F416" s="6">
        <v>-0.289731204509735</v>
      </c>
      <c r="G416" s="6">
        <v>-0.84784954786300704</v>
      </c>
      <c r="H416" s="6">
        <v>1.043810963630676</v>
      </c>
      <c r="I416" s="6">
        <v>0.23005509376525901</v>
      </c>
      <c r="J416" s="6">
        <v>2.3282754421234131</v>
      </c>
      <c r="K416" s="6">
        <v>-1.320425391197205</v>
      </c>
      <c r="L416" s="6">
        <v>2.8933060169219971</v>
      </c>
      <c r="M416" s="6">
        <v>-0.44072267413139304</v>
      </c>
      <c r="N416" s="6">
        <v>0.43294144603506002</v>
      </c>
      <c r="O416" s="6"/>
      <c r="P416" s="6">
        <v>0.73525974583863707</v>
      </c>
      <c r="Q416" s="6"/>
      <c r="R416" s="6">
        <v>4.4076436245676884</v>
      </c>
      <c r="S416" s="6"/>
      <c r="T416" s="6">
        <v>17.525766372680664</v>
      </c>
      <c r="U416" s="6">
        <f>_xll.BDP($A416,"TRAILING_12M_R&amp;D_%_SALES",$A$1,$A$2)</f>
        <v>6.6733519238430157</v>
      </c>
      <c r="V416" s="6">
        <v>25</v>
      </c>
      <c r="W416" s="6">
        <v>251020</v>
      </c>
      <c r="X416" s="6">
        <v>25102010</v>
      </c>
      <c r="Y416" s="7" t="s">
        <v>85</v>
      </c>
      <c r="Z416" s="7" t="s">
        <v>316</v>
      </c>
      <c r="AA416" s="7" t="s">
        <v>317</v>
      </c>
      <c r="AB416" s="6">
        <v>72.527915954589844</v>
      </c>
      <c r="AC416" s="6">
        <v>0.96139693475417809</v>
      </c>
      <c r="AD416" s="6">
        <v>13.139502033356077</v>
      </c>
      <c r="AE416" s="6">
        <v>168797</v>
      </c>
      <c r="AF416" s="6">
        <v>289530</v>
      </c>
    </row>
    <row r="417" spans="1:32" s="4" customFormat="1" ht="12.75" x14ac:dyDescent="0.2">
      <c r="A417" s="7" t="s">
        <v>1403</v>
      </c>
      <c r="B417" s="7" t="s">
        <v>1404</v>
      </c>
      <c r="C417" s="7" t="s">
        <v>1405</v>
      </c>
      <c r="D417" s="6">
        <v>-8.141439408063901E-2</v>
      </c>
      <c r="E417" s="6">
        <v>0.32802331447601302</v>
      </c>
      <c r="F417" s="6">
        <v>0.11140510439872701</v>
      </c>
      <c r="G417" s="6">
        <v>-0.63626980781555209</v>
      </c>
      <c r="H417" s="6">
        <v>2.01912522315979</v>
      </c>
      <c r="I417" s="6">
        <v>-0.28870549798011802</v>
      </c>
      <c r="J417" s="6">
        <v>-0.296838968992233</v>
      </c>
      <c r="K417" s="6">
        <v>-0.6936065554618841</v>
      </c>
      <c r="L417" s="6">
        <v>0.46117177605629006</v>
      </c>
      <c r="M417" s="6">
        <v>-0.60337579250335704</v>
      </c>
      <c r="N417" s="6">
        <v>8.662335386786566</v>
      </c>
      <c r="O417" s="6">
        <v>7.9270497040808205</v>
      </c>
      <c r="P417" s="6"/>
      <c r="Q417" s="6"/>
      <c r="R417" s="6">
        <v>25.526441275108276</v>
      </c>
      <c r="S417" s="6">
        <v>23.696535118533252</v>
      </c>
      <c r="T417" s="6"/>
      <c r="U417" s="6" t="str">
        <f>_xll.BDP($A417,"TRAILING_12M_R&amp;D_%_SALES",$A$1,$A$2)</f>
        <v>#N/A N/A</v>
      </c>
      <c r="V417" s="6">
        <v>25</v>
      </c>
      <c r="W417" s="6">
        <v>253010</v>
      </c>
      <c r="X417" s="6">
        <v>25301040</v>
      </c>
      <c r="Y417" s="7" t="s">
        <v>85</v>
      </c>
      <c r="Z417" s="7" t="s">
        <v>86</v>
      </c>
      <c r="AA417" s="7" t="s">
        <v>1406</v>
      </c>
      <c r="AB417" s="6">
        <v>51.141735076904297</v>
      </c>
      <c r="AC417" s="6">
        <v>0.66567702574975007</v>
      </c>
      <c r="AD417" s="6">
        <v>14.010448880851701</v>
      </c>
      <c r="AE417" s="6">
        <v>150000</v>
      </c>
      <c r="AF417" s="6">
        <v>235000</v>
      </c>
    </row>
    <row r="418" spans="1:32" s="4" customFormat="1" ht="12.75" x14ac:dyDescent="0.2">
      <c r="A418" s="7" t="s">
        <v>1407</v>
      </c>
      <c r="B418" s="7" t="s">
        <v>1408</v>
      </c>
      <c r="C418" s="7" t="s">
        <v>1409</v>
      </c>
      <c r="D418" s="6">
        <v>0.155373349785805</v>
      </c>
      <c r="E418" s="6">
        <v>0.93886506557464611</v>
      </c>
      <c r="F418" s="6">
        <v>-1.1695350408554079</v>
      </c>
      <c r="G418" s="6">
        <v>-1.9335780292749002E-2</v>
      </c>
      <c r="H418" s="6">
        <v>0.44792723655700706</v>
      </c>
      <c r="I418" s="6">
        <v>0.25372338294982905</v>
      </c>
      <c r="J418" s="6">
        <v>0.186054557561874</v>
      </c>
      <c r="K418" s="6">
        <v>0.62065804004669201</v>
      </c>
      <c r="L418" s="6">
        <v>-0.46842989325523404</v>
      </c>
      <c r="M418" s="6">
        <v>0.52395004034042403</v>
      </c>
      <c r="N418" s="6">
        <v>0.21708513667877802</v>
      </c>
      <c r="O418" s="6">
        <v>0.19094106484932402</v>
      </c>
      <c r="P418" s="6"/>
      <c r="Q418" s="6"/>
      <c r="R418" s="6">
        <v>17.336255790532118</v>
      </c>
      <c r="S418" s="6">
        <v>15.569251435737568</v>
      </c>
      <c r="T418" s="6"/>
      <c r="U418" s="6" t="str">
        <f>_xll.BDP($A418,"TRAILING_12M_R&amp;D_%_SALES",$A$1,$A$2)</f>
        <v>#N/A N/A</v>
      </c>
      <c r="V418" s="6">
        <v>35</v>
      </c>
      <c r="W418" s="6">
        <v>351020</v>
      </c>
      <c r="X418" s="6">
        <v>35102010</v>
      </c>
      <c r="Y418" s="7" t="s">
        <v>72</v>
      </c>
      <c r="Z418" s="7" t="s">
        <v>467</v>
      </c>
      <c r="AA418" s="7" t="s">
        <v>468</v>
      </c>
      <c r="AB418" s="6">
        <v>51.765415191650391</v>
      </c>
      <c r="AC418" s="6">
        <v>0.45556197615221505</v>
      </c>
      <c r="AD418" s="6">
        <v>24.132630334553372</v>
      </c>
      <c r="AE418" s="6">
        <v>45000</v>
      </c>
      <c r="AF418" s="6">
        <v>58000</v>
      </c>
    </row>
    <row r="419" spans="1:32" s="4" customFormat="1" ht="12.75" x14ac:dyDescent="0.2">
      <c r="A419" s="7" t="s">
        <v>1410</v>
      </c>
      <c r="B419" s="7" t="s">
        <v>1411</v>
      </c>
      <c r="C419" s="7" t="s">
        <v>1412</v>
      </c>
      <c r="D419" s="6">
        <v>-0.19709987938404103</v>
      </c>
      <c r="E419" s="6">
        <v>-0.86742800474166903</v>
      </c>
      <c r="F419" s="6">
        <v>-1.805027961730957</v>
      </c>
      <c r="G419" s="6">
        <v>-0.88881987333297707</v>
      </c>
      <c r="H419" s="6">
        <v>1.3706927299499509</v>
      </c>
      <c r="I419" s="6">
        <v>-0.46382209658622703</v>
      </c>
      <c r="J419" s="6">
        <v>-0.56349545717239402</v>
      </c>
      <c r="K419" s="6">
        <v>-0.34663474559783902</v>
      </c>
      <c r="L419" s="6">
        <v>1.3583028316497801</v>
      </c>
      <c r="M419" s="6">
        <v>0.14409954845905301</v>
      </c>
      <c r="N419" s="6">
        <v>2.17900696317998</v>
      </c>
      <c r="O419" s="6">
        <v>3.8613888376639691</v>
      </c>
      <c r="P419" s="6">
        <v>2.069454387187049</v>
      </c>
      <c r="Q419" s="6">
        <v>2.0106730359181268</v>
      </c>
      <c r="R419" s="6">
        <v>16.403618081547826</v>
      </c>
      <c r="S419" s="6">
        <v>16.744004979722579</v>
      </c>
      <c r="T419" s="6">
        <v>12.968056678771973</v>
      </c>
      <c r="U419" s="6" t="str">
        <f>_xll.BDP($A419,"TRAILING_12M_R&amp;D_%_SALES",$A$1,$A$2)</f>
        <v>#N/A N/A</v>
      </c>
      <c r="V419" s="6">
        <v>40</v>
      </c>
      <c r="W419" s="6">
        <v>402030</v>
      </c>
      <c r="X419" s="6">
        <v>40203030</v>
      </c>
      <c r="Y419" s="7" t="s">
        <v>43</v>
      </c>
      <c r="Z419" s="7" t="s">
        <v>212</v>
      </c>
      <c r="AA419" s="7" t="s">
        <v>714</v>
      </c>
      <c r="AB419" s="6">
        <v>52.459510803222656</v>
      </c>
      <c r="AC419" s="6">
        <v>0.48950348047629905</v>
      </c>
      <c r="AD419" s="6">
        <v>13.007883432480805</v>
      </c>
      <c r="AE419" s="6">
        <v>20509</v>
      </c>
      <c r="AF419" s="6">
        <v>14469</v>
      </c>
    </row>
    <row r="420" spans="1:32" s="4" customFormat="1" ht="12.75" x14ac:dyDescent="0.2">
      <c r="A420" s="7" t="s">
        <v>1413</v>
      </c>
      <c r="B420" s="7" t="s">
        <v>1414</v>
      </c>
      <c r="C420" s="7" t="s">
        <v>1415</v>
      </c>
      <c r="D420" s="6">
        <v>-0.137015506625175</v>
      </c>
      <c r="E420" s="6">
        <v>0.25393089652061501</v>
      </c>
      <c r="F420" s="6">
        <v>-0.20608386397361803</v>
      </c>
      <c r="G420" s="6">
        <v>-0.42417535185813904</v>
      </c>
      <c r="H420" s="6">
        <v>4.0509030222893004E-2</v>
      </c>
      <c r="I420" s="6">
        <v>1.8552897498012002E-2</v>
      </c>
      <c r="J420" s="6">
        <v>-0.10407507419586201</v>
      </c>
      <c r="K420" s="6">
        <v>-0.80535411834716808</v>
      </c>
      <c r="L420" s="6">
        <v>0.39947897195816001</v>
      </c>
      <c r="M420" s="6">
        <v>-0.92041373252868708</v>
      </c>
      <c r="N420" s="6">
        <v>2.7935849958404289</v>
      </c>
      <c r="O420" s="6">
        <v>2.631289134708136</v>
      </c>
      <c r="P420" s="6">
        <v>3.4542669737111651</v>
      </c>
      <c r="Q420" s="6">
        <v>3.382998637149949</v>
      </c>
      <c r="R420" s="6">
        <v>22.86892448976139</v>
      </c>
      <c r="S420" s="6">
        <v>20.528124780177755</v>
      </c>
      <c r="T420" s="6">
        <v>16.644918441772461</v>
      </c>
      <c r="U420" s="6" t="str">
        <f>_xll.BDP($A420,"TRAILING_12M_R&amp;D_%_SALES",$A$1,$A$2)</f>
        <v>#N/A N/A</v>
      </c>
      <c r="V420" s="6">
        <v>30</v>
      </c>
      <c r="W420" s="6">
        <v>302020</v>
      </c>
      <c r="X420" s="6">
        <v>30202030</v>
      </c>
      <c r="Y420" s="7" t="s">
        <v>106</v>
      </c>
      <c r="Z420" s="7" t="s">
        <v>135</v>
      </c>
      <c r="AA420" s="7" t="s">
        <v>710</v>
      </c>
      <c r="AB420" s="6">
        <v>58.827079772949219</v>
      </c>
      <c r="AC420" s="6">
        <v>0.65604032344861707</v>
      </c>
      <c r="AD420" s="6">
        <v>10.647197079165593</v>
      </c>
      <c r="AE420" s="6">
        <v>91000</v>
      </c>
      <c r="AF420" s="6">
        <v>83000</v>
      </c>
    </row>
    <row r="421" spans="1:32" s="4" customFormat="1" ht="12.75" x14ac:dyDescent="0.2">
      <c r="A421" s="7" t="s">
        <v>1416</v>
      </c>
      <c r="B421" s="7" t="s">
        <v>1417</v>
      </c>
      <c r="C421" s="7" t="s">
        <v>1418</v>
      </c>
      <c r="D421" s="6">
        <v>-6.1967957764864003E-2</v>
      </c>
      <c r="E421" s="6">
        <v>-0.69691586494445801</v>
      </c>
      <c r="F421" s="6">
        <v>-0.21833363175392201</v>
      </c>
      <c r="G421" s="6">
        <v>-0.47811296582222002</v>
      </c>
      <c r="H421" s="6">
        <v>-7.8971385955811005E-2</v>
      </c>
      <c r="I421" s="6">
        <v>-0.80006331205368009</v>
      </c>
      <c r="J421" s="6">
        <v>0.12485962361097301</v>
      </c>
      <c r="K421" s="6">
        <v>-1.0625345706939699</v>
      </c>
      <c r="L421" s="6">
        <v>0.91793704032897905</v>
      </c>
      <c r="M421" s="6">
        <v>-0.98973178863525413</v>
      </c>
      <c r="N421" s="6">
        <v>3.4293653860644402</v>
      </c>
      <c r="O421" s="6">
        <v>3.3147641914429489</v>
      </c>
      <c r="P421" s="6">
        <v>2.1294148133379318</v>
      </c>
      <c r="Q421" s="6">
        <v>2.082494438757299</v>
      </c>
      <c r="R421" s="6">
        <v>19.546691152729611</v>
      </c>
      <c r="S421" s="6">
        <v>15.389077599058199</v>
      </c>
      <c r="T421" s="6">
        <v>7.9369068145751953</v>
      </c>
      <c r="U421" s="6">
        <f>_xll.BDP($A421,"TRAILING_12M_R&amp;D_%_SALES",$A$1,$A$2)</f>
        <v>8.2020542787433364</v>
      </c>
      <c r="V421" s="6">
        <v>35</v>
      </c>
      <c r="W421" s="6">
        <v>351010</v>
      </c>
      <c r="X421" s="6">
        <v>35101010</v>
      </c>
      <c r="Y421" s="7" t="s">
        <v>72</v>
      </c>
      <c r="Z421" s="7" t="s">
        <v>91</v>
      </c>
      <c r="AA421" s="7" t="s">
        <v>92</v>
      </c>
      <c r="AB421" s="6">
        <v>62.689868927001953</v>
      </c>
      <c r="AC421" s="6">
        <v>0.7684985637650531</v>
      </c>
      <c r="AD421" s="6">
        <v>9.4803740682943385</v>
      </c>
      <c r="AE421" s="6">
        <v>95000</v>
      </c>
      <c r="AF421" s="6">
        <v>86000</v>
      </c>
    </row>
    <row r="422" spans="1:32" s="4" customFormat="1" ht="12.75" x14ac:dyDescent="0.2">
      <c r="A422" s="7" t="s">
        <v>1419</v>
      </c>
      <c r="B422" s="7" t="s">
        <v>1420</v>
      </c>
      <c r="C422" s="7" t="s">
        <v>1421</v>
      </c>
      <c r="D422" s="6">
        <v>-0.94433730840683006</v>
      </c>
      <c r="E422" s="6">
        <v>-0.44717761874198902</v>
      </c>
      <c r="F422" s="6">
        <v>-1.3229413032531741</v>
      </c>
      <c r="G422" s="6">
        <v>0.81940680742263805</v>
      </c>
      <c r="H422" s="6">
        <v>-0.109862543642521</v>
      </c>
      <c r="I422" s="6">
        <v>0.63846254348754905</v>
      </c>
      <c r="J422" s="6">
        <v>-0.44763097167015103</v>
      </c>
      <c r="K422" s="6">
        <v>2.628978967666626</v>
      </c>
      <c r="L422" s="6">
        <v>-0.72281217575073209</v>
      </c>
      <c r="M422" s="6">
        <v>2.550073385238647</v>
      </c>
      <c r="N422" s="6">
        <v>5.9661397898959603</v>
      </c>
      <c r="O422" s="6">
        <v>4.5176446696866552</v>
      </c>
      <c r="P422" s="6">
        <v>28.951926790106963</v>
      </c>
      <c r="Q422" s="6">
        <v>15.700484738467148</v>
      </c>
      <c r="R422" s="6">
        <v>80.556765697117953</v>
      </c>
      <c r="S422" s="6">
        <v>46.738777332844428</v>
      </c>
      <c r="T422" s="6">
        <v>45.150962829589844</v>
      </c>
      <c r="U422" s="6">
        <f>_xll.BDP($A422,"TRAILING_12M_R&amp;D_%_SALES",$A$1,$A$2)</f>
        <v>9.3083698320257984</v>
      </c>
      <c r="V422" s="6">
        <v>25</v>
      </c>
      <c r="W422" s="6">
        <v>255030</v>
      </c>
      <c r="X422" s="6">
        <v>25503030</v>
      </c>
      <c r="Y422" s="7" t="s">
        <v>85</v>
      </c>
      <c r="Z422" s="7" t="s">
        <v>227</v>
      </c>
      <c r="AA422" s="7" t="s">
        <v>227</v>
      </c>
      <c r="AB422" s="6">
        <v>59.370285034179688</v>
      </c>
      <c r="AC422" s="6">
        <v>1.343795482097224</v>
      </c>
      <c r="AD422" s="6">
        <v>81.412474709598982</v>
      </c>
      <c r="AE422" s="6">
        <v>40548</v>
      </c>
      <c r="AF422" s="6">
        <v>5582</v>
      </c>
    </row>
    <row r="423" spans="1:32" s="4" customFormat="1" ht="12.75" x14ac:dyDescent="0.2">
      <c r="A423" s="7" t="s">
        <v>1422</v>
      </c>
      <c r="B423" s="7" t="s">
        <v>1423</v>
      </c>
      <c r="C423" s="7" t="s">
        <v>1424</v>
      </c>
      <c r="D423" s="6">
        <v>0.40905293822288502</v>
      </c>
      <c r="E423" s="6">
        <v>-1.1012527942657471</v>
      </c>
      <c r="F423" s="6">
        <v>5.7897172868252002E-2</v>
      </c>
      <c r="G423" s="6">
        <v>-0.19849903881549802</v>
      </c>
      <c r="H423" s="6">
        <v>-0.22630049288272902</v>
      </c>
      <c r="I423" s="6">
        <v>-0.41635850071907005</v>
      </c>
      <c r="J423" s="6">
        <v>1.359153151512146</v>
      </c>
      <c r="K423" s="6">
        <v>-1.1948724985122681</v>
      </c>
      <c r="L423" s="6">
        <v>0.8489938378334051</v>
      </c>
      <c r="M423" s="6">
        <v>-1.099722743034363</v>
      </c>
      <c r="N423" s="6">
        <v>0.79376022386995604</v>
      </c>
      <c r="O423" s="6">
        <v>0.66301106931964604</v>
      </c>
      <c r="P423" s="6">
        <v>2.2629040758644612</v>
      </c>
      <c r="Q423" s="6">
        <v>1.8268813268857</v>
      </c>
      <c r="R423" s="6">
        <v>6.9373915678156157</v>
      </c>
      <c r="S423" s="6">
        <v>7.1769887012280789</v>
      </c>
      <c r="T423" s="6">
        <v>10.972882270812988</v>
      </c>
      <c r="U423" s="6" t="str">
        <f>_xll.BDP($A423,"TRAILING_12M_R&amp;D_%_SALES",$A$1,$A$2)</f>
        <v>#N/A N/A</v>
      </c>
      <c r="V423" s="6">
        <v>40</v>
      </c>
      <c r="W423" s="6">
        <v>403010</v>
      </c>
      <c r="X423" s="6">
        <v>40301020</v>
      </c>
      <c r="Y423" s="7" t="s">
        <v>43</v>
      </c>
      <c r="Z423" s="7" t="s">
        <v>44</v>
      </c>
      <c r="AA423" s="7" t="s">
        <v>45</v>
      </c>
      <c r="AB423" s="6">
        <v>57.650135040283203</v>
      </c>
      <c r="AC423" s="6">
        <v>1.044794592330234</v>
      </c>
      <c r="AD423" s="6">
        <v>-5.8827317033975044</v>
      </c>
      <c r="AE423" s="6">
        <v>45000</v>
      </c>
      <c r="AF423" s="6">
        <v>49000</v>
      </c>
    </row>
    <row r="424" spans="1:32" s="4" customFormat="1" ht="12.75" x14ac:dyDescent="0.2">
      <c r="A424" s="7" t="s">
        <v>1425</v>
      </c>
      <c r="B424" s="7" t="s">
        <v>1426</v>
      </c>
      <c r="C424" s="7" t="s">
        <v>1427</v>
      </c>
      <c r="D424" s="6">
        <v>1.1597920656204219</v>
      </c>
      <c r="E424" s="6">
        <v>-0.30021309852600103</v>
      </c>
      <c r="F424" s="6">
        <v>1.426452159881592</v>
      </c>
      <c r="G424" s="6">
        <v>1.102686405181885</v>
      </c>
      <c r="H424" s="6">
        <v>-0.70069533586502109</v>
      </c>
      <c r="I424" s="6">
        <v>1.9725241661071782</v>
      </c>
      <c r="J424" s="6">
        <v>-0.16452796757221202</v>
      </c>
      <c r="K424" s="6">
        <v>0.36189144849777205</v>
      </c>
      <c r="L424" s="6">
        <v>-0.72281217575073209</v>
      </c>
      <c r="M424" s="6">
        <v>0.36373955011367803</v>
      </c>
      <c r="N424" s="6">
        <v>7.2263683332716138</v>
      </c>
      <c r="O424" s="6">
        <v>6.0139544506729496</v>
      </c>
      <c r="P424" s="6">
        <v>6.3695109695488616</v>
      </c>
      <c r="Q424" s="6">
        <v>4.5693718176015334</v>
      </c>
      <c r="R424" s="6">
        <v>23.141777715413035</v>
      </c>
      <c r="S424" s="6">
        <v>19.654834386416656</v>
      </c>
      <c r="T424" s="6">
        <v>22.273914337158203</v>
      </c>
      <c r="U424" s="6">
        <f>_xll.BDP($A424,"TRAILING_12M_R&amp;D_%_SALES",$A$1,$A$2)</f>
        <v>26.669908814589665</v>
      </c>
      <c r="V424" s="6">
        <v>50</v>
      </c>
      <c r="W424" s="6">
        <v>502030</v>
      </c>
      <c r="X424" s="6">
        <v>50203010</v>
      </c>
      <c r="Y424" s="7" t="s">
        <v>311</v>
      </c>
      <c r="Z424" s="7" t="s">
        <v>312</v>
      </c>
      <c r="AA424" s="7" t="s">
        <v>312</v>
      </c>
      <c r="AB424" s="6">
        <v>55.135299682617188</v>
      </c>
      <c r="AC424" s="6">
        <v>1.511378173265816</v>
      </c>
      <c r="AD424" s="6">
        <v>194.32894159947915</v>
      </c>
      <c r="AE424" s="6">
        <v>86482</v>
      </c>
      <c r="AF424" s="6">
        <v>25105</v>
      </c>
    </row>
    <row r="425" spans="1:32" s="4" customFormat="1" ht="12.75" x14ac:dyDescent="0.2">
      <c r="A425" s="7" t="s">
        <v>1428</v>
      </c>
      <c r="B425" s="7" t="s">
        <v>1429</v>
      </c>
      <c r="C425" s="7" t="s">
        <v>1430</v>
      </c>
      <c r="D425" s="6">
        <v>7.7117353677750008E-2</v>
      </c>
      <c r="E425" s="6">
        <v>-0.93900585174560502</v>
      </c>
      <c r="F425" s="6">
        <v>-0.43227145075798001</v>
      </c>
      <c r="G425" s="6">
        <v>-0.27081793546676602</v>
      </c>
      <c r="H425" s="6">
        <v>-0.52210456132888805</v>
      </c>
      <c r="I425" s="6">
        <v>0.12534224987030002</v>
      </c>
      <c r="J425" s="6">
        <v>2.1971931457519531</v>
      </c>
      <c r="K425" s="6">
        <v>-1.4571317434310911</v>
      </c>
      <c r="L425" s="6">
        <v>2.0002326965332031</v>
      </c>
      <c r="M425" s="6">
        <v>-1.0707466602325439</v>
      </c>
      <c r="N425" s="6">
        <v>1.387282082035622</v>
      </c>
      <c r="O425" s="6">
        <v>1.6260838287878472</v>
      </c>
      <c r="P425" s="6">
        <v>1.30637937556352</v>
      </c>
      <c r="Q425" s="6">
        <v>1.15797562980354</v>
      </c>
      <c r="R425" s="6">
        <v>10.995618199210595</v>
      </c>
      <c r="S425" s="6">
        <v>8.1459166290881342</v>
      </c>
      <c r="T425" s="6">
        <v>9.0012750625610352</v>
      </c>
      <c r="U425" s="6" t="str">
        <f>_xll.BDP($A425,"TRAILING_12M_R&amp;D_%_SALES",$A$1,$A$2)</f>
        <v>#N/A N/A</v>
      </c>
      <c r="V425" s="6">
        <v>40</v>
      </c>
      <c r="W425" s="6">
        <v>403010</v>
      </c>
      <c r="X425" s="6">
        <v>40301020</v>
      </c>
      <c r="Y425" s="7" t="s">
        <v>43</v>
      </c>
      <c r="Z425" s="7" t="s">
        <v>44</v>
      </c>
      <c r="AA425" s="7" t="s">
        <v>45</v>
      </c>
      <c r="AB425" s="6">
        <v>60.21527099609375</v>
      </c>
      <c r="AC425" s="6">
        <v>0.95043571734558607</v>
      </c>
      <c r="AD425" s="6">
        <v>30.258681202752591</v>
      </c>
      <c r="AE425" s="6">
        <v>40000</v>
      </c>
      <c r="AF425" s="6">
        <v>34000</v>
      </c>
    </row>
    <row r="426" spans="1:32" s="4" customFormat="1" ht="12.75" x14ac:dyDescent="0.2">
      <c r="A426" s="7" t="s">
        <v>1431</v>
      </c>
      <c r="B426" s="7" t="s">
        <v>1432</v>
      </c>
      <c r="C426" s="7" t="s">
        <v>1433</v>
      </c>
      <c r="D426" s="6">
        <v>0.54212898015976008</v>
      </c>
      <c r="E426" s="6">
        <v>-1.1378821134567261</v>
      </c>
      <c r="F426" s="6">
        <v>-0.7614804506301881</v>
      </c>
      <c r="G426" s="6">
        <v>-0.52553808689117409</v>
      </c>
      <c r="H426" s="6">
        <v>0.9972842335700991</v>
      </c>
      <c r="I426" s="6">
        <v>1.2906689643859859</v>
      </c>
      <c r="J426" s="6">
        <v>2.1171574592590332</v>
      </c>
      <c r="K426" s="6">
        <v>-1.1928672790527339</v>
      </c>
      <c r="L426" s="6">
        <v>1.0545153617858891</v>
      </c>
      <c r="M426" s="6">
        <v>-0.96421611309051503</v>
      </c>
      <c r="N426" s="6">
        <v>0.92852292258077407</v>
      </c>
      <c r="O426" s="6"/>
      <c r="P426" s="6">
        <v>0.63855126613647906</v>
      </c>
      <c r="Q426" s="6"/>
      <c r="R426" s="6">
        <v>9.5941619802031237</v>
      </c>
      <c r="S426" s="6">
        <v>3.6964843456073999</v>
      </c>
      <c r="T426" s="6">
        <v>6.8898811340332031</v>
      </c>
      <c r="U426" s="6" t="str">
        <f>_xll.BDP($A426,"TRAILING_12M_R&amp;D_%_SALES",$A$1,$A$2)</f>
        <v>#N/A N/A</v>
      </c>
      <c r="V426" s="6">
        <v>40</v>
      </c>
      <c r="W426" s="6">
        <v>401010</v>
      </c>
      <c r="X426" s="6">
        <v>40101010</v>
      </c>
      <c r="Y426" s="7" t="s">
        <v>43</v>
      </c>
      <c r="Z426" s="7" t="s">
        <v>67</v>
      </c>
      <c r="AA426" s="7" t="s">
        <v>68</v>
      </c>
      <c r="AB426" s="6">
        <v>60.255508422851563</v>
      </c>
      <c r="AC426" s="6">
        <v>0.8262840178032651</v>
      </c>
      <c r="AD426" s="6">
        <v>27.916424377304882</v>
      </c>
      <c r="AE426" s="6">
        <v>51212</v>
      </c>
      <c r="AF426" s="6">
        <v>60051</v>
      </c>
    </row>
    <row r="427" spans="1:32" s="4" customFormat="1" ht="12.75" x14ac:dyDescent="0.2">
      <c r="A427" s="7" t="s">
        <v>1434</v>
      </c>
      <c r="B427" s="7" t="s">
        <v>1435</v>
      </c>
      <c r="C427" s="7" t="s">
        <v>1436</v>
      </c>
      <c r="D427" s="6">
        <v>-0.94213312864303611</v>
      </c>
      <c r="E427" s="6">
        <v>-0.97078305482864402</v>
      </c>
      <c r="F427" s="6">
        <v>5.1021087914705006E-2</v>
      </c>
      <c r="G427" s="6">
        <v>-0.55672085285186801</v>
      </c>
      <c r="H427" s="6">
        <v>2.0935605280100003E-3</v>
      </c>
      <c r="I427" s="6">
        <v>-0.25639930367469804</v>
      </c>
      <c r="J427" s="6">
        <v>1.138991236686707</v>
      </c>
      <c r="K427" s="6">
        <v>-0.87298101186752308</v>
      </c>
      <c r="L427" s="6">
        <v>0.83736968040466309</v>
      </c>
      <c r="M427" s="6">
        <v>1.8233560025692E-2</v>
      </c>
      <c r="N427" s="6">
        <v>0.40470607887337501</v>
      </c>
      <c r="O427" s="6">
        <v>0.37519939205911701</v>
      </c>
      <c r="P427" s="6">
        <v>1.4916755298725231</v>
      </c>
      <c r="Q427" s="6">
        <v>1.320616055126018</v>
      </c>
      <c r="R427" s="6">
        <v>11.861974035652018</v>
      </c>
      <c r="S427" s="6">
        <v>8.793119125222649</v>
      </c>
      <c r="T427" s="6">
        <v>9.5046062469482422</v>
      </c>
      <c r="U427" s="6" t="str">
        <f>_xll.BDP($A427,"TRAILING_12M_R&amp;D_%_SALES",$A$1,$A$2)</f>
        <v>#N/A N/A</v>
      </c>
      <c r="V427" s="6">
        <v>25</v>
      </c>
      <c r="W427" s="6">
        <v>251010</v>
      </c>
      <c r="X427" s="6">
        <v>25101010</v>
      </c>
      <c r="Y427" s="7" t="s">
        <v>85</v>
      </c>
      <c r="Z427" s="7" t="s">
        <v>430</v>
      </c>
      <c r="AA427" s="7" t="s">
        <v>673</v>
      </c>
      <c r="AB427" s="6">
        <v>55.01458740234375</v>
      </c>
      <c r="AC427" s="6">
        <v>1.2190464270677439</v>
      </c>
      <c r="AD427" s="6">
        <v>6.6944011829376482</v>
      </c>
      <c r="AE427" s="6">
        <v>168000</v>
      </c>
      <c r="AF427" s="6">
        <v>168000</v>
      </c>
    </row>
    <row r="428" spans="1:32" s="4" customFormat="1" ht="12.75" x14ac:dyDescent="0.2">
      <c r="A428" s="7" t="s">
        <v>1437</v>
      </c>
      <c r="B428" s="7" t="s">
        <v>1438</v>
      </c>
      <c r="C428" s="7" t="s">
        <v>1439</v>
      </c>
      <c r="D428" s="6">
        <v>-0.77910226583480802</v>
      </c>
      <c r="E428" s="6">
        <v>-0.70714354515075706</v>
      </c>
      <c r="F428" s="6">
        <v>-0.62367838621139504</v>
      </c>
      <c r="G428" s="6">
        <v>-0.90327078104019209</v>
      </c>
      <c r="H428" s="6">
        <v>-0.37146416306495705</v>
      </c>
      <c r="I428" s="6">
        <v>0.36728885769844105</v>
      </c>
      <c r="J428" s="6">
        <v>1.5279322862625122</v>
      </c>
      <c r="K428" s="6">
        <v>-0.65458947420120206</v>
      </c>
      <c r="L428" s="6">
        <v>1.2658088207244871</v>
      </c>
      <c r="M428" s="6">
        <v>-0.37259861826896701</v>
      </c>
      <c r="N428" s="6">
        <v>0.78716727353360505</v>
      </c>
      <c r="O428" s="6">
        <v>0.79390347240539905</v>
      </c>
      <c r="P428" s="6">
        <v>1.3351153293524511</v>
      </c>
      <c r="Q428" s="6">
        <v>1.164492034622328</v>
      </c>
      <c r="R428" s="6">
        <v>9.7513900592437306</v>
      </c>
      <c r="S428" s="6">
        <v>9.5010945284810262</v>
      </c>
      <c r="T428" s="6">
        <v>14.149595260620117</v>
      </c>
      <c r="U428" s="6">
        <f>_xll.BDP($A428,"TRAILING_12M_R&amp;D_%_SALES",$A$1,$A$2)</f>
        <v>2.8904497480969367</v>
      </c>
      <c r="V428" s="6">
        <v>25</v>
      </c>
      <c r="W428" s="6">
        <v>251010</v>
      </c>
      <c r="X428" s="6">
        <v>25101020</v>
      </c>
      <c r="Y428" s="7" t="s">
        <v>85</v>
      </c>
      <c r="Z428" s="7" t="s">
        <v>430</v>
      </c>
      <c r="AA428" s="7" t="s">
        <v>431</v>
      </c>
      <c r="AB428" s="6">
        <v>67.377525329589844</v>
      </c>
      <c r="AC428" s="6">
        <v>0.70455350700651109</v>
      </c>
      <c r="AD428" s="6">
        <v>29.401005944215818</v>
      </c>
      <c r="AE428" s="6">
        <v>132200</v>
      </c>
      <c r="AF428" s="6">
        <v>107807</v>
      </c>
    </row>
    <row r="429" spans="1:32" s="4" customFormat="1" ht="12.75" x14ac:dyDescent="0.2">
      <c r="A429" s="7" t="s">
        <v>1440</v>
      </c>
      <c r="B429" s="7" t="s">
        <v>1441</v>
      </c>
      <c r="C429" s="7" t="s">
        <v>1442</v>
      </c>
      <c r="D429" s="6">
        <v>-0.77910226583480802</v>
      </c>
      <c r="E429" s="6">
        <v>-0.70714354515075706</v>
      </c>
      <c r="F429" s="6">
        <v>-0.62367838621139504</v>
      </c>
      <c r="G429" s="6">
        <v>-0.90327078104019209</v>
      </c>
      <c r="H429" s="6">
        <v>-0.37146416306495705</v>
      </c>
      <c r="I429" s="6">
        <v>0.36728885769844105</v>
      </c>
      <c r="J429" s="6">
        <v>1.5279322862625122</v>
      </c>
      <c r="K429" s="6">
        <v>-0.65458947420120206</v>
      </c>
      <c r="L429" s="6">
        <v>1.2658088207244871</v>
      </c>
      <c r="M429" s="6">
        <v>-0.37259861826896701</v>
      </c>
      <c r="N429" s="6">
        <v>0.78716727353360505</v>
      </c>
      <c r="O429" s="6"/>
      <c r="P429" s="6">
        <v>1.3351153293524511</v>
      </c>
      <c r="Q429" s="6"/>
      <c r="R429" s="6">
        <v>9.7513900592437306</v>
      </c>
      <c r="S429" s="6"/>
      <c r="T429" s="6">
        <v>14.149595260620117</v>
      </c>
      <c r="U429" s="6">
        <f>_xll.BDP($A429,"TRAILING_12M_R&amp;D_%_SALES",$A$1,$A$2)</f>
        <v>2.8904497480969367</v>
      </c>
      <c r="V429" s="6">
        <v>25</v>
      </c>
      <c r="W429" s="6">
        <v>251010</v>
      </c>
      <c r="X429" s="6">
        <v>25101020</v>
      </c>
      <c r="Y429" s="7" t="s">
        <v>85</v>
      </c>
      <c r="Z429" s="7" t="s">
        <v>430</v>
      </c>
      <c r="AA429" s="7" t="s">
        <v>431</v>
      </c>
      <c r="AB429" s="6">
        <v>67.377525329589844</v>
      </c>
      <c r="AC429" s="6">
        <v>0.95705219102376204</v>
      </c>
      <c r="AD429" s="6">
        <v>31.951452319632878</v>
      </c>
      <c r="AE429" s="6">
        <v>132200</v>
      </c>
      <c r="AF429" s="6">
        <v>107807</v>
      </c>
    </row>
    <row r="430" spans="1:32" s="4" customFormat="1" ht="12.75" x14ac:dyDescent="0.2">
      <c r="A430" s="7" t="s">
        <v>1443</v>
      </c>
      <c r="B430" s="7" t="s">
        <v>1444</v>
      </c>
      <c r="C430" s="7" t="s">
        <v>1445</v>
      </c>
      <c r="D430" s="6">
        <v>-0.72741496562957808</v>
      </c>
      <c r="E430" s="6">
        <v>-0.88824713230133112</v>
      </c>
      <c r="F430" s="6">
        <v>0.63056391477584806</v>
      </c>
      <c r="G430" s="6">
        <v>-0.88590103387832608</v>
      </c>
      <c r="H430" s="6">
        <v>-1.1219907999038701</v>
      </c>
      <c r="I430" s="6">
        <v>0.7784038782119751</v>
      </c>
      <c r="J430" s="6">
        <v>0.75948828458786011</v>
      </c>
      <c r="K430" s="6">
        <v>-1.277287364006042</v>
      </c>
      <c r="L430" s="6">
        <v>0.47412657737731906</v>
      </c>
      <c r="M430" s="6">
        <v>-0.65388888120651201</v>
      </c>
      <c r="N430" s="6">
        <v>0.8102893906585491</v>
      </c>
      <c r="O430" s="6">
        <v>0.82596816044183707</v>
      </c>
      <c r="P430" s="6">
        <v>1.230588138752694</v>
      </c>
      <c r="Q430" s="6">
        <v>1.200172606457339</v>
      </c>
      <c r="R430" s="6">
        <v>16.258641623388701</v>
      </c>
      <c r="S430" s="6">
        <v>14.98310118155424</v>
      </c>
      <c r="T430" s="6">
        <v>7.9859099388122559</v>
      </c>
      <c r="U430" s="6">
        <f>_xll.BDP($A430,"TRAILING_12M_R&amp;D_%_SALES",$A$1,$A$2)</f>
        <v>4.1545993057892829</v>
      </c>
      <c r="V430" s="6">
        <v>20</v>
      </c>
      <c r="W430" s="6">
        <v>201040</v>
      </c>
      <c r="X430" s="6">
        <v>20104020</v>
      </c>
      <c r="Y430" s="7" t="s">
        <v>38</v>
      </c>
      <c r="Z430" s="7" t="s">
        <v>841</v>
      </c>
      <c r="AA430" s="7" t="s">
        <v>1446</v>
      </c>
      <c r="AB430" s="6">
        <v>66.743789672851563</v>
      </c>
      <c r="AC430" s="6">
        <v>0.51449239848412309</v>
      </c>
      <c r="AD430" s="6">
        <v>53.547769165774461</v>
      </c>
      <c r="AE430" s="6">
        <v>149655</v>
      </c>
      <c r="AF430" s="6">
        <v>142340</v>
      </c>
    </row>
    <row r="431" spans="1:32" s="4" customFormat="1" ht="12.75" x14ac:dyDescent="0.2">
      <c r="A431" s="7" t="s">
        <v>1447</v>
      </c>
      <c r="B431" s="7" t="s">
        <v>1448</v>
      </c>
      <c r="C431" s="7" t="s">
        <v>1449</v>
      </c>
      <c r="D431" s="6">
        <v>-0.72741496562957808</v>
      </c>
      <c r="E431" s="6">
        <v>-0.88824713230133112</v>
      </c>
      <c r="F431" s="6">
        <v>0.63056391477584806</v>
      </c>
      <c r="G431" s="6">
        <v>-0.88590103387832608</v>
      </c>
      <c r="H431" s="6">
        <v>-1.1219907999038701</v>
      </c>
      <c r="I431" s="6">
        <v>0.7784038782119751</v>
      </c>
      <c r="J431" s="6">
        <v>0.75948828458786011</v>
      </c>
      <c r="K431" s="6">
        <v>-1.277287364006042</v>
      </c>
      <c r="L431" s="6">
        <v>0.47412657737731906</v>
      </c>
      <c r="M431" s="6">
        <v>-0.65388888120651201</v>
      </c>
      <c r="N431" s="6">
        <v>0.8102893906585491</v>
      </c>
      <c r="O431" s="6"/>
      <c r="P431" s="6">
        <v>1.230588138752694</v>
      </c>
      <c r="Q431" s="6"/>
      <c r="R431" s="6">
        <v>16.258641623388701</v>
      </c>
      <c r="S431" s="6"/>
      <c r="T431" s="6">
        <v>7.9859099388122559</v>
      </c>
      <c r="U431" s="6">
        <f>_xll.BDP($A431,"TRAILING_12M_R&amp;D_%_SALES",$A$1,$A$2)</f>
        <v>4.1545993057892829</v>
      </c>
      <c r="V431" s="6">
        <v>20</v>
      </c>
      <c r="W431" s="6">
        <v>201040</v>
      </c>
      <c r="X431" s="6">
        <v>20104020</v>
      </c>
      <c r="Y431" s="7" t="s">
        <v>38</v>
      </c>
      <c r="Z431" s="7" t="s">
        <v>841</v>
      </c>
      <c r="AA431" s="7" t="s">
        <v>1446</v>
      </c>
      <c r="AB431" s="6">
        <v>66.743789672851563</v>
      </c>
      <c r="AC431" s="6">
        <v>0.7553918935686561</v>
      </c>
      <c r="AD431" s="6">
        <v>44.130189324294221</v>
      </c>
      <c r="AE431" s="6">
        <v>149655</v>
      </c>
      <c r="AF431" s="6">
        <v>142340</v>
      </c>
    </row>
    <row r="432" spans="1:32" s="4" customFormat="1" ht="12.75" x14ac:dyDescent="0.2">
      <c r="A432" s="7" t="s">
        <v>1450</v>
      </c>
      <c r="B432" s="7" t="s">
        <v>1451</v>
      </c>
      <c r="C432" s="7" t="s">
        <v>1452</v>
      </c>
      <c r="D432" s="6">
        <v>3.1905148178339005E-2</v>
      </c>
      <c r="E432" s="6">
        <v>-0.56131798028945901</v>
      </c>
      <c r="F432" s="6">
        <v>1.0831460952758789</v>
      </c>
      <c r="G432" s="6">
        <v>-0.75983667373657204</v>
      </c>
      <c r="H432" s="6">
        <v>0.2846499979496</v>
      </c>
      <c r="I432" s="6">
        <v>1.605351328849792</v>
      </c>
      <c r="J432" s="6">
        <v>1.2278339862823491</v>
      </c>
      <c r="K432" s="6">
        <v>-1.232993006706238</v>
      </c>
      <c r="L432" s="6">
        <v>0.62127560377121005</v>
      </c>
      <c r="M432" s="6">
        <v>-0.38852870464325001</v>
      </c>
      <c r="N432" s="6">
        <v>0.61144629200617007</v>
      </c>
      <c r="O432" s="6">
        <v>0.66666721983003008</v>
      </c>
      <c r="P432" s="6">
        <v>1.1301652442781129</v>
      </c>
      <c r="Q432" s="6">
        <v>1.0696541030638891</v>
      </c>
      <c r="R432" s="6">
        <v>7.7456142078782069</v>
      </c>
      <c r="S432" s="6">
        <v>9.2121338315671988</v>
      </c>
      <c r="T432" s="6">
        <v>15.988428115844727</v>
      </c>
      <c r="U432" s="6">
        <f>_xll.BDP($A432,"TRAILING_12M_R&amp;D_%_SALES",$A$1,$A$2)</f>
        <v>0</v>
      </c>
      <c r="V432" s="6">
        <v>20</v>
      </c>
      <c r="W432" s="6">
        <v>201070</v>
      </c>
      <c r="X432" s="6">
        <v>20107010</v>
      </c>
      <c r="Y432" s="7" t="s">
        <v>38</v>
      </c>
      <c r="Z432" s="7" t="s">
        <v>39</v>
      </c>
      <c r="AA432" s="7" t="s">
        <v>39</v>
      </c>
      <c r="AB432" s="6">
        <v>54.722866058349609</v>
      </c>
      <c r="AC432" s="6">
        <v>0.70264712968937004</v>
      </c>
      <c r="AD432" s="6">
        <v>38.298907857009333</v>
      </c>
      <c r="AE432" s="6">
        <v>46811</v>
      </c>
      <c r="AF432" s="6">
        <v>42304</v>
      </c>
    </row>
    <row r="433" spans="1:32" s="4" customFormat="1" ht="12.75" x14ac:dyDescent="0.2">
      <c r="A433" s="7" t="s">
        <v>1453</v>
      </c>
      <c r="B433" s="7" t="s">
        <v>1454</v>
      </c>
      <c r="C433" s="7" t="s">
        <v>1455</v>
      </c>
      <c r="D433" s="6">
        <v>3.1905148178339005E-2</v>
      </c>
      <c r="E433" s="6">
        <v>-0.56131798028945901</v>
      </c>
      <c r="F433" s="6">
        <v>1.0831460952758789</v>
      </c>
      <c r="G433" s="6">
        <v>-0.75983667373657204</v>
      </c>
      <c r="H433" s="6">
        <v>0.2846499979496</v>
      </c>
      <c r="I433" s="6">
        <v>1.605351328849792</v>
      </c>
      <c r="J433" s="6">
        <v>1.2278339862823491</v>
      </c>
      <c r="K433" s="6">
        <v>-1.232993006706238</v>
      </c>
      <c r="L433" s="6">
        <v>0.62127560377121005</v>
      </c>
      <c r="M433" s="6">
        <v>-0.38852870464325001</v>
      </c>
      <c r="N433" s="6">
        <v>0.61144629200617007</v>
      </c>
      <c r="O433" s="6">
        <v>0.6660010275137811</v>
      </c>
      <c r="P433" s="6">
        <v>1.1301652442781129</v>
      </c>
      <c r="Q433" s="6"/>
      <c r="R433" s="6">
        <v>7.7456142078782069</v>
      </c>
      <c r="S433" s="6">
        <v>8.6101664745202431</v>
      </c>
      <c r="T433" s="6">
        <v>15.988428115844727</v>
      </c>
      <c r="U433" s="6">
        <f>_xll.BDP($A433,"TRAILING_12M_R&amp;D_%_SALES",$A$1,$A$2)</f>
        <v>0</v>
      </c>
      <c r="V433" s="6">
        <v>20</v>
      </c>
      <c r="W433" s="6">
        <v>201070</v>
      </c>
      <c r="X433" s="6">
        <v>20107010</v>
      </c>
      <c r="Y433" s="7" t="s">
        <v>38</v>
      </c>
      <c r="Z433" s="7" t="s">
        <v>39</v>
      </c>
      <c r="AA433" s="7" t="s">
        <v>39</v>
      </c>
      <c r="AB433" s="6">
        <v>54.722866058349609</v>
      </c>
      <c r="AC433" s="6">
        <v>0.79911191929614311</v>
      </c>
      <c r="AD433" s="6">
        <v>31.728016275286762</v>
      </c>
      <c r="AE433" s="6">
        <v>46811</v>
      </c>
      <c r="AF433" s="6">
        <v>42304</v>
      </c>
    </row>
    <row r="434" spans="1:32" s="4" customFormat="1" ht="12.75" x14ac:dyDescent="0.2">
      <c r="A434" s="7" t="s">
        <v>1456</v>
      </c>
      <c r="B434" s="7" t="s">
        <v>1457</v>
      </c>
      <c r="C434" s="7" t="s">
        <v>1458</v>
      </c>
      <c r="D434" s="6">
        <v>-0.40315899252891502</v>
      </c>
      <c r="E434" s="6">
        <v>-0.52819705009460405</v>
      </c>
      <c r="F434" s="6">
        <v>0.59189271926879905</v>
      </c>
      <c r="G434" s="6">
        <v>-0.87286567687988303</v>
      </c>
      <c r="H434" s="6">
        <v>-0.40503367781639105</v>
      </c>
      <c r="I434" s="6">
        <v>-0.64844471216201804</v>
      </c>
      <c r="J434" s="6">
        <v>0.13001723587513001</v>
      </c>
      <c r="K434" s="6">
        <v>-0.71513617038726807</v>
      </c>
      <c r="L434" s="6">
        <v>-7.8645311295986009E-2</v>
      </c>
      <c r="M434" s="6">
        <v>-0.66701251268386808</v>
      </c>
      <c r="N434" s="6">
        <v>2.9238511320949243</v>
      </c>
      <c r="O434" s="6">
        <v>2.858840425527938</v>
      </c>
      <c r="P434" s="6">
        <v>2.2199522687617792</v>
      </c>
      <c r="Q434" s="6">
        <v>2.1159336877712702</v>
      </c>
      <c r="R434" s="6">
        <v>21.640484428086992</v>
      </c>
      <c r="S434" s="6">
        <v>16.173353978383751</v>
      </c>
      <c r="T434" s="6">
        <v>10.251052856445313</v>
      </c>
      <c r="U434" s="6">
        <f>_xll.BDP($A434,"TRAILING_12M_R&amp;D_%_SALES",$A$1,$A$2)</f>
        <v>11.537947812813051</v>
      </c>
      <c r="V434" s="6">
        <v>35</v>
      </c>
      <c r="W434" s="6">
        <v>352020</v>
      </c>
      <c r="X434" s="6">
        <v>35202010</v>
      </c>
      <c r="Y434" s="7" t="s">
        <v>72</v>
      </c>
      <c r="Z434" s="7" t="s">
        <v>325</v>
      </c>
      <c r="AA434" s="7" t="s">
        <v>325</v>
      </c>
      <c r="AB434" s="6">
        <v>65.516548156738281</v>
      </c>
      <c r="AC434" s="6">
        <v>0.58171963305661101</v>
      </c>
      <c r="AD434" s="6">
        <v>-14.793888718497595</v>
      </c>
      <c r="AE434" s="6">
        <v>64232</v>
      </c>
      <c r="AF434" s="6">
        <v>52880</v>
      </c>
    </row>
    <row r="435" spans="1:32" s="4" customFormat="1" ht="12.75" x14ac:dyDescent="0.2">
      <c r="A435" s="7" t="s">
        <v>1459</v>
      </c>
      <c r="B435" s="7" t="s">
        <v>1460</v>
      </c>
      <c r="C435" s="7" t="s">
        <v>1461</v>
      </c>
      <c r="D435" s="6">
        <v>-0.40315899252891502</v>
      </c>
      <c r="E435" s="6">
        <v>-0.52819705009460405</v>
      </c>
      <c r="F435" s="6">
        <v>0.59189271926879905</v>
      </c>
      <c r="G435" s="6">
        <v>-0.87286567687988303</v>
      </c>
      <c r="H435" s="6">
        <v>-0.40503367781639105</v>
      </c>
      <c r="I435" s="6">
        <v>-0.64844471216201804</v>
      </c>
      <c r="J435" s="6">
        <v>0.13001723587513001</v>
      </c>
      <c r="K435" s="6">
        <v>-0.71513617038726807</v>
      </c>
      <c r="L435" s="6">
        <v>-7.8645311295986009E-2</v>
      </c>
      <c r="M435" s="6">
        <v>-0.66701251268386808</v>
      </c>
      <c r="N435" s="6">
        <v>2.9238511320949243</v>
      </c>
      <c r="O435" s="6">
        <v>0.85921423041485112</v>
      </c>
      <c r="P435" s="6">
        <v>2.2199522687617792</v>
      </c>
      <c r="Q435" s="6"/>
      <c r="R435" s="6">
        <v>21.640484428086992</v>
      </c>
      <c r="S435" s="6">
        <v>16.213125853803064</v>
      </c>
      <c r="T435" s="6">
        <v>10.251052856445313</v>
      </c>
      <c r="U435" s="6">
        <f>_xll.BDP($A435,"TRAILING_12M_R&amp;D_%_SALES",$A$1,$A$2)</f>
        <v>11.537947812813051</v>
      </c>
      <c r="V435" s="6">
        <v>35</v>
      </c>
      <c r="W435" s="6">
        <v>352020</v>
      </c>
      <c r="X435" s="6">
        <v>35202010</v>
      </c>
      <c r="Y435" s="7" t="s">
        <v>72</v>
      </c>
      <c r="Z435" s="7" t="s">
        <v>325</v>
      </c>
      <c r="AA435" s="7" t="s">
        <v>325</v>
      </c>
      <c r="AB435" s="6">
        <v>65.516548156738281</v>
      </c>
      <c r="AC435" s="6">
        <v>0.79250174124589201</v>
      </c>
      <c r="AD435" s="6">
        <v>-16.890778288409901</v>
      </c>
      <c r="AE435" s="6">
        <v>64232</v>
      </c>
      <c r="AF435" s="6">
        <v>52880</v>
      </c>
    </row>
    <row r="436" spans="1:32" s="4" customFormat="1" ht="12.75" x14ac:dyDescent="0.2">
      <c r="A436" s="7" t="s">
        <v>1462</v>
      </c>
      <c r="B436" s="7" t="s">
        <v>1463</v>
      </c>
      <c r="C436" s="7" t="s">
        <v>1464</v>
      </c>
      <c r="D436" s="6">
        <v>-0.94150215387344405</v>
      </c>
      <c r="E436" s="6">
        <v>-0.69850713014602706</v>
      </c>
      <c r="F436" s="6">
        <v>-0.33659887313842801</v>
      </c>
      <c r="G436" s="6">
        <v>-0.76364248991012607</v>
      </c>
      <c r="H436" s="6">
        <v>-0.62799179553985607</v>
      </c>
      <c r="I436" s="6">
        <v>0.23229977488517803</v>
      </c>
      <c r="J436" s="6">
        <v>0.81489831209182706</v>
      </c>
      <c r="K436" s="6">
        <v>-0.718408703804016</v>
      </c>
      <c r="L436" s="6">
        <v>-0.72281217575073209</v>
      </c>
      <c r="M436" s="6">
        <v>-0.62400591373443604</v>
      </c>
      <c r="N436" s="6">
        <v>1.239029475177406</v>
      </c>
      <c r="O436" s="6">
        <v>1.3387682842529731</v>
      </c>
      <c r="P436" s="6">
        <v>1.40213567402303</v>
      </c>
      <c r="Q436" s="6">
        <v>1.1960577814205731</v>
      </c>
      <c r="R436" s="6">
        <v>9.3573123347317875</v>
      </c>
      <c r="S436" s="6">
        <v>14.177733427664085</v>
      </c>
      <c r="T436" s="6">
        <v>14.99838924407959</v>
      </c>
      <c r="U436" s="6" t="str">
        <f>_xll.BDP($A436,"TRAILING_12M_R&amp;D_%_SALES",$A$1,$A$2)</f>
        <v>#N/A N/A</v>
      </c>
      <c r="V436" s="6">
        <v>40</v>
      </c>
      <c r="W436" s="6">
        <v>403010</v>
      </c>
      <c r="X436" s="6">
        <v>40301040</v>
      </c>
      <c r="Y436" s="7" t="s">
        <v>43</v>
      </c>
      <c r="Z436" s="7" t="s">
        <v>44</v>
      </c>
      <c r="AA436" s="7" t="s">
        <v>102</v>
      </c>
      <c r="AB436" s="6">
        <v>31.898199081420898</v>
      </c>
      <c r="AC436" s="6">
        <v>0.64481933287369408</v>
      </c>
      <c r="AD436" s="6">
        <v>7.0653051343721573</v>
      </c>
      <c r="AE436" s="6">
        <v>20900</v>
      </c>
      <c r="AF436" s="6">
        <v>15600</v>
      </c>
    </row>
    <row r="437" spans="1:32" s="4" customFormat="1" ht="12.75" x14ac:dyDescent="0.2">
      <c r="A437" s="7" t="s">
        <v>1465</v>
      </c>
      <c r="B437" s="7" t="s">
        <v>1466</v>
      </c>
      <c r="C437" s="7" t="s">
        <v>1467</v>
      </c>
      <c r="D437" s="6">
        <v>-0.61545026302337602</v>
      </c>
      <c r="E437" s="6">
        <v>-0.91329336166381803</v>
      </c>
      <c r="F437" s="6">
        <v>1.4774477481842041</v>
      </c>
      <c r="G437" s="6">
        <v>-0.59545153379440308</v>
      </c>
      <c r="H437" s="6">
        <v>0.48448726534843406</v>
      </c>
      <c r="I437" s="6">
        <v>6.1159441247580007E-3</v>
      </c>
      <c r="J437" s="6">
        <v>1.994614362716675</v>
      </c>
      <c r="K437" s="6">
        <v>0.34119984507560702</v>
      </c>
      <c r="L437" s="6">
        <v>1.903771758079529</v>
      </c>
      <c r="M437" s="6">
        <v>-0.37206685543060303</v>
      </c>
      <c r="N437" s="6">
        <v>4.3199198802100006E-2</v>
      </c>
      <c r="O437" s="6"/>
      <c r="P437" s="6">
        <v>0.29198815524302701</v>
      </c>
      <c r="Q437" s="6"/>
      <c r="R437" s="6">
        <v>2.742444993030615</v>
      </c>
      <c r="S437" s="6"/>
      <c r="T437" s="6">
        <v>11.457833290100098</v>
      </c>
      <c r="U437" s="6">
        <f>_xll.BDP($A437,"TRAILING_12M_R&amp;D_%_SALES",$A$1,$A$2)</f>
        <v>3.1248987547526084</v>
      </c>
      <c r="V437" s="6">
        <v>20</v>
      </c>
      <c r="W437" s="6">
        <v>201030</v>
      </c>
      <c r="X437" s="6">
        <v>20103010</v>
      </c>
      <c r="Y437" s="7" t="s">
        <v>38</v>
      </c>
      <c r="Z437" s="7" t="s">
        <v>423</v>
      </c>
      <c r="AA437" s="7" t="s">
        <v>423</v>
      </c>
      <c r="AB437" s="6">
        <v>56.402774810791016</v>
      </c>
      <c r="AC437" s="6">
        <v>0.36165360373290301</v>
      </c>
      <c r="AD437" s="6">
        <v>-14.064507173886787</v>
      </c>
      <c r="AE437" s="6">
        <v>98385</v>
      </c>
      <c r="AF437" s="6">
        <v>97771</v>
      </c>
    </row>
    <row r="438" spans="1:32" s="4" customFormat="1" ht="12.75" x14ac:dyDescent="0.2">
      <c r="A438" s="7" t="s">
        <v>1468</v>
      </c>
      <c r="B438" s="7" t="s">
        <v>1469</v>
      </c>
      <c r="C438" s="7" t="s">
        <v>1470</v>
      </c>
      <c r="D438" s="6">
        <v>-0.35868361592292802</v>
      </c>
      <c r="E438" s="6">
        <v>0.36734306812286405</v>
      </c>
      <c r="F438" s="6">
        <v>-0.35482579469680803</v>
      </c>
      <c r="G438" s="6">
        <v>-0.69714486598968506</v>
      </c>
      <c r="H438" s="6">
        <v>0.11988322436809501</v>
      </c>
      <c r="I438" s="6">
        <v>0.13642892241478002</v>
      </c>
      <c r="J438" s="6">
        <v>-0.25958991050720204</v>
      </c>
      <c r="K438" s="6">
        <v>-0.35183060169220004</v>
      </c>
      <c r="L438" s="6">
        <v>-4.6549409627914005E-2</v>
      </c>
      <c r="M438" s="6">
        <v>-0.59081023931503307</v>
      </c>
      <c r="N438" s="6">
        <v>4.2237614358812436</v>
      </c>
      <c r="O438" s="6">
        <v>3.8644552546225031</v>
      </c>
      <c r="P438" s="6">
        <v>8.1890218779290862</v>
      </c>
      <c r="Q438" s="6">
        <v>7.1262812953141026</v>
      </c>
      <c r="R438" s="6">
        <v>24.39043265111901</v>
      </c>
      <c r="S438" s="6">
        <v>21.789430518651624</v>
      </c>
      <c r="T438" s="6">
        <v>33.055171966552734</v>
      </c>
      <c r="U438" s="6" t="str">
        <f>_xll.BDP($A438,"TRAILING_12M_R&amp;D_%_SALES",$A$1,$A$2)</f>
        <v>#N/A N/A</v>
      </c>
      <c r="V438" s="6">
        <v>40</v>
      </c>
      <c r="W438" s="6">
        <v>403010</v>
      </c>
      <c r="X438" s="6">
        <v>40301010</v>
      </c>
      <c r="Y438" s="7" t="s">
        <v>43</v>
      </c>
      <c r="Z438" s="7" t="s">
        <v>44</v>
      </c>
      <c r="AA438" s="7" t="s">
        <v>172</v>
      </c>
      <c r="AB438" s="6">
        <v>47.681320190429688</v>
      </c>
      <c r="AC438" s="6">
        <v>0.80206621975110604</v>
      </c>
      <c r="AD438" s="6">
        <v>15.240326512399216</v>
      </c>
      <c r="AE438" s="6">
        <v>85000</v>
      </c>
      <c r="AF438" s="6">
        <v>64000</v>
      </c>
    </row>
    <row r="439" spans="1:32" s="4" customFormat="1" ht="12.75" x14ac:dyDescent="0.2">
      <c r="A439" s="7" t="s">
        <v>1471</v>
      </c>
      <c r="B439" s="7" t="s">
        <v>1472</v>
      </c>
      <c r="C439" s="7" t="s">
        <v>1473</v>
      </c>
      <c r="D439" s="6">
        <v>-0.47318643331527704</v>
      </c>
      <c r="E439" s="6">
        <v>-1.7789087295532231</v>
      </c>
      <c r="F439" s="6">
        <v>-0.13566324114799502</v>
      </c>
      <c r="G439" s="6">
        <v>-6.1272744089365005E-2</v>
      </c>
      <c r="H439" s="6">
        <v>0.42454779148101801</v>
      </c>
      <c r="I439" s="6">
        <v>-0.92483144998550404</v>
      </c>
      <c r="J439" s="6">
        <v>-9.1092795133591004E-2</v>
      </c>
      <c r="K439" s="6">
        <v>-1.2642842531204219</v>
      </c>
      <c r="L439" s="6">
        <v>2.3678872585296631</v>
      </c>
      <c r="M439" s="6">
        <v>-0.32349249720573403</v>
      </c>
      <c r="N439" s="6">
        <v>1.846799829527153</v>
      </c>
      <c r="O439" s="6">
        <v>1.8571902555289561</v>
      </c>
      <c r="P439" s="6">
        <v>12.92365090120307</v>
      </c>
      <c r="Q439" s="6">
        <v>6.2809534835987204</v>
      </c>
      <c r="R439" s="6">
        <v>11.3464870743536</v>
      </c>
      <c r="S439" s="6">
        <v>11.147742318772393</v>
      </c>
      <c r="T439" s="6">
        <v>-78.91424560546875</v>
      </c>
      <c r="U439" s="6">
        <f>_xll.BDP($A439,"TRAILING_12M_R&amp;D_%_SALES",$A$1,$A$2)</f>
        <v>4.7737369174007984</v>
      </c>
      <c r="V439" s="6">
        <v>20</v>
      </c>
      <c r="W439" s="6">
        <v>201050</v>
      </c>
      <c r="X439" s="6">
        <v>20105010</v>
      </c>
      <c r="Y439" s="7" t="s">
        <v>38</v>
      </c>
      <c r="Z439" s="7" t="s">
        <v>1098</v>
      </c>
      <c r="AA439" s="7" t="s">
        <v>1098</v>
      </c>
      <c r="AB439" s="6">
        <v>68.705360412597656</v>
      </c>
      <c r="AC439" s="6">
        <v>1.1167288244739311</v>
      </c>
      <c r="AD439" s="6">
        <v>-3.8506274997255563</v>
      </c>
      <c r="AE439" s="6">
        <v>92000</v>
      </c>
      <c r="AF439" s="6">
        <v>91536</v>
      </c>
    </row>
    <row r="440" spans="1:32" s="4" customFormat="1" ht="12.75" x14ac:dyDescent="0.2">
      <c r="A440" s="7" t="s">
        <v>1474</v>
      </c>
      <c r="B440" s="7" t="s">
        <v>1475</v>
      </c>
      <c r="C440" s="7" t="s">
        <v>1476</v>
      </c>
      <c r="D440" s="6">
        <v>-0.7813251018524171</v>
      </c>
      <c r="E440" s="6">
        <v>-0.145969614386559</v>
      </c>
      <c r="F440" s="6">
        <v>6.604940444231E-2</v>
      </c>
      <c r="G440" s="6">
        <v>-0.33686986565589905</v>
      </c>
      <c r="H440" s="6">
        <v>-1.2129194736480711</v>
      </c>
      <c r="I440" s="6">
        <v>-0.91748487949371305</v>
      </c>
      <c r="J440" s="6">
        <v>2.2140376567840581</v>
      </c>
      <c r="K440" s="6">
        <v>-0.80778586864471402</v>
      </c>
      <c r="L440" s="6">
        <v>-0.18456777930259702</v>
      </c>
      <c r="M440" s="6">
        <v>-0.13044893741607702</v>
      </c>
      <c r="N440" s="6">
        <v>0.25402511736774702</v>
      </c>
      <c r="O440" s="6"/>
      <c r="P440" s="6">
        <v>0.74570057881784801</v>
      </c>
      <c r="Q440" s="6"/>
      <c r="R440" s="6">
        <v>4.35415050909904</v>
      </c>
      <c r="S440" s="6"/>
      <c r="T440" s="6">
        <v>18.865823745727539</v>
      </c>
      <c r="U440" s="6">
        <f>_xll.BDP($A440,"TRAILING_12M_R&amp;D_%_SALES",$A$1,$A$2)</f>
        <v>4.6254822699606821</v>
      </c>
      <c r="V440" s="6">
        <v>25</v>
      </c>
      <c r="W440" s="6">
        <v>251020</v>
      </c>
      <c r="X440" s="6">
        <v>25102010</v>
      </c>
      <c r="Y440" s="7" t="s">
        <v>85</v>
      </c>
      <c r="Z440" s="7" t="s">
        <v>316</v>
      </c>
      <c r="AA440" s="7" t="s">
        <v>317</v>
      </c>
      <c r="AB440" s="6">
        <v>57.710491180419922</v>
      </c>
      <c r="AC440" s="6"/>
      <c r="AD440" s="6"/>
      <c r="AE440" s="6">
        <v>28428</v>
      </c>
      <c r="AF440" s="6">
        <v>30507</v>
      </c>
    </row>
    <row r="441" spans="1:32" s="4" customFormat="1" ht="12.75" x14ac:dyDescent="0.2">
      <c r="A441" s="7" t="s">
        <v>1477</v>
      </c>
      <c r="B441" s="7" t="s">
        <v>1478</v>
      </c>
      <c r="C441" s="7" t="s">
        <v>1479</v>
      </c>
      <c r="D441" s="6">
        <v>-0.51396125555038508</v>
      </c>
      <c r="E441" s="6">
        <v>1.239751815795898</v>
      </c>
      <c r="F441" s="6">
        <v>0.158091336488724</v>
      </c>
      <c r="G441" s="6">
        <v>-0.44927802681922901</v>
      </c>
      <c r="H441" s="6">
        <v>1.7891402244567871</v>
      </c>
      <c r="I441" s="6">
        <v>-0.23982776701450301</v>
      </c>
      <c r="J441" s="6">
        <v>0.5671834349632261</v>
      </c>
      <c r="K441" s="6">
        <v>-1.434842586517334</v>
      </c>
      <c r="L441" s="6">
        <v>3.0000102519989009</v>
      </c>
      <c r="M441" s="6">
        <v>-0.17549863457679701</v>
      </c>
      <c r="N441" s="6">
        <v>3.4973475069169448</v>
      </c>
      <c r="O441" s="6">
        <v>3.4457097642031971</v>
      </c>
      <c r="P441" s="6"/>
      <c r="Q441" s="6"/>
      <c r="R441" s="6">
        <v>7.9401680470674822</v>
      </c>
      <c r="S441" s="6">
        <v>7.9910778584744477</v>
      </c>
      <c r="T441" s="6"/>
      <c r="U441" s="6" t="str">
        <f>_xll.BDP($A441,"TRAILING_12M_R&amp;D_%_SALES",$A$1,$A$2)</f>
        <v>#N/A N/A</v>
      </c>
      <c r="V441" s="6">
        <v>30</v>
      </c>
      <c r="W441" s="6">
        <v>302030</v>
      </c>
      <c r="X441" s="6">
        <v>30203010</v>
      </c>
      <c r="Y441" s="7" t="s">
        <v>106</v>
      </c>
      <c r="Z441" s="7" t="s">
        <v>1208</v>
      </c>
      <c r="AA441" s="7" t="s">
        <v>1208</v>
      </c>
      <c r="AB441" s="6">
        <v>68.966903686523438</v>
      </c>
      <c r="AC441" s="6">
        <v>0.67514289469890409</v>
      </c>
      <c r="AD441" s="6">
        <v>-3.9115715488763141</v>
      </c>
      <c r="AE441" s="6">
        <v>6300</v>
      </c>
      <c r="AF441" s="6">
        <v>8300</v>
      </c>
    </row>
    <row r="442" spans="1:32" s="4" customFormat="1" ht="12.75" x14ac:dyDescent="0.2">
      <c r="A442" s="7" t="s">
        <v>1480</v>
      </c>
      <c r="B442" s="7" t="s">
        <v>1481</v>
      </c>
      <c r="C442" s="7" t="s">
        <v>1482</v>
      </c>
      <c r="D442" s="6">
        <v>8.8825628161430012E-2</v>
      </c>
      <c r="E442" s="6">
        <v>0.30895215272903404</v>
      </c>
      <c r="F442" s="6">
        <v>5.9126850217581003E-2</v>
      </c>
      <c r="G442" s="6">
        <v>0.47106039524078402</v>
      </c>
      <c r="H442" s="6">
        <v>0.56114655733108509</v>
      </c>
      <c r="I442" s="6">
        <v>0.99145644903183006</v>
      </c>
      <c r="J442" s="6">
        <v>2.126548051834106</v>
      </c>
      <c r="K442" s="6">
        <v>-0.26931983232498202</v>
      </c>
      <c r="L442" s="6">
        <v>0.23582960665226002</v>
      </c>
      <c r="M442" s="6">
        <v>0.9567319154739381</v>
      </c>
      <c r="N442" s="6">
        <v>0.41774415250642605</v>
      </c>
      <c r="O442" s="6">
        <v>0.40716351173141402</v>
      </c>
      <c r="P442" s="6">
        <v>2.21432836731868</v>
      </c>
      <c r="Q442" s="6">
        <v>2.4126205172424489</v>
      </c>
      <c r="R442" s="6">
        <v>5.6183564371736416</v>
      </c>
      <c r="S442" s="6">
        <v>9.4038603605338107</v>
      </c>
      <c r="T442" s="6">
        <v>44.285549163818359</v>
      </c>
      <c r="U442" s="6" t="str">
        <f>_xll.BDP($A442,"TRAILING_12M_R&amp;D_%_SALES",$A$1,$A$2)</f>
        <v>#N/A N/A</v>
      </c>
      <c r="V442" s="6">
        <v>10</v>
      </c>
      <c r="W442" s="6">
        <v>101020</v>
      </c>
      <c r="X442" s="6">
        <v>10102030</v>
      </c>
      <c r="Y442" s="7" t="s">
        <v>387</v>
      </c>
      <c r="Z442" s="7" t="s">
        <v>516</v>
      </c>
      <c r="AA442" s="7" t="s">
        <v>1248</v>
      </c>
      <c r="AB442" s="6">
        <v>76.430946350097656</v>
      </c>
      <c r="AC442" s="6">
        <v>0.77638760453784705</v>
      </c>
      <c r="AD442" s="6">
        <v>30.748205727511824</v>
      </c>
      <c r="AE442" s="6">
        <v>17800</v>
      </c>
      <c r="AF442" s="6">
        <v>43800</v>
      </c>
    </row>
    <row r="443" spans="1:32" s="4" customFormat="1" ht="12.75" x14ac:dyDescent="0.2">
      <c r="A443" s="7" t="s">
        <v>1483</v>
      </c>
      <c r="B443" s="7" t="s">
        <v>1484</v>
      </c>
      <c r="C443" s="7" t="s">
        <v>1485</v>
      </c>
      <c r="D443" s="6">
        <v>-0.90735459327697809</v>
      </c>
      <c r="E443" s="6">
        <v>0.15851137042045602</v>
      </c>
      <c r="F443" s="6">
        <v>-0.29193314909935003</v>
      </c>
      <c r="G443" s="6">
        <v>-0.98957324028015103</v>
      </c>
      <c r="H443" s="6">
        <v>1.231699585914612</v>
      </c>
      <c r="I443" s="6">
        <v>-0.15166524052619901</v>
      </c>
      <c r="J443" s="6">
        <v>0.79120332002639804</v>
      </c>
      <c r="K443" s="6">
        <v>-0.49644467234611506</v>
      </c>
      <c r="L443" s="6">
        <v>3.0000102519989009</v>
      </c>
      <c r="M443" s="6">
        <v>-0.46370834112167403</v>
      </c>
      <c r="N443" s="6">
        <v>3.350141329706481</v>
      </c>
      <c r="O443" s="6">
        <v>3.1955123466805819</v>
      </c>
      <c r="P443" s="6">
        <v>3.0352370449258492</v>
      </c>
      <c r="Q443" s="6">
        <v>2.8890638167186542</v>
      </c>
      <c r="R443" s="6">
        <v>10.495435113270434</v>
      </c>
      <c r="S443" s="6">
        <v>9.3563203657312481</v>
      </c>
      <c r="T443" s="6">
        <v>29.239570617675781</v>
      </c>
      <c r="U443" s="6">
        <f>_xll.BDP($A443,"TRAILING_12M_R&amp;D_%_SALES",$A$1,$A$2)</f>
        <v>0</v>
      </c>
      <c r="V443" s="6">
        <v>10</v>
      </c>
      <c r="W443" s="6">
        <v>101020</v>
      </c>
      <c r="X443" s="6">
        <v>10102040</v>
      </c>
      <c r="Y443" s="7" t="s">
        <v>387</v>
      </c>
      <c r="Z443" s="7" t="s">
        <v>516</v>
      </c>
      <c r="AA443" s="7" t="s">
        <v>849</v>
      </c>
      <c r="AB443" s="6">
        <v>44.874759674072266</v>
      </c>
      <c r="AC443" s="6">
        <v>0.48697237743733401</v>
      </c>
      <c r="AD443" s="6">
        <v>24.287351769342337</v>
      </c>
      <c r="AE443" s="6">
        <v>5811</v>
      </c>
      <c r="AF443" s="6">
        <v>4300</v>
      </c>
    </row>
    <row r="444" spans="1:32" s="4" customFormat="1" ht="12.75" x14ac:dyDescent="0.2">
      <c r="A444" s="7" t="s">
        <v>1486</v>
      </c>
      <c r="B444" s="7" t="s">
        <v>1487</v>
      </c>
      <c r="C444" s="7" t="s">
        <v>1488</v>
      </c>
      <c r="D444" s="6">
        <v>-0.34602582454681402</v>
      </c>
      <c r="E444" s="6">
        <v>-0.99199789762496904</v>
      </c>
      <c r="F444" s="6">
        <v>0.51337730884552002</v>
      </c>
      <c r="G444" s="6">
        <v>-0.36257338523864702</v>
      </c>
      <c r="H444" s="6">
        <v>-0.71487045288085904</v>
      </c>
      <c r="I444" s="6">
        <v>-1.445024251937866</v>
      </c>
      <c r="J444" s="6">
        <v>-0.25663912296295199</v>
      </c>
      <c r="K444" s="6">
        <v>2.394302129745483</v>
      </c>
      <c r="L444" s="6">
        <v>-0.72281217575073209</v>
      </c>
      <c r="M444" s="6">
        <v>1.457783699035645</v>
      </c>
      <c r="N444" s="6">
        <v>1.7074973526485562</v>
      </c>
      <c r="O444" s="6">
        <v>1.4088805547278651</v>
      </c>
      <c r="P444" s="6">
        <v>2.8390760921697029</v>
      </c>
      <c r="Q444" s="6">
        <v>2.6211035592215399</v>
      </c>
      <c r="R444" s="6">
        <v>42.558911480240596</v>
      </c>
      <c r="S444" s="6">
        <v>14.754489658657869</v>
      </c>
      <c r="T444" s="6">
        <v>7.6610231399536133</v>
      </c>
      <c r="U444" s="6">
        <f>_xll.BDP($A444,"TRAILING_12M_R&amp;D_%_SALES",$A$1,$A$2)</f>
        <v>6.5237255050167544</v>
      </c>
      <c r="V444" s="6">
        <v>25</v>
      </c>
      <c r="W444" s="6">
        <v>253010</v>
      </c>
      <c r="X444" s="6">
        <v>25301040</v>
      </c>
      <c r="Y444" s="7" t="s">
        <v>85</v>
      </c>
      <c r="Z444" s="7" t="s">
        <v>86</v>
      </c>
      <c r="AA444" s="7" t="s">
        <v>1406</v>
      </c>
      <c r="AB444" s="6">
        <v>48.435771942138672</v>
      </c>
      <c r="AC444" s="6">
        <v>1.075532778120053</v>
      </c>
      <c r="AD444" s="6">
        <v>-56.263222999574211</v>
      </c>
      <c r="AE444" s="6">
        <v>91932</v>
      </c>
      <c r="AF444" s="6"/>
    </row>
    <row r="445" spans="1:32" s="4" customFormat="1" ht="12.75" x14ac:dyDescent="0.2">
      <c r="A445" s="7" t="s">
        <v>1489</v>
      </c>
      <c r="B445" s="7" t="s">
        <v>1490</v>
      </c>
      <c r="C445" s="7" t="s">
        <v>1491</v>
      </c>
      <c r="D445" s="6">
        <v>-0.34602582454681402</v>
      </c>
      <c r="E445" s="6">
        <v>-0.99199789762496904</v>
      </c>
      <c r="F445" s="6">
        <v>0.51337730884552002</v>
      </c>
      <c r="G445" s="6">
        <v>-0.36257338523864702</v>
      </c>
      <c r="H445" s="6">
        <v>-0.71487045288085904</v>
      </c>
      <c r="I445" s="6">
        <v>-1.445024251937866</v>
      </c>
      <c r="J445" s="6">
        <v>-0.25663912296295199</v>
      </c>
      <c r="K445" s="6">
        <v>2.394302129745483</v>
      </c>
      <c r="L445" s="6">
        <v>-0.72281217575073209</v>
      </c>
      <c r="M445" s="6">
        <v>1.457783699035645</v>
      </c>
      <c r="N445" s="6">
        <v>1.7074973526485562</v>
      </c>
      <c r="O445" s="6"/>
      <c r="P445" s="6">
        <v>2.8390760921697029</v>
      </c>
      <c r="Q445" s="6"/>
      <c r="R445" s="6">
        <v>42.558911480240596</v>
      </c>
      <c r="S445" s="6"/>
      <c r="T445" s="6">
        <v>7.6610231399536133</v>
      </c>
      <c r="U445" s="6">
        <f>_xll.BDP($A445,"TRAILING_12M_R&amp;D_%_SALES",$A$1,$A$2)</f>
        <v>6.5237255050167544</v>
      </c>
      <c r="V445" s="6">
        <v>25</v>
      </c>
      <c r="W445" s="6">
        <v>253010</v>
      </c>
      <c r="X445" s="6">
        <v>25301040</v>
      </c>
      <c r="Y445" s="7" t="s">
        <v>85</v>
      </c>
      <c r="Z445" s="7" t="s">
        <v>86</v>
      </c>
      <c r="AA445" s="7" t="s">
        <v>1406</v>
      </c>
      <c r="AB445" s="6">
        <v>48.435771942138672</v>
      </c>
      <c r="AC445" s="6">
        <v>1.091572264826169</v>
      </c>
      <c r="AD445" s="6">
        <v>-56.464979362613541</v>
      </c>
      <c r="AE445" s="6">
        <v>91932</v>
      </c>
      <c r="AF445" s="6"/>
    </row>
    <row r="446" spans="1:32" s="4" customFormat="1" ht="12.75" x14ac:dyDescent="0.2">
      <c r="A446" s="7" t="s">
        <v>1492</v>
      </c>
      <c r="B446" s="7" t="s">
        <v>1493</v>
      </c>
      <c r="C446" s="7" t="s">
        <v>1494</v>
      </c>
      <c r="D446" s="6">
        <v>-0.19709987938404103</v>
      </c>
      <c r="E446" s="6">
        <v>-0.86742800474166903</v>
      </c>
      <c r="F446" s="6">
        <v>-1.805027961730957</v>
      </c>
      <c r="G446" s="6">
        <v>-0.88881987333297707</v>
      </c>
      <c r="H446" s="6">
        <v>1.3706927299499509</v>
      </c>
      <c r="I446" s="6">
        <v>-0.46382209658622703</v>
      </c>
      <c r="J446" s="6">
        <v>-0.56349545717239402</v>
      </c>
      <c r="K446" s="6">
        <v>-0.34663474559783902</v>
      </c>
      <c r="L446" s="6">
        <v>1.3583028316497801</v>
      </c>
      <c r="M446" s="6">
        <v>0.14409954845905301</v>
      </c>
      <c r="N446" s="6">
        <v>2.17900696317998</v>
      </c>
      <c r="O446" s="6"/>
      <c r="P446" s="6">
        <v>2.069454387187049</v>
      </c>
      <c r="Q446" s="6"/>
      <c r="R446" s="6">
        <v>16.403618081547826</v>
      </c>
      <c r="S446" s="6">
        <v>16.079468030297438</v>
      </c>
      <c r="T446" s="6">
        <v>12.968056678771973</v>
      </c>
      <c r="U446" s="6" t="str">
        <f>_xll.BDP($A446,"TRAILING_12M_R&amp;D_%_SALES",$A$1,$A$2)</f>
        <v>#N/A N/A</v>
      </c>
      <c r="V446" s="6">
        <v>40</v>
      </c>
      <c r="W446" s="6">
        <v>402030</v>
      </c>
      <c r="X446" s="6">
        <v>40203030</v>
      </c>
      <c r="Y446" s="7" t="s">
        <v>43</v>
      </c>
      <c r="Z446" s="7" t="s">
        <v>212</v>
      </c>
      <c r="AA446" s="7" t="s">
        <v>714</v>
      </c>
      <c r="AB446" s="6">
        <v>52.459510803222656</v>
      </c>
      <c r="AC446" s="6">
        <v>0.99611803953647604</v>
      </c>
      <c r="AD446" s="6">
        <v>14.334145147446264</v>
      </c>
      <c r="AE446" s="6">
        <v>20509</v>
      </c>
      <c r="AF446" s="6">
        <v>14469</v>
      </c>
    </row>
    <row r="447" spans="1:32" s="4" customFormat="1" ht="12.75" x14ac:dyDescent="0.2">
      <c r="A447" s="7" t="s">
        <v>1495</v>
      </c>
      <c r="B447" s="7" t="s">
        <v>1496</v>
      </c>
      <c r="C447" s="7" t="s">
        <v>1497</v>
      </c>
      <c r="D447" s="6">
        <v>0.43149870634079002</v>
      </c>
      <c r="E447" s="6">
        <v>-0.88540434837341309</v>
      </c>
      <c r="F447" s="6">
        <v>-1.2291297912597661</v>
      </c>
      <c r="G447" s="6">
        <v>-0.68785905838012706</v>
      </c>
      <c r="H447" s="6">
        <v>8.0503560602665003E-2</v>
      </c>
      <c r="I447" s="6">
        <v>0.15800866484642001</v>
      </c>
      <c r="J447" s="6">
        <v>-0.21209035813808402</v>
      </c>
      <c r="K447" s="6">
        <v>-7.1064293384552002E-2</v>
      </c>
      <c r="L447" s="6">
        <v>0.57301282882690407</v>
      </c>
      <c r="M447" s="6">
        <v>-7.6321989297867002E-2</v>
      </c>
      <c r="N447" s="6">
        <v>4.6639940862339353</v>
      </c>
      <c r="O447" s="6">
        <v>4.3570845547496297</v>
      </c>
      <c r="P447" s="6">
        <v>6.7012004692421527</v>
      </c>
      <c r="Q447" s="6">
        <v>5.5434930638296427</v>
      </c>
      <c r="R447" s="6">
        <v>44.495415229425362</v>
      </c>
      <c r="S447" s="6">
        <v>12.755053591179763</v>
      </c>
      <c r="T447" s="6">
        <v>10.753290176391602</v>
      </c>
      <c r="U447" s="6">
        <f>_xll.BDP($A447,"TRAILING_12M_R&amp;D_%_SALES",$A$1,$A$2)</f>
        <v>27.956302206707395</v>
      </c>
      <c r="V447" s="6">
        <v>35</v>
      </c>
      <c r="W447" s="6">
        <v>352020</v>
      </c>
      <c r="X447" s="6">
        <v>35202010</v>
      </c>
      <c r="Y447" s="7" t="s">
        <v>72</v>
      </c>
      <c r="Z447" s="7" t="s">
        <v>325</v>
      </c>
      <c r="AA447" s="7" t="s">
        <v>325</v>
      </c>
      <c r="AB447" s="6">
        <v>76.481239318847656</v>
      </c>
      <c r="AC447" s="6">
        <v>0.49249747962133006</v>
      </c>
      <c r="AD447" s="6">
        <v>1.115038162261772</v>
      </c>
      <c r="AE447" s="6">
        <v>67000</v>
      </c>
      <c r="AF447" s="6">
        <v>69000</v>
      </c>
    </row>
    <row r="448" spans="1:32" s="4" customFormat="1" ht="12.75" x14ac:dyDescent="0.2">
      <c r="A448" s="7" t="s">
        <v>1498</v>
      </c>
      <c r="B448" s="7" t="s">
        <v>1499</v>
      </c>
      <c r="C448" s="7" t="s">
        <v>1500</v>
      </c>
      <c r="D448" s="6">
        <v>0.95606833696365412</v>
      </c>
      <c r="E448" s="6">
        <v>-0.43152895569801303</v>
      </c>
      <c r="F448" s="6">
        <v>4.2869254946709005E-2</v>
      </c>
      <c r="G448" s="6">
        <v>-0.46380335092544606</v>
      </c>
      <c r="H448" s="6">
        <v>1.275778651237488</v>
      </c>
      <c r="I448" s="6">
        <v>-0.41382995247840904</v>
      </c>
      <c r="J448" s="6">
        <v>-0.15330472588539101</v>
      </c>
      <c r="K448" s="6">
        <v>-0.69516694545745805</v>
      </c>
      <c r="L448" s="6">
        <v>1.2263332605361941</v>
      </c>
      <c r="M448" s="6">
        <v>-0.86982744932174705</v>
      </c>
      <c r="N448" s="6">
        <v>1.682391406158338</v>
      </c>
      <c r="O448" s="6">
        <v>2.7111840389195541</v>
      </c>
      <c r="P448" s="6">
        <v>1.692882331623502</v>
      </c>
      <c r="Q448" s="6">
        <v>1.6361256537494131</v>
      </c>
      <c r="R448" s="6">
        <v>15.642309339896361</v>
      </c>
      <c r="S448" s="6">
        <v>14.058410726348807</v>
      </c>
      <c r="T448" s="6">
        <v>10.135616302490234</v>
      </c>
      <c r="U448" s="6" t="str">
        <f>_xll.BDP($A448,"TRAILING_12M_R&amp;D_%_SALES",$A$1,$A$2)</f>
        <v>#N/A N/A</v>
      </c>
      <c r="V448" s="6">
        <v>40</v>
      </c>
      <c r="W448" s="6">
        <v>402030</v>
      </c>
      <c r="X448" s="6">
        <v>40203020</v>
      </c>
      <c r="Y448" s="7" t="s">
        <v>43</v>
      </c>
      <c r="Z448" s="7" t="s">
        <v>212</v>
      </c>
      <c r="AA448" s="7" t="s">
        <v>1026</v>
      </c>
      <c r="AB448" s="6">
        <v>47.429836273193359</v>
      </c>
      <c r="AC448" s="6">
        <v>1.123724786908942</v>
      </c>
      <c r="AD448" s="6">
        <v>13.614775941427503</v>
      </c>
      <c r="AE448" s="6">
        <v>82427</v>
      </c>
      <c r="AF448" s="6">
        <v>57633</v>
      </c>
    </row>
    <row r="449" spans="1:32" s="4" customFormat="1" ht="12.75" x14ac:dyDescent="0.2">
      <c r="A449" s="7" t="s">
        <v>1501</v>
      </c>
      <c r="B449" s="7" t="s">
        <v>1502</v>
      </c>
      <c r="C449" s="7" t="s">
        <v>1503</v>
      </c>
      <c r="D449" s="6">
        <v>-0.37516021728515603</v>
      </c>
      <c r="E449" s="6">
        <v>-1.108584880828857</v>
      </c>
      <c r="F449" s="6">
        <v>0.78842300176620506</v>
      </c>
      <c r="G449" s="6">
        <v>-0.8342925310134891</v>
      </c>
      <c r="H449" s="6">
        <v>-0.702750384807587</v>
      </c>
      <c r="I449" s="6">
        <v>0.80699217319488503</v>
      </c>
      <c r="J449" s="6">
        <v>1.193102240562439</v>
      </c>
      <c r="K449" s="6">
        <v>-1.2894283533096309</v>
      </c>
      <c r="L449" s="6">
        <v>1.3280235528945921</v>
      </c>
      <c r="M449" s="6">
        <v>-0.94071835279464711</v>
      </c>
      <c r="N449" s="6">
        <v>0.49929217684413402</v>
      </c>
      <c r="O449" s="6">
        <v>0.50577065030006307</v>
      </c>
      <c r="P449" s="6">
        <v>0.82191174560423108</v>
      </c>
      <c r="Q449" s="6">
        <v>0.80046605919196612</v>
      </c>
      <c r="R449" s="6">
        <v>10.486370047319161</v>
      </c>
      <c r="S449" s="6">
        <v>8.8766963704034314</v>
      </c>
      <c r="T449" s="6">
        <v>9.3497791290283203</v>
      </c>
      <c r="U449" s="6" t="str">
        <f>_xll.BDP($A449,"TRAILING_12M_R&amp;D_%_SALES",$A$1,$A$2)</f>
        <v>#N/A N/A</v>
      </c>
      <c r="V449" s="6">
        <v>40</v>
      </c>
      <c r="W449" s="6">
        <v>403010</v>
      </c>
      <c r="X449" s="6">
        <v>40301040</v>
      </c>
      <c r="Y449" s="7" t="s">
        <v>43</v>
      </c>
      <c r="Z449" s="7" t="s">
        <v>44</v>
      </c>
      <c r="AA449" s="7" t="s">
        <v>102</v>
      </c>
      <c r="AB449" s="6">
        <v>60.195152282714844</v>
      </c>
      <c r="AC449" s="6">
        <v>0.32136491729502603</v>
      </c>
      <c r="AD449" s="6">
        <v>35.975500180420752</v>
      </c>
      <c r="AE449" s="6">
        <v>38584</v>
      </c>
      <c r="AF449" s="6">
        <v>41295</v>
      </c>
    </row>
    <row r="450" spans="1:32" s="4" customFormat="1" ht="12.75" x14ac:dyDescent="0.2">
      <c r="A450" s="7" t="s">
        <v>1504</v>
      </c>
      <c r="B450" s="7" t="s">
        <v>1505</v>
      </c>
      <c r="C450" s="7" t="s">
        <v>1506</v>
      </c>
      <c r="D450" s="6">
        <v>-0.37516021728515603</v>
      </c>
      <c r="E450" s="6">
        <v>-1.108584880828857</v>
      </c>
      <c r="F450" s="6">
        <v>0.78842300176620506</v>
      </c>
      <c r="G450" s="6">
        <v>-0.8342925310134891</v>
      </c>
      <c r="H450" s="6">
        <v>-0.702750384807587</v>
      </c>
      <c r="I450" s="6">
        <v>0.80699217319488503</v>
      </c>
      <c r="J450" s="6">
        <v>1.193102240562439</v>
      </c>
      <c r="K450" s="6">
        <v>-1.2894283533096309</v>
      </c>
      <c r="L450" s="6">
        <v>1.3280235528945921</v>
      </c>
      <c r="M450" s="6">
        <v>-0.94071835279464711</v>
      </c>
      <c r="N450" s="6">
        <v>0.49929217684413402</v>
      </c>
      <c r="O450" s="6"/>
      <c r="P450" s="6">
        <v>0.82191174560423108</v>
      </c>
      <c r="Q450" s="6"/>
      <c r="R450" s="6">
        <v>10.486370047319161</v>
      </c>
      <c r="S450" s="6"/>
      <c r="T450" s="6">
        <v>9.3497791290283203</v>
      </c>
      <c r="U450" s="6" t="str">
        <f>_xll.BDP($A450,"TRAILING_12M_R&amp;D_%_SALES",$A$1,$A$2)</f>
        <v>#N/A N/A</v>
      </c>
      <c r="V450" s="6">
        <v>40</v>
      </c>
      <c r="W450" s="6">
        <v>403010</v>
      </c>
      <c r="X450" s="6">
        <v>40301040</v>
      </c>
      <c r="Y450" s="7" t="s">
        <v>43</v>
      </c>
      <c r="Z450" s="7" t="s">
        <v>44</v>
      </c>
      <c r="AA450" s="7" t="s">
        <v>102</v>
      </c>
      <c r="AB450" s="6">
        <v>60.195152282714844</v>
      </c>
      <c r="AC450" s="6">
        <v>0.58747431728798305</v>
      </c>
      <c r="AD450" s="6">
        <v>29.884871274939819</v>
      </c>
      <c r="AE450" s="6">
        <v>38584</v>
      </c>
      <c r="AF450" s="6">
        <v>41295</v>
      </c>
    </row>
    <row r="451" spans="1:32" s="4" customFormat="1" ht="12.75" x14ac:dyDescent="0.2">
      <c r="A451" s="7" t="s">
        <v>1507</v>
      </c>
      <c r="B451" s="7" t="s">
        <v>1508</v>
      </c>
      <c r="C451" s="7" t="s">
        <v>1509</v>
      </c>
      <c r="D451" s="6">
        <v>0.29119598865509</v>
      </c>
      <c r="E451" s="6">
        <v>-0.79648733139038108</v>
      </c>
      <c r="F451" s="6">
        <v>1.7988554239273071</v>
      </c>
      <c r="G451" s="6">
        <v>-0.58680194616317705</v>
      </c>
      <c r="H451" s="6">
        <v>0.18191963434219402</v>
      </c>
      <c r="I451" s="6">
        <v>1.489854216575623</v>
      </c>
      <c r="J451" s="6">
        <v>1.182552576065063</v>
      </c>
      <c r="K451" s="6">
        <v>-1.1878430843353269</v>
      </c>
      <c r="L451" s="6">
        <v>0.63387721776962302</v>
      </c>
      <c r="M451" s="6">
        <v>-0.59747135639190707</v>
      </c>
      <c r="N451" s="6">
        <v>0.47428763485682701</v>
      </c>
      <c r="O451" s="6">
        <v>0.49119646765585406</v>
      </c>
      <c r="P451" s="6">
        <v>1.072848445701045</v>
      </c>
      <c r="Q451" s="6">
        <v>1.0049657980075011</v>
      </c>
      <c r="R451" s="6">
        <v>10.448672182685874</v>
      </c>
      <c r="S451" s="6">
        <v>9.5904937381225039</v>
      </c>
      <c r="T451" s="6">
        <v>11.116561889648438</v>
      </c>
      <c r="U451" s="6">
        <f>_xll.BDP($A451,"TRAILING_12M_R&amp;D_%_SALES",$A$1,$A$2)</f>
        <v>0</v>
      </c>
      <c r="V451" s="6">
        <v>20</v>
      </c>
      <c r="W451" s="6">
        <v>201070</v>
      </c>
      <c r="X451" s="6">
        <v>20107010</v>
      </c>
      <c r="Y451" s="7" t="s">
        <v>38</v>
      </c>
      <c r="Z451" s="7" t="s">
        <v>39</v>
      </c>
      <c r="AA451" s="7" t="s">
        <v>39</v>
      </c>
      <c r="AB451" s="6">
        <v>59.873252868652344</v>
      </c>
      <c r="AC451" s="6">
        <v>0.62643045943688003</v>
      </c>
      <c r="AD451" s="6">
        <v>58.510802196495383</v>
      </c>
      <c r="AE451" s="6">
        <v>79706</v>
      </c>
      <c r="AF451" s="6">
        <v>77476</v>
      </c>
    </row>
    <row r="452" spans="1:32" s="4" customFormat="1" ht="12.75" x14ac:dyDescent="0.2">
      <c r="A452" s="7" t="s">
        <v>1510</v>
      </c>
      <c r="B452" s="7" t="s">
        <v>1511</v>
      </c>
      <c r="C452" s="7" t="s">
        <v>1512</v>
      </c>
      <c r="D452" s="6">
        <v>1.8516817092895512</v>
      </c>
      <c r="E452" s="6">
        <v>0.49846762418746904</v>
      </c>
      <c r="F452" s="6">
        <v>0.28937157988548301</v>
      </c>
      <c r="G452" s="6">
        <v>-0.60398977994918801</v>
      </c>
      <c r="H452" s="6">
        <v>-0.6611692309379581</v>
      </c>
      <c r="I452" s="6">
        <v>0.258483827114105</v>
      </c>
      <c r="J452" s="6">
        <v>-0.40272140502929704</v>
      </c>
      <c r="K452" s="6">
        <v>0.24905905127525302</v>
      </c>
      <c r="L452" s="6">
        <v>-0.29635176062583901</v>
      </c>
      <c r="M452" s="6">
        <v>-2.1960603073239E-2</v>
      </c>
      <c r="N452" s="6">
        <v>12.812849369187207</v>
      </c>
      <c r="O452" s="6">
        <v>10.742393892114062</v>
      </c>
      <c r="P452" s="6">
        <v>12.660516769143554</v>
      </c>
      <c r="Q452" s="6">
        <v>8.7859538214115265</v>
      </c>
      <c r="R452" s="6">
        <v>36.101236977922369</v>
      </c>
      <c r="S452" s="6">
        <v>30.942429792194254</v>
      </c>
      <c r="T452" s="6">
        <v>39.107231140136719</v>
      </c>
      <c r="U452" s="6">
        <f>_xll.BDP($A452,"TRAILING_12M_R&amp;D_%_SALES",$A$1,$A$2)</f>
        <v>11.905944186828215</v>
      </c>
      <c r="V452" s="6">
        <v>45</v>
      </c>
      <c r="W452" s="6">
        <v>451030</v>
      </c>
      <c r="X452" s="6">
        <v>45103020</v>
      </c>
      <c r="Y452" s="7" t="s">
        <v>56</v>
      </c>
      <c r="Z452" s="7" t="s">
        <v>117</v>
      </c>
      <c r="AA452" s="7" t="s">
        <v>1513</v>
      </c>
      <c r="AB452" s="6">
        <v>62.619453430175781</v>
      </c>
      <c r="AC452" s="6">
        <v>1.1192943516569991</v>
      </c>
      <c r="AD452" s="6">
        <v>57.410831972615142</v>
      </c>
      <c r="AE452" s="6">
        <v>221000</v>
      </c>
      <c r="AF452" s="6">
        <v>131000</v>
      </c>
    </row>
    <row r="453" spans="1:32" s="4" customFormat="1" ht="12.75" x14ac:dyDescent="0.2">
      <c r="A453" s="7" t="s">
        <v>1514</v>
      </c>
      <c r="B453" s="7" t="s">
        <v>1515</v>
      </c>
      <c r="C453" s="7" t="s">
        <v>1516</v>
      </c>
      <c r="D453" s="6">
        <v>-0.39998164772987405</v>
      </c>
      <c r="E453" s="6">
        <v>-0.90558511018753107</v>
      </c>
      <c r="F453" s="6">
        <v>0.579961717128754</v>
      </c>
      <c r="G453" s="6">
        <v>-0.58478975296020508</v>
      </c>
      <c r="H453" s="6">
        <v>-0.46741619706153903</v>
      </c>
      <c r="I453" s="6">
        <v>-0.11967521160841001</v>
      </c>
      <c r="J453" s="6">
        <v>3.0000147819519039</v>
      </c>
      <c r="K453" s="6">
        <v>-0.90617120265960704</v>
      </c>
      <c r="L453" s="6">
        <v>0.11005094647407501</v>
      </c>
      <c r="M453" s="6">
        <v>0.10207736492157</v>
      </c>
      <c r="N453" s="6">
        <v>0.34228979142032101</v>
      </c>
      <c r="O453" s="6">
        <v>0.36380898693281105</v>
      </c>
      <c r="P453" s="6">
        <v>0.43723808320413904</v>
      </c>
      <c r="Q453" s="6">
        <v>0.41444405240184001</v>
      </c>
      <c r="R453" s="6">
        <v>5.7973098331764534</v>
      </c>
      <c r="S453" s="6">
        <v>6.5013283149754804</v>
      </c>
      <c r="T453" s="6">
        <v>7.7517790794372559</v>
      </c>
      <c r="U453" s="6" t="str">
        <f>_xll.BDP($A453,"TRAILING_12M_R&amp;D_%_SALES",$A$1,$A$2)</f>
        <v>#N/A N/A</v>
      </c>
      <c r="V453" s="6">
        <v>15</v>
      </c>
      <c r="W453" s="6">
        <v>151040</v>
      </c>
      <c r="X453" s="6">
        <v>15104050</v>
      </c>
      <c r="Y453" s="7" t="s">
        <v>61</v>
      </c>
      <c r="Z453" s="7" t="s">
        <v>62</v>
      </c>
      <c r="AA453" s="7" t="s">
        <v>217</v>
      </c>
      <c r="AB453" s="6">
        <v>73.010765075683594</v>
      </c>
      <c r="AC453" s="6">
        <v>1.211438804458546</v>
      </c>
      <c r="AD453" s="6">
        <v>9.2288605662054657</v>
      </c>
      <c r="AE453" s="6">
        <v>154000</v>
      </c>
      <c r="AF453" s="6">
        <v>197000</v>
      </c>
    </row>
    <row r="454" spans="1:32" s="4" customFormat="1" ht="12.75" x14ac:dyDescent="0.2">
      <c r="A454" s="7" t="s">
        <v>1517</v>
      </c>
      <c r="B454" s="7" t="s">
        <v>1518</v>
      </c>
      <c r="C454" s="7" t="s">
        <v>1519</v>
      </c>
      <c r="D454" s="6">
        <v>-0.60240179300308205</v>
      </c>
      <c r="E454" s="6">
        <v>-0.93681573867797907</v>
      </c>
      <c r="F454" s="6">
        <v>-0.14994710683822601</v>
      </c>
      <c r="G454" s="6">
        <v>0.19953326880931901</v>
      </c>
      <c r="H454" s="6">
        <v>-0.47225874662399303</v>
      </c>
      <c r="I454" s="6">
        <v>-1.538488030433655</v>
      </c>
      <c r="J454" s="6">
        <v>1.6218727827072139</v>
      </c>
      <c r="K454" s="6">
        <v>-1.011474132537842</v>
      </c>
      <c r="L454" s="6">
        <v>1.2032632827758789</v>
      </c>
      <c r="M454" s="6">
        <v>-1.03016209602356</v>
      </c>
      <c r="N454" s="6">
        <v>1.883640572169184</v>
      </c>
      <c r="O454" s="6">
        <v>2.481345382743914</v>
      </c>
      <c r="P454" s="6">
        <v>0.88024372188818312</v>
      </c>
      <c r="Q454" s="6">
        <v>0.86275156254531704</v>
      </c>
      <c r="R454" s="6">
        <v>8.1387250298261513</v>
      </c>
      <c r="S454" s="6">
        <v>9.3476806971058242</v>
      </c>
      <c r="T454" s="6">
        <v>11.891291618347168</v>
      </c>
      <c r="U454" s="6" t="str">
        <f>_xll.BDP($A454,"TRAILING_12M_R&amp;D_%_SALES",$A$1,$A$2)</f>
        <v>#N/A N/A</v>
      </c>
      <c r="V454" s="6">
        <v>40</v>
      </c>
      <c r="W454" s="6">
        <v>401010</v>
      </c>
      <c r="X454" s="6">
        <v>40101015</v>
      </c>
      <c r="Y454" s="7" t="s">
        <v>43</v>
      </c>
      <c r="Z454" s="7" t="s">
        <v>67</v>
      </c>
      <c r="AA454" s="7" t="s">
        <v>527</v>
      </c>
      <c r="AB454" s="6">
        <v>53.143547058105469</v>
      </c>
      <c r="AC454" s="6">
        <v>1.2344346614325981</v>
      </c>
      <c r="AD454" s="6">
        <v>-1.9442996404203221</v>
      </c>
      <c r="AE454" s="6">
        <v>22509</v>
      </c>
      <c r="AF454" s="6">
        <v>16794</v>
      </c>
    </row>
    <row r="455" spans="1:32" s="4" customFormat="1" ht="12.75" x14ac:dyDescent="0.2">
      <c r="A455" s="7" t="s">
        <v>1520</v>
      </c>
      <c r="B455" s="7" t="s">
        <v>1521</v>
      </c>
      <c r="C455" s="7" t="s">
        <v>1522</v>
      </c>
      <c r="D455" s="6">
        <v>-0.8635061979293821</v>
      </c>
      <c r="E455" s="6">
        <v>-0.93503963947296109</v>
      </c>
      <c r="F455" s="6">
        <v>-0.23754341900348702</v>
      </c>
      <c r="G455" s="6">
        <v>-0.707746922969818</v>
      </c>
      <c r="H455" s="6">
        <v>1.305000305175781</v>
      </c>
      <c r="I455" s="6">
        <v>0.20582877099514002</v>
      </c>
      <c r="J455" s="6">
        <v>0.706079602241516</v>
      </c>
      <c r="K455" s="6">
        <v>-1.139299273490906</v>
      </c>
      <c r="L455" s="6">
        <v>0.26728355884552002</v>
      </c>
      <c r="M455" s="6">
        <v>-0.95184689760208108</v>
      </c>
      <c r="N455" s="6">
        <v>1.3660525387944631</v>
      </c>
      <c r="O455" s="6">
        <v>1.316314120062827</v>
      </c>
      <c r="P455" s="6">
        <v>1.0625131839250179</v>
      </c>
      <c r="Q455" s="6">
        <v>0.98149644780726208</v>
      </c>
      <c r="R455" s="6">
        <v>14.346761659480498</v>
      </c>
      <c r="S455" s="6">
        <v>13.385154178464946</v>
      </c>
      <c r="T455" s="6">
        <v>7.6846451759338379</v>
      </c>
      <c r="U455" s="6" t="str">
        <f>_xll.BDP($A455,"TRAILING_12M_R&amp;D_%_SALES",$A$1,$A$2)</f>
        <v>#N/A N/A</v>
      </c>
      <c r="V455" s="6">
        <v>60</v>
      </c>
      <c r="W455" s="6">
        <v>602010</v>
      </c>
      <c r="X455" s="6">
        <v>60201010</v>
      </c>
      <c r="Y455" s="7" t="s">
        <v>221</v>
      </c>
      <c r="Z455" s="7" t="s">
        <v>478</v>
      </c>
      <c r="AA455" s="7" t="s">
        <v>803</v>
      </c>
      <c r="AB455" s="6">
        <v>63.263252258300781</v>
      </c>
      <c r="AC455" s="6">
        <v>0.42475220909899403</v>
      </c>
      <c r="AD455" s="6">
        <v>31.540011926399323</v>
      </c>
      <c r="AE455" s="6">
        <v>24706</v>
      </c>
      <c r="AF455" s="6">
        <v>18625</v>
      </c>
    </row>
    <row r="456" spans="1:32" s="4" customFormat="1" ht="12.75" x14ac:dyDescent="0.2">
      <c r="A456" s="7" t="s">
        <v>1523</v>
      </c>
      <c r="B456" s="7" t="s">
        <v>1524</v>
      </c>
      <c r="C456" s="7" t="s">
        <v>1525</v>
      </c>
      <c r="D456" s="6">
        <v>-0.8635061979293821</v>
      </c>
      <c r="E456" s="6">
        <v>-0.93503963947296109</v>
      </c>
      <c r="F456" s="6">
        <v>-0.23754341900348702</v>
      </c>
      <c r="G456" s="6">
        <v>-0.707746922969818</v>
      </c>
      <c r="H456" s="6">
        <v>1.305000305175781</v>
      </c>
      <c r="I456" s="6">
        <v>0.20582877099514002</v>
      </c>
      <c r="J456" s="6">
        <v>0.706079602241516</v>
      </c>
      <c r="K456" s="6">
        <v>-1.139299273490906</v>
      </c>
      <c r="L456" s="6">
        <v>0.26728355884552002</v>
      </c>
      <c r="M456" s="6">
        <v>-0.95184689760208108</v>
      </c>
      <c r="N456" s="6">
        <v>1.3660525387944631</v>
      </c>
      <c r="O456" s="6"/>
      <c r="P456" s="6">
        <v>1.0625131839250179</v>
      </c>
      <c r="Q456" s="6"/>
      <c r="R456" s="6">
        <v>14.346761659480498</v>
      </c>
      <c r="S456" s="6"/>
      <c r="T456" s="6">
        <v>7.6846451759338379</v>
      </c>
      <c r="U456" s="6" t="str">
        <f>_xll.BDP($A456,"TRAILING_12M_R&amp;D_%_SALES",$A$1,$A$2)</f>
        <v>#N/A N/A</v>
      </c>
      <c r="V456" s="6">
        <v>60</v>
      </c>
      <c r="W456" s="6">
        <v>602010</v>
      </c>
      <c r="X456" s="6">
        <v>60201010</v>
      </c>
      <c r="Y456" s="7" t="s">
        <v>221</v>
      </c>
      <c r="Z456" s="7" t="s">
        <v>478</v>
      </c>
      <c r="AA456" s="7" t="s">
        <v>803</v>
      </c>
      <c r="AB456" s="6">
        <v>63.263252258300781</v>
      </c>
      <c r="AC456" s="6">
        <v>0.58039588283529009</v>
      </c>
      <c r="AD456" s="6">
        <v>37.899302223671107</v>
      </c>
      <c r="AE456" s="6">
        <v>24706</v>
      </c>
      <c r="AF456" s="6">
        <v>18625</v>
      </c>
    </row>
    <row r="457" spans="1:32" s="4" customFormat="1" ht="12.75" x14ac:dyDescent="0.2">
      <c r="A457" s="7" t="s">
        <v>1526</v>
      </c>
      <c r="B457" s="7" t="s">
        <v>1527</v>
      </c>
      <c r="C457" s="7" t="s">
        <v>1528</v>
      </c>
      <c r="D457" s="6">
        <v>0.29119598865509</v>
      </c>
      <c r="E457" s="6">
        <v>-0.79648733139038108</v>
      </c>
      <c r="F457" s="6">
        <v>1.7988554239273071</v>
      </c>
      <c r="G457" s="6">
        <v>-0.58680194616317705</v>
      </c>
      <c r="H457" s="6">
        <v>0.18191963434219402</v>
      </c>
      <c r="I457" s="6">
        <v>1.489854216575623</v>
      </c>
      <c r="J457" s="6">
        <v>1.182552576065063</v>
      </c>
      <c r="K457" s="6">
        <v>-1.1878430843353269</v>
      </c>
      <c r="L457" s="6">
        <v>0.63387721776962302</v>
      </c>
      <c r="M457" s="6">
        <v>-0.59747135639190707</v>
      </c>
      <c r="N457" s="6">
        <v>0.47428763485682701</v>
      </c>
      <c r="O457" s="6"/>
      <c r="P457" s="6">
        <v>1.072848445701045</v>
      </c>
      <c r="Q457" s="6"/>
      <c r="R457" s="6">
        <v>10.448672182685874</v>
      </c>
      <c r="S457" s="6"/>
      <c r="T457" s="6">
        <v>11.116561889648438</v>
      </c>
      <c r="U457" s="6">
        <f>_xll.BDP($A457,"TRAILING_12M_R&amp;D_%_SALES",$A$1,$A$2)</f>
        <v>0</v>
      </c>
      <c r="V457" s="6">
        <v>20</v>
      </c>
      <c r="W457" s="6">
        <v>201070</v>
      </c>
      <c r="X457" s="6">
        <v>20107010</v>
      </c>
      <c r="Y457" s="7" t="s">
        <v>38</v>
      </c>
      <c r="Z457" s="7" t="s">
        <v>39</v>
      </c>
      <c r="AA457" s="7" t="s">
        <v>39</v>
      </c>
      <c r="AB457" s="6">
        <v>59.873252868652344</v>
      </c>
      <c r="AC457" s="6">
        <v>0.75076073325871406</v>
      </c>
      <c r="AD457" s="6"/>
      <c r="AE457" s="6">
        <v>79706</v>
      </c>
      <c r="AF457" s="6">
        <v>77476</v>
      </c>
    </row>
    <row r="458" spans="1:32" s="4" customFormat="1" ht="12.75" x14ac:dyDescent="0.2">
      <c r="A458" s="7" t="s">
        <v>1529</v>
      </c>
      <c r="B458" s="7" t="s">
        <v>1530</v>
      </c>
      <c r="C458" s="7" t="s">
        <v>1531</v>
      </c>
      <c r="D458" s="6">
        <v>-0.38040775060653703</v>
      </c>
      <c r="E458" s="6">
        <v>-1.386005163192749</v>
      </c>
      <c r="F458" s="6">
        <v>-2.3012039661407471</v>
      </c>
      <c r="G458" s="6">
        <v>1.6863833665847781</v>
      </c>
      <c r="H458" s="6">
        <v>-0.397904723882675</v>
      </c>
      <c r="I458" s="6">
        <v>0.44069847464561501</v>
      </c>
      <c r="J458" s="6">
        <v>-0.40496385097503701</v>
      </c>
      <c r="K458" s="6">
        <v>1.0888853073120119</v>
      </c>
      <c r="L458" s="6">
        <v>-0.41659194231033303</v>
      </c>
      <c r="M458" s="6">
        <v>0.34522500634193404</v>
      </c>
      <c r="N458" s="6">
        <v>5.7767359028875696</v>
      </c>
      <c r="O458" s="6">
        <v>3.6844793909026032</v>
      </c>
      <c r="P458" s="6">
        <v>2.184990472871589</v>
      </c>
      <c r="Q458" s="6">
        <v>2.0857819121148151</v>
      </c>
      <c r="R458" s="6"/>
      <c r="S458" s="6">
        <v>43.185003999104993</v>
      </c>
      <c r="T458" s="6">
        <v>-14.908180236816406</v>
      </c>
      <c r="U458" s="6">
        <f>_xll.BDP($A458,"TRAILING_12M_R&amp;D_%_SALES",$A$1,$A$2)</f>
        <v>11.937169175775074</v>
      </c>
      <c r="V458" s="6">
        <v>45</v>
      </c>
      <c r="W458" s="6">
        <v>453010</v>
      </c>
      <c r="X458" s="6">
        <v>45301020</v>
      </c>
      <c r="Y458" s="7" t="s">
        <v>56</v>
      </c>
      <c r="Z458" s="7" t="s">
        <v>130</v>
      </c>
      <c r="AA458" s="7" t="s">
        <v>131</v>
      </c>
      <c r="AB458" s="6">
        <v>63.796398162841797</v>
      </c>
      <c r="AC458" s="6">
        <v>1.2325219136287631</v>
      </c>
      <c r="AD458" s="6">
        <v>70.037280503237014</v>
      </c>
      <c r="AE458" s="6">
        <v>43000</v>
      </c>
      <c r="AF458" s="6">
        <v>36000</v>
      </c>
    </row>
    <row r="459" spans="1:32" s="4" customFormat="1" ht="12.75" x14ac:dyDescent="0.2">
      <c r="A459" s="7" t="s">
        <v>1532</v>
      </c>
      <c r="B459" s="7" t="s">
        <v>1533</v>
      </c>
      <c r="C459" s="7" t="s">
        <v>1534</v>
      </c>
      <c r="D459" s="6">
        <v>1.0511152744293211</v>
      </c>
      <c r="E459" s="6">
        <v>-1.0665522813796999</v>
      </c>
      <c r="F459" s="6">
        <v>-0.10546270757913601</v>
      </c>
      <c r="G459" s="6">
        <v>-0.26548469066619901</v>
      </c>
      <c r="H459" s="6">
        <v>1.1936855316162109</v>
      </c>
      <c r="I459" s="6">
        <v>1.649165272712708</v>
      </c>
      <c r="J459" s="6">
        <v>1.9371846914291382</v>
      </c>
      <c r="K459" s="6">
        <v>-1.165002703666687</v>
      </c>
      <c r="L459" s="6">
        <v>0.81797766685485807</v>
      </c>
      <c r="M459" s="6">
        <v>-0.97611457109451305</v>
      </c>
      <c r="N459" s="6">
        <v>1.4988742047322909</v>
      </c>
      <c r="O459" s="6">
        <v>5.9779078651601534</v>
      </c>
      <c r="P459" s="6">
        <v>0.78665183396195304</v>
      </c>
      <c r="Q459" s="6"/>
      <c r="R459" s="6">
        <v>8.0495664024592912</v>
      </c>
      <c r="S459" s="6">
        <v>10.298597372276513</v>
      </c>
      <c r="T459" s="6">
        <v>10.257819175720215</v>
      </c>
      <c r="U459" s="6" t="str">
        <f>_xll.BDP($A459,"TRAILING_12M_R&amp;D_%_SALES",$A$1,$A$2)</f>
        <v>#N/A N/A</v>
      </c>
      <c r="V459" s="6">
        <v>40</v>
      </c>
      <c r="W459" s="6">
        <v>401010</v>
      </c>
      <c r="X459" s="6">
        <v>40101010</v>
      </c>
      <c r="Y459" s="7" t="s">
        <v>43</v>
      </c>
      <c r="Z459" s="7" t="s">
        <v>67</v>
      </c>
      <c r="AA459" s="7" t="s">
        <v>68</v>
      </c>
      <c r="AB459" s="6">
        <v>59.722362518310547</v>
      </c>
      <c r="AC459" s="6">
        <v>0.92099589624435507</v>
      </c>
      <c r="AD459" s="6">
        <v>35.293625325852631</v>
      </c>
      <c r="AE459" s="6">
        <v>127122</v>
      </c>
      <c r="AF459" s="6">
        <v>117321</v>
      </c>
    </row>
    <row r="460" spans="1:32" s="4" customFormat="1" ht="12.75" x14ac:dyDescent="0.2">
      <c r="A460" s="7" t="s">
        <v>1535</v>
      </c>
      <c r="B460" s="7" t="s">
        <v>1536</v>
      </c>
      <c r="C460" s="7" t="s">
        <v>1537</v>
      </c>
      <c r="D460" s="6">
        <v>0.22554041445255302</v>
      </c>
      <c r="E460" s="6">
        <v>-0.85247325897216808</v>
      </c>
      <c r="F460" s="6">
        <v>0.52164274454116799</v>
      </c>
      <c r="G460" s="6">
        <v>-0.87487345933914207</v>
      </c>
      <c r="H460" s="6">
        <v>-0.97311270236969005</v>
      </c>
      <c r="I460" s="6">
        <v>0.76478832960128806</v>
      </c>
      <c r="J460" s="6">
        <v>0.63152039051055908</v>
      </c>
      <c r="K460" s="6">
        <v>-1.084381699562073</v>
      </c>
      <c r="L460" s="6">
        <v>0.70252794027328502</v>
      </c>
      <c r="M460" s="6">
        <v>-1.025336384773254</v>
      </c>
      <c r="N460" s="6">
        <v>0.79393483883545701</v>
      </c>
      <c r="O460" s="6">
        <v>0.80823314463899409</v>
      </c>
      <c r="P460" s="6">
        <v>1.86020801139679</v>
      </c>
      <c r="Q460" s="6">
        <v>1.589494762283334</v>
      </c>
      <c r="R460" s="6">
        <v>10.031993398262964</v>
      </c>
      <c r="S460" s="6">
        <v>9.7357770294361554</v>
      </c>
      <c r="T460" s="6">
        <v>19.426301956176758</v>
      </c>
      <c r="U460" s="6" t="str">
        <f>_xll.BDP($A460,"TRAILING_12M_R&amp;D_%_SALES",$A$1,$A$2)</f>
        <v>#N/A N/A</v>
      </c>
      <c r="V460" s="6">
        <v>40</v>
      </c>
      <c r="W460" s="6">
        <v>403010</v>
      </c>
      <c r="X460" s="6">
        <v>40301050</v>
      </c>
      <c r="Y460" s="7" t="s">
        <v>43</v>
      </c>
      <c r="Z460" s="7" t="s">
        <v>44</v>
      </c>
      <c r="AA460" s="7" t="s">
        <v>1538</v>
      </c>
      <c r="AB460" s="6">
        <v>65.486366271972656</v>
      </c>
      <c r="AC460" s="6">
        <v>0.50043470853893002</v>
      </c>
      <c r="AD460" s="6">
        <v>32.015629777779566</v>
      </c>
      <c r="AE460" s="6">
        <v>41389</v>
      </c>
      <c r="AF460" s="6">
        <v>42410</v>
      </c>
    </row>
    <row r="461" spans="1:32" s="4" customFormat="1" ht="12.75" x14ac:dyDescent="0.2">
      <c r="A461" s="7" t="s">
        <v>1539</v>
      </c>
      <c r="B461" s="7" t="s">
        <v>1540</v>
      </c>
      <c r="C461" s="7" t="s">
        <v>1541</v>
      </c>
      <c r="D461" s="6">
        <v>0.22554041445255302</v>
      </c>
      <c r="E461" s="6">
        <v>-0.85247325897216808</v>
      </c>
      <c r="F461" s="6">
        <v>0.52164274454116799</v>
      </c>
      <c r="G461" s="6">
        <v>-0.87487345933914207</v>
      </c>
      <c r="H461" s="6">
        <v>-0.97311270236969005</v>
      </c>
      <c r="I461" s="6">
        <v>0.76478832960128806</v>
      </c>
      <c r="J461" s="6">
        <v>0.63152039051055908</v>
      </c>
      <c r="K461" s="6">
        <v>-1.084381699562073</v>
      </c>
      <c r="L461" s="6">
        <v>0.70252794027328502</v>
      </c>
      <c r="M461" s="6">
        <v>-1.025336384773254</v>
      </c>
      <c r="N461" s="6">
        <v>0.79393483883545701</v>
      </c>
      <c r="O461" s="6">
        <v>0.8418164474605091</v>
      </c>
      <c r="P461" s="6">
        <v>1.86020801139679</v>
      </c>
      <c r="Q461" s="6"/>
      <c r="R461" s="6">
        <v>10.031993398262964</v>
      </c>
      <c r="S461" s="6">
        <v>9.7474834308261524</v>
      </c>
      <c r="T461" s="6">
        <v>19.426301956176758</v>
      </c>
      <c r="U461" s="6" t="str">
        <f>_xll.BDP($A461,"TRAILING_12M_R&amp;D_%_SALES",$A$1,$A$2)</f>
        <v>#N/A N/A</v>
      </c>
      <c r="V461" s="6">
        <v>40</v>
      </c>
      <c r="W461" s="6">
        <v>403010</v>
      </c>
      <c r="X461" s="6">
        <v>40301050</v>
      </c>
      <c r="Y461" s="7" t="s">
        <v>43</v>
      </c>
      <c r="Z461" s="7" t="s">
        <v>44</v>
      </c>
      <c r="AA461" s="7" t="s">
        <v>1538</v>
      </c>
      <c r="AB461" s="6">
        <v>65.486366271972656</v>
      </c>
      <c r="AC461" s="6">
        <v>0.71544377217509503</v>
      </c>
      <c r="AD461" s="6">
        <v>33.573951413885126</v>
      </c>
      <c r="AE461" s="6">
        <v>41389</v>
      </c>
      <c r="AF461" s="6">
        <v>42410</v>
      </c>
    </row>
    <row r="462" spans="1:32" s="4" customFormat="1" ht="12.75" x14ac:dyDescent="0.2">
      <c r="A462" s="7" t="s">
        <v>1542</v>
      </c>
      <c r="B462" s="7" t="s">
        <v>1543</v>
      </c>
      <c r="C462" s="7" t="s">
        <v>1544</v>
      </c>
      <c r="D462" s="6">
        <v>0.54212898015976008</v>
      </c>
      <c r="E462" s="6">
        <v>-1.1378821134567261</v>
      </c>
      <c r="F462" s="6">
        <v>-0.7614804506301881</v>
      </c>
      <c r="G462" s="6">
        <v>-0.52553808689117409</v>
      </c>
      <c r="H462" s="6">
        <v>0.9972842335700991</v>
      </c>
      <c r="I462" s="6">
        <v>1.2906689643859859</v>
      </c>
      <c r="J462" s="6">
        <v>2.1171574592590332</v>
      </c>
      <c r="K462" s="6">
        <v>-1.1928672790527339</v>
      </c>
      <c r="L462" s="6">
        <v>1.0545153617858891</v>
      </c>
      <c r="M462" s="6">
        <v>-0.96421611309051503</v>
      </c>
      <c r="N462" s="6">
        <v>0.92852292258077407</v>
      </c>
      <c r="O462" s="6">
        <v>2.4028943735588628</v>
      </c>
      <c r="P462" s="6">
        <v>0.63855126613647906</v>
      </c>
      <c r="Q462" s="6">
        <v>0.63332573252206603</v>
      </c>
      <c r="R462" s="6">
        <v>9.5941619802031237</v>
      </c>
      <c r="S462" s="6">
        <v>9.339567043701658</v>
      </c>
      <c r="T462" s="6">
        <v>6.8898811340332031</v>
      </c>
      <c r="U462" s="6" t="str">
        <f>_xll.BDP($A462,"TRAILING_12M_R&amp;D_%_SALES",$A$1,$A$2)</f>
        <v>#N/A N/A</v>
      </c>
      <c r="V462" s="6">
        <v>40</v>
      </c>
      <c r="W462" s="6">
        <v>401010</v>
      </c>
      <c r="X462" s="6">
        <v>40101010</v>
      </c>
      <c r="Y462" s="7" t="s">
        <v>43</v>
      </c>
      <c r="Z462" s="7" t="s">
        <v>67</v>
      </c>
      <c r="AA462" s="7" t="s">
        <v>68</v>
      </c>
      <c r="AB462" s="6">
        <v>60.255508422851563</v>
      </c>
      <c r="AC462" s="6">
        <v>0.43413344262124504</v>
      </c>
      <c r="AD462" s="6">
        <v>59.516533188858389</v>
      </c>
      <c r="AE462" s="6">
        <v>51212</v>
      </c>
      <c r="AF462" s="6">
        <v>60051</v>
      </c>
    </row>
    <row r="463" spans="1:32" s="4" customFormat="1" ht="12.75" x14ac:dyDescent="0.2">
      <c r="A463" s="7" t="s">
        <v>1545</v>
      </c>
      <c r="B463" s="7" t="s">
        <v>1546</v>
      </c>
      <c r="C463" s="7" t="s">
        <v>1547</v>
      </c>
      <c r="D463" s="6">
        <v>0.27115869522094704</v>
      </c>
      <c r="E463" s="6">
        <v>-0.98811405897140503</v>
      </c>
      <c r="F463" s="6">
        <v>-1.282642722129822</v>
      </c>
      <c r="G463" s="6">
        <v>-0.97456288337707508</v>
      </c>
      <c r="H463" s="6">
        <v>1.0245823860168459</v>
      </c>
      <c r="I463" s="6">
        <v>-0.37232440710067705</v>
      </c>
      <c r="J463" s="6">
        <v>-1.819403655827E-2</v>
      </c>
      <c r="K463" s="6">
        <v>-0.98304373025894209</v>
      </c>
      <c r="L463" s="6">
        <v>1.8557218313217161</v>
      </c>
      <c r="M463" s="6">
        <v>-0.92846727371215809</v>
      </c>
      <c r="N463" s="6">
        <v>1.8542208005496432</v>
      </c>
      <c r="O463" s="6"/>
      <c r="P463" s="6">
        <v>1.5666874122393171</v>
      </c>
      <c r="Q463" s="6"/>
      <c r="R463" s="6">
        <v>12.900352806969639</v>
      </c>
      <c r="S463" s="6">
        <v>13.186667487409464</v>
      </c>
      <c r="T463" s="6">
        <v>12.337542533874512</v>
      </c>
      <c r="U463" s="6" t="str">
        <f>_xll.BDP($A463,"TRAILING_12M_R&amp;D_%_SALES",$A$1,$A$2)</f>
        <v>#N/A N/A</v>
      </c>
      <c r="V463" s="6">
        <v>40</v>
      </c>
      <c r="W463" s="6">
        <v>401010</v>
      </c>
      <c r="X463" s="6">
        <v>40101010</v>
      </c>
      <c r="Y463" s="7" t="s">
        <v>43</v>
      </c>
      <c r="Z463" s="7" t="s">
        <v>67</v>
      </c>
      <c r="AA463" s="7" t="s">
        <v>68</v>
      </c>
      <c r="AB463" s="6">
        <v>69.047378540039063</v>
      </c>
      <c r="AC463" s="6">
        <v>0.8725802567596761</v>
      </c>
      <c r="AD463" s="6">
        <v>8.850589289782862</v>
      </c>
      <c r="AE463" s="6">
        <v>38516</v>
      </c>
      <c r="AF463" s="6">
        <v>33283</v>
      </c>
    </row>
    <row r="464" spans="1:32" s="4" customFormat="1" ht="12.75" x14ac:dyDescent="0.2">
      <c r="A464" s="7" t="s">
        <v>1548</v>
      </c>
      <c r="B464" s="7" t="s">
        <v>1549</v>
      </c>
      <c r="C464" s="7" t="s">
        <v>1550</v>
      </c>
      <c r="D464" s="6">
        <v>0.27115869522094704</v>
      </c>
      <c r="E464" s="6">
        <v>-0.98811405897140503</v>
      </c>
      <c r="F464" s="6">
        <v>-1.282642722129822</v>
      </c>
      <c r="G464" s="6">
        <v>-0.97456288337707508</v>
      </c>
      <c r="H464" s="6">
        <v>1.0245823860168459</v>
      </c>
      <c r="I464" s="6">
        <v>-0.37232440710067705</v>
      </c>
      <c r="J464" s="6">
        <v>-1.819403655827E-2</v>
      </c>
      <c r="K464" s="6">
        <v>-0.98304373025894209</v>
      </c>
      <c r="L464" s="6">
        <v>1.8557218313217161</v>
      </c>
      <c r="M464" s="6">
        <v>-0.92846727371215809</v>
      </c>
      <c r="N464" s="6">
        <v>1.8542208005496432</v>
      </c>
      <c r="O464" s="6">
        <v>4.6637917246965843</v>
      </c>
      <c r="P464" s="6">
        <v>1.5666874122393171</v>
      </c>
      <c r="Q464" s="6">
        <v>1.5089247231187919</v>
      </c>
      <c r="R464" s="6">
        <v>12.900352806969639</v>
      </c>
      <c r="S464" s="6">
        <v>13.876583327416103</v>
      </c>
      <c r="T464" s="6">
        <v>12.337542533874512</v>
      </c>
      <c r="U464" s="6" t="str">
        <f>_xll.BDP($A464,"TRAILING_12M_R&amp;D_%_SALES",$A$1,$A$2)</f>
        <v>#N/A N/A</v>
      </c>
      <c r="V464" s="6">
        <v>40</v>
      </c>
      <c r="W464" s="6">
        <v>401010</v>
      </c>
      <c r="X464" s="6">
        <v>40101010</v>
      </c>
      <c r="Y464" s="7" t="s">
        <v>43</v>
      </c>
      <c r="Z464" s="7" t="s">
        <v>67</v>
      </c>
      <c r="AA464" s="7" t="s">
        <v>68</v>
      </c>
      <c r="AB464" s="6">
        <v>69.047378540039063</v>
      </c>
      <c r="AC464" s="6">
        <v>0.27223335897013401</v>
      </c>
      <c r="AD464" s="6">
        <v>9.6288262025811644</v>
      </c>
      <c r="AE464" s="6">
        <v>38516</v>
      </c>
      <c r="AF464" s="6">
        <v>33283</v>
      </c>
    </row>
    <row r="465" spans="1:32" s="4" customFormat="1" ht="12.75" x14ac:dyDescent="0.2">
      <c r="A465" s="7" t="s">
        <v>1551</v>
      </c>
      <c r="B465" s="7" t="s">
        <v>1552</v>
      </c>
      <c r="C465" s="7" t="s">
        <v>1553</v>
      </c>
      <c r="D465" s="6">
        <v>7.8641541302204007E-2</v>
      </c>
      <c r="E465" s="6">
        <v>-0.46719679236412004</v>
      </c>
      <c r="F465" s="6">
        <v>1.2772673368453979</v>
      </c>
      <c r="G465" s="6">
        <v>-0.50074249505996704</v>
      </c>
      <c r="H465" s="6">
        <v>1.001442551612854</v>
      </c>
      <c r="I465" s="6">
        <v>-1.363767027854919</v>
      </c>
      <c r="J465" s="6">
        <v>0.259475827217102</v>
      </c>
      <c r="K465" s="6">
        <v>-0.57972234487533603</v>
      </c>
      <c r="L465" s="6">
        <v>0.95215517282486006</v>
      </c>
      <c r="M465" s="6">
        <v>-0.88757276535034202</v>
      </c>
      <c r="N465" s="6">
        <v>4.4608442607474696</v>
      </c>
      <c r="O465" s="6">
        <v>4.514451275740841</v>
      </c>
      <c r="P465" s="6">
        <v>2.6465331191302721</v>
      </c>
      <c r="Q465" s="6">
        <v>2.484253569862239</v>
      </c>
      <c r="R465" s="6">
        <v>19.644624949266031</v>
      </c>
      <c r="S465" s="6">
        <v>17.864705874928141</v>
      </c>
      <c r="T465" s="6">
        <v>17.782651901245117</v>
      </c>
      <c r="U465" s="6" t="str">
        <f>_xll.BDP($A465,"TRAILING_12M_R&amp;D_%_SALES",$A$1,$A$2)</f>
        <v>#N/A N/A</v>
      </c>
      <c r="V465" s="6">
        <v>55</v>
      </c>
      <c r="W465" s="6">
        <v>551010</v>
      </c>
      <c r="X465" s="6">
        <v>55101010</v>
      </c>
      <c r="Y465" s="7" t="s">
        <v>154</v>
      </c>
      <c r="Z465" s="7" t="s">
        <v>155</v>
      </c>
      <c r="AA465" s="7" t="s">
        <v>155</v>
      </c>
      <c r="AB465" s="6">
        <v>61.945476531982422</v>
      </c>
      <c r="AC465" s="6">
        <v>0.79316818436858905</v>
      </c>
      <c r="AD465" s="6">
        <v>-25.723407885958338</v>
      </c>
      <c r="AE465" s="6">
        <v>15300</v>
      </c>
      <c r="AF465" s="6">
        <v>14000</v>
      </c>
    </row>
    <row r="466" spans="1:32" s="4" customFormat="1" ht="12.75" x14ac:dyDescent="0.2">
      <c r="A466" s="7" t="s">
        <v>1554</v>
      </c>
      <c r="B466" s="7" t="s">
        <v>1555</v>
      </c>
      <c r="C466" s="7" t="s">
        <v>1556</v>
      </c>
      <c r="D466" s="6">
        <v>-0.96995294094085704</v>
      </c>
      <c r="E466" s="6">
        <v>-1.341772079467773</v>
      </c>
      <c r="F466" s="6">
        <v>-8.0013602972031E-2</v>
      </c>
      <c r="G466" s="6">
        <v>0.62034124135971103</v>
      </c>
      <c r="H466" s="6">
        <v>-0.43093296885490401</v>
      </c>
      <c r="I466" s="6">
        <v>-0.49135717749595603</v>
      </c>
      <c r="J466" s="6">
        <v>9.5103174448013014E-2</v>
      </c>
      <c r="K466" s="6">
        <v>-0.69208425283432007</v>
      </c>
      <c r="L466" s="6">
        <v>1.324743509292603</v>
      </c>
      <c r="M466" s="6">
        <v>-0.33479827642440801</v>
      </c>
      <c r="N466" s="6">
        <v>2.9744934820796192</v>
      </c>
      <c r="O466" s="6">
        <v>3.0677692646947161</v>
      </c>
      <c r="P466" s="6">
        <v>1.7229557790446499</v>
      </c>
      <c r="Q466" s="6">
        <v>1.3324405482830011</v>
      </c>
      <c r="R466" s="6">
        <v>28.751820255743809</v>
      </c>
      <c r="S466" s="6">
        <v>17.35837359737452</v>
      </c>
      <c r="T466" s="6">
        <v>-4.0354399681091309</v>
      </c>
      <c r="U466" s="6">
        <f>_xll.BDP($A466,"TRAILING_12M_R&amp;D_%_SALES",$A$1,$A$2)</f>
        <v>1.0544909538593299</v>
      </c>
      <c r="V466" s="6">
        <v>15</v>
      </c>
      <c r="W466" s="6">
        <v>151040</v>
      </c>
      <c r="X466" s="6">
        <v>15104030</v>
      </c>
      <c r="Y466" s="7" t="s">
        <v>61</v>
      </c>
      <c r="Z466" s="7" t="s">
        <v>62</v>
      </c>
      <c r="AA466" s="7" t="s">
        <v>1010</v>
      </c>
      <c r="AB466" s="6">
        <v>85.434059143066406</v>
      </c>
      <c r="AC466" s="6">
        <v>0.74575147009571208</v>
      </c>
      <c r="AD466" s="6">
        <v>-9.0887610692431338</v>
      </c>
      <c r="AE466" s="6">
        <v>14600</v>
      </c>
      <c r="AF466" s="6">
        <v>12547</v>
      </c>
    </row>
    <row r="467" spans="1:32" s="4" customFormat="1" ht="12.75" x14ac:dyDescent="0.2">
      <c r="A467" s="7" t="s">
        <v>1557</v>
      </c>
      <c r="B467" s="7" t="s">
        <v>1558</v>
      </c>
      <c r="C467" s="7" t="s">
        <v>1559</v>
      </c>
      <c r="D467" s="6">
        <v>-0.77973628044128407</v>
      </c>
      <c r="E467" s="6">
        <v>4.1164807043970004E-3</v>
      </c>
      <c r="F467" s="6">
        <v>1.454729437828064</v>
      </c>
      <c r="G467" s="6">
        <v>-0.89747995138168302</v>
      </c>
      <c r="H467" s="6">
        <v>-1.276373982429504</v>
      </c>
      <c r="I467" s="6">
        <v>0.11152454465627701</v>
      </c>
      <c r="J467" s="6">
        <v>7.3304157704110005E-3</v>
      </c>
      <c r="K467" s="6">
        <v>0.13122744858264901</v>
      </c>
      <c r="L467" s="6">
        <v>0.23273655772209201</v>
      </c>
      <c r="M467" s="6">
        <v>-0.16865566372871402</v>
      </c>
      <c r="N467" s="6">
        <v>4.1938765567930965</v>
      </c>
      <c r="O467" s="6">
        <v>3.5779079568046579</v>
      </c>
      <c r="P467" s="6">
        <v>3.5561851750688391</v>
      </c>
      <c r="Q467" s="6">
        <v>3.0219493468952479</v>
      </c>
      <c r="R467" s="6">
        <v>16.090039050664618</v>
      </c>
      <c r="S467" s="6">
        <v>13.253670972922823</v>
      </c>
      <c r="T467" s="6">
        <v>23.77440071105957</v>
      </c>
      <c r="U467" s="6">
        <f>_xll.BDP($A467,"TRAILING_12M_R&amp;D_%_SALES",$A$1,$A$2)</f>
        <v>16.643499426697705</v>
      </c>
      <c r="V467" s="6">
        <v>50</v>
      </c>
      <c r="W467" s="6">
        <v>502020</v>
      </c>
      <c r="X467" s="6">
        <v>50202020</v>
      </c>
      <c r="Y467" s="7" t="s">
        <v>311</v>
      </c>
      <c r="Z467" s="7" t="s">
        <v>756</v>
      </c>
      <c r="AA467" s="7" t="s">
        <v>1560</v>
      </c>
      <c r="AB467" s="6">
        <v>40.790664672851563</v>
      </c>
      <c r="AC467" s="6">
        <v>0.68636072235021106</v>
      </c>
      <c r="AD467" s="6">
        <v>32.314284279201821</v>
      </c>
      <c r="AE467" s="6">
        <v>31119</v>
      </c>
      <c r="AF467" s="6">
        <v>18129</v>
      </c>
    </row>
    <row r="468" spans="1:32" s="4" customFormat="1" ht="12.75" x14ac:dyDescent="0.2">
      <c r="A468" s="7" t="s">
        <v>1561</v>
      </c>
      <c r="B468" s="7" t="s">
        <v>1562</v>
      </c>
      <c r="C468" s="7" t="s">
        <v>1563</v>
      </c>
      <c r="D468" s="6">
        <v>-5.2613355219364007E-2</v>
      </c>
      <c r="E468" s="6">
        <v>-4.7332964837551006E-2</v>
      </c>
      <c r="F468" s="6">
        <v>0.37672880291938804</v>
      </c>
      <c r="G468" s="6">
        <v>2.0260190963745122</v>
      </c>
      <c r="H468" s="6">
        <v>-6.0061693191528008E-2</v>
      </c>
      <c r="I468" s="6">
        <v>1.4948151111602781</v>
      </c>
      <c r="J468" s="6">
        <v>-0.39688163995742803</v>
      </c>
      <c r="K468" s="6">
        <v>0.41622206568718001</v>
      </c>
      <c r="L468" s="6">
        <v>-0.72281217575073209</v>
      </c>
      <c r="M468" s="6">
        <v>0.20305730402469602</v>
      </c>
      <c r="N468" s="6">
        <v>6.6010775103778734</v>
      </c>
      <c r="O468" s="6">
        <v>5.5692978707551912</v>
      </c>
      <c r="P468" s="6">
        <v>9.6390934049605512</v>
      </c>
      <c r="Q468" s="6">
        <v>8.146628845177144</v>
      </c>
      <c r="R468" s="6">
        <v>45.981861493710468</v>
      </c>
      <c r="S468" s="6">
        <v>30.377979793580202</v>
      </c>
      <c r="T468" s="6">
        <v>21.228355407714844</v>
      </c>
      <c r="U468" s="6">
        <f>_xll.BDP($A468,"TRAILING_12M_R&amp;D_%_SALES",$A$1,$A$2)</f>
        <v>7.5005706268916521</v>
      </c>
      <c r="V468" s="6">
        <v>50</v>
      </c>
      <c r="W468" s="6">
        <v>502020</v>
      </c>
      <c r="X468" s="6">
        <v>50202010</v>
      </c>
      <c r="Y468" s="7" t="s">
        <v>311</v>
      </c>
      <c r="Z468" s="7" t="s">
        <v>756</v>
      </c>
      <c r="AA468" s="7" t="s">
        <v>757</v>
      </c>
      <c r="AB468" s="6">
        <v>38.97998046875</v>
      </c>
      <c r="AC468" s="6">
        <v>1.2072892363178771</v>
      </c>
      <c r="AD468" s="6">
        <v>67.243752764843151</v>
      </c>
      <c r="AE468" s="6">
        <v>12800</v>
      </c>
      <c r="AF468" s="6">
        <v>5400</v>
      </c>
    </row>
    <row r="469" spans="1:32" s="4" customFormat="1" ht="12.75" x14ac:dyDescent="0.2">
      <c r="A469" s="7" t="s">
        <v>1564</v>
      </c>
      <c r="B469" s="7" t="s">
        <v>1565</v>
      </c>
      <c r="C469" s="7" t="s">
        <v>1566</v>
      </c>
      <c r="D469" s="6">
        <v>-0.53021997213363603</v>
      </c>
      <c r="E469" s="6">
        <v>-0.75472986698150601</v>
      </c>
      <c r="F469" s="6">
        <v>2.3457484245300289</v>
      </c>
      <c r="G469" s="6">
        <v>-0.9386295080184941</v>
      </c>
      <c r="H469" s="6">
        <v>0.15940618515014601</v>
      </c>
      <c r="I469" s="6">
        <v>-0.93652850389480602</v>
      </c>
      <c r="J469" s="6">
        <v>1.4324744939804082</v>
      </c>
      <c r="K469" s="6">
        <v>-0.78039258718490601</v>
      </c>
      <c r="L469" s="6">
        <v>1.4839838743209841</v>
      </c>
      <c r="M469" s="6">
        <v>-7.2372905910015009E-2</v>
      </c>
      <c r="N469" s="6">
        <v>0.93427465223076411</v>
      </c>
      <c r="O469" s="6">
        <v>1.0812230351729191</v>
      </c>
      <c r="P469" s="6">
        <v>1.1607471072529409</v>
      </c>
      <c r="Q469" s="6"/>
      <c r="R469" s="6">
        <v>14.563396148270863</v>
      </c>
      <c r="S469" s="6">
        <v>8.3199996948242188</v>
      </c>
      <c r="T469" s="6">
        <v>7.6042590141296387</v>
      </c>
      <c r="U469" s="6" t="str">
        <f>_xll.BDP($A469,"TRAILING_12M_R&amp;D_%_SALES",$A$1,$A$2)</f>
        <v>#N/A N/A</v>
      </c>
      <c r="V469" s="6">
        <v>15</v>
      </c>
      <c r="W469" s="6">
        <v>151040</v>
      </c>
      <c r="X469" s="6">
        <v>15104020</v>
      </c>
      <c r="Y469" s="7" t="s">
        <v>61</v>
      </c>
      <c r="Z469" s="7" t="s">
        <v>62</v>
      </c>
      <c r="AA469" s="7" t="s">
        <v>63</v>
      </c>
      <c r="AB469" s="6">
        <v>76.8936767578125</v>
      </c>
      <c r="AC469" s="6">
        <v>1.204144556097547</v>
      </c>
      <c r="AD469" s="6">
        <v>-33.435357325757394</v>
      </c>
      <c r="AE469" s="6">
        <v>62000</v>
      </c>
      <c r="AF469" s="6">
        <v>69000</v>
      </c>
    </row>
    <row r="470" spans="1:32" s="4" customFormat="1" ht="12.75" x14ac:dyDescent="0.2">
      <c r="A470" s="7" t="s">
        <v>1567</v>
      </c>
      <c r="B470" s="7" t="s">
        <v>1568</v>
      </c>
      <c r="C470" s="7" t="s">
        <v>1569</v>
      </c>
      <c r="D470" s="6">
        <v>-0.6883825659751891</v>
      </c>
      <c r="E470" s="6">
        <v>-1.077581644058228</v>
      </c>
      <c r="F470" s="6">
        <v>0.74516242742538508</v>
      </c>
      <c r="G470" s="6">
        <v>-0.65125268697738603</v>
      </c>
      <c r="H470" s="6">
        <v>-0.50111323595047008</v>
      </c>
      <c r="I470" s="6">
        <v>0.16635523736476901</v>
      </c>
      <c r="J470" s="6">
        <v>1.573160648345947</v>
      </c>
      <c r="K470" s="6">
        <v>-1.1764999628067021</v>
      </c>
      <c r="L470" s="6">
        <v>1.4903619289398191</v>
      </c>
      <c r="M470" s="6">
        <v>-0.9308780431747441</v>
      </c>
      <c r="N470" s="6">
        <v>0.49993810512768805</v>
      </c>
      <c r="O470" s="6">
        <v>0.45235147225181105</v>
      </c>
      <c r="P470" s="6">
        <v>0.95046941977586408</v>
      </c>
      <c r="Q470" s="6">
        <v>0.94637775159152104</v>
      </c>
      <c r="R470" s="6">
        <v>9.4542423816587355</v>
      </c>
      <c r="S470" s="6">
        <v>8.1705156042899159</v>
      </c>
      <c r="T470" s="6">
        <v>11.139631271362305</v>
      </c>
      <c r="U470" s="6" t="str">
        <f>_xll.BDP($A470,"TRAILING_12M_R&amp;D_%_SALES",$A$1,$A$2)</f>
        <v>#N/A N/A</v>
      </c>
      <c r="V470" s="6">
        <v>40</v>
      </c>
      <c r="W470" s="6">
        <v>403010</v>
      </c>
      <c r="X470" s="6">
        <v>40301040</v>
      </c>
      <c r="Y470" s="7" t="s">
        <v>43</v>
      </c>
      <c r="Z470" s="7" t="s">
        <v>44</v>
      </c>
      <c r="AA470" s="7" t="s">
        <v>102</v>
      </c>
      <c r="AB470" s="6">
        <v>60.6981201171875</v>
      </c>
      <c r="AC470" s="6">
        <v>0.28279824943566301</v>
      </c>
      <c r="AD470" s="6">
        <v>19.623966236754974</v>
      </c>
      <c r="AE470" s="6">
        <v>49057</v>
      </c>
      <c r="AF470" s="6">
        <v>48544</v>
      </c>
    </row>
    <row r="471" spans="1:32" s="4" customFormat="1" ht="12.75" x14ac:dyDescent="0.2">
      <c r="A471" s="7" t="s">
        <v>1570</v>
      </c>
      <c r="B471" s="7" t="s">
        <v>1571</v>
      </c>
      <c r="C471" s="7" t="s">
        <v>1572</v>
      </c>
      <c r="D471" s="6">
        <v>-0.51746934652328502</v>
      </c>
      <c r="E471" s="6">
        <v>-0.65601581335067705</v>
      </c>
      <c r="F471" s="6">
        <v>0.27875390648841902</v>
      </c>
      <c r="G471" s="6">
        <v>0.60499495267868009</v>
      </c>
      <c r="H471" s="6">
        <v>0.42610216140747104</v>
      </c>
      <c r="I471" s="6">
        <v>1.414191365242004</v>
      </c>
      <c r="J471" s="6">
        <v>2.428282499313354</v>
      </c>
      <c r="K471" s="6">
        <v>-0.91043710708618208</v>
      </c>
      <c r="L471" s="6">
        <v>1.378882527351379</v>
      </c>
      <c r="M471" s="6">
        <v>-0.35990962386131303</v>
      </c>
      <c r="N471" s="6">
        <v>0.34935965508719402</v>
      </c>
      <c r="O471" s="6">
        <v>0.341319450383611</v>
      </c>
      <c r="P471" s="6">
        <v>0.64421977665819408</v>
      </c>
      <c r="Q471" s="6">
        <v>0.63778191986351807</v>
      </c>
      <c r="R471" s="6">
        <v>4.7828784470922692</v>
      </c>
      <c r="S471" s="6">
        <v>6.6922530501772286</v>
      </c>
      <c r="T471" s="6">
        <v>14.509371757507324</v>
      </c>
      <c r="U471" s="6" t="str">
        <f>_xll.BDP($A471,"TRAILING_12M_R&amp;D_%_SALES",$A$1,$A$2)</f>
        <v>#N/A N/A</v>
      </c>
      <c r="V471" s="6">
        <v>15</v>
      </c>
      <c r="W471" s="6">
        <v>151040</v>
      </c>
      <c r="X471" s="6">
        <v>15104050</v>
      </c>
      <c r="Y471" s="7" t="s">
        <v>61</v>
      </c>
      <c r="Z471" s="7" t="s">
        <v>62</v>
      </c>
      <c r="AA471" s="7" t="s">
        <v>217</v>
      </c>
      <c r="AB471" s="6">
        <v>45.759983062744141</v>
      </c>
      <c r="AC471" s="6">
        <v>0.19107671636732501</v>
      </c>
      <c r="AD471" s="6">
        <v>45.046060687051877</v>
      </c>
      <c r="AE471" s="6">
        <v>106068</v>
      </c>
      <c r="AF471" s="6">
        <v>97996</v>
      </c>
    </row>
    <row r="472" spans="1:32" s="4" customFormat="1" ht="12.75" x14ac:dyDescent="0.2">
      <c r="A472" s="7" t="s">
        <v>1573</v>
      </c>
      <c r="B472" s="7" t="s">
        <v>1574</v>
      </c>
      <c r="C472" s="7" t="s">
        <v>1575</v>
      </c>
      <c r="D472" s="6">
        <v>-7.6371334493160012E-2</v>
      </c>
      <c r="E472" s="6">
        <v>-8.9532881975174006E-2</v>
      </c>
      <c r="F472" s="6">
        <v>0.18126063048839602</v>
      </c>
      <c r="G472" s="6">
        <v>-0.17722848057746901</v>
      </c>
      <c r="H472" s="6">
        <v>-4.2223963886499002E-2</v>
      </c>
      <c r="I472" s="6">
        <v>-0.89483129978179909</v>
      </c>
      <c r="J472" s="6">
        <v>-0.28164038062095603</v>
      </c>
      <c r="K472" s="6">
        <v>-3.7762235850096006E-2</v>
      </c>
      <c r="L472" s="6">
        <v>-7.9750709235668002E-2</v>
      </c>
      <c r="M472" s="6">
        <v>-9.1184332966805004E-2</v>
      </c>
      <c r="N472" s="6">
        <v>3.2272619691560402</v>
      </c>
      <c r="O472" s="6">
        <v>3.05920147920973</v>
      </c>
      <c r="P472" s="6">
        <v>11.680600278584684</v>
      </c>
      <c r="Q472" s="6">
        <v>11.490913808837478</v>
      </c>
      <c r="R472" s="6">
        <v>31.74561379093922</v>
      </c>
      <c r="S472" s="6">
        <v>27.119518899572206</v>
      </c>
      <c r="T472" s="6">
        <v>36.025562286376953</v>
      </c>
      <c r="U472" s="6" t="str">
        <f>_xll.BDP($A472,"TRAILING_12M_R&amp;D_%_SALES",$A$1,$A$2)</f>
        <v>#N/A N/A</v>
      </c>
      <c r="V472" s="6">
        <v>25</v>
      </c>
      <c r="W472" s="6">
        <v>252030</v>
      </c>
      <c r="X472" s="6">
        <v>25203020</v>
      </c>
      <c r="Y472" s="7" t="s">
        <v>85</v>
      </c>
      <c r="Z472" s="7" t="s">
        <v>122</v>
      </c>
      <c r="AA472" s="7" t="s">
        <v>1576</v>
      </c>
      <c r="AB472" s="6">
        <v>63.102302551269531</v>
      </c>
      <c r="AC472" s="6">
        <v>0.97486834693297908</v>
      </c>
      <c r="AD472" s="6">
        <v>-6.3155077749542432</v>
      </c>
      <c r="AE472" s="6">
        <v>83700</v>
      </c>
      <c r="AF472" s="6">
        <v>73100</v>
      </c>
    </row>
    <row r="473" spans="1:32" s="4" customFormat="1" ht="12.75" x14ac:dyDescent="0.2">
      <c r="A473" s="7" t="s">
        <v>1577</v>
      </c>
      <c r="B473" s="7" t="s">
        <v>1578</v>
      </c>
      <c r="C473" s="7" t="s">
        <v>1579</v>
      </c>
      <c r="D473" s="6">
        <v>-0.47647118568420405</v>
      </c>
      <c r="E473" s="6">
        <v>-0.51350885629653908</v>
      </c>
      <c r="F473" s="6">
        <v>-0.43742269277572604</v>
      </c>
      <c r="G473" s="6">
        <v>-0.61294335126876809</v>
      </c>
      <c r="H473" s="6">
        <v>2.1421632766723628</v>
      </c>
      <c r="I473" s="6">
        <v>0.48350036144256603</v>
      </c>
      <c r="J473" s="6">
        <v>0.28608170151710505</v>
      </c>
      <c r="K473" s="6">
        <v>-1.177412271499634</v>
      </c>
      <c r="L473" s="6">
        <v>0.639728963375092</v>
      </c>
      <c r="M473" s="6">
        <v>-0.99156868457794212</v>
      </c>
      <c r="N473" s="6">
        <v>0.558018323193467</v>
      </c>
      <c r="O473" s="6">
        <v>1.412743745443485</v>
      </c>
      <c r="P473" s="6">
        <v>0.58395896444181106</v>
      </c>
      <c r="Q473" s="6"/>
      <c r="R473" s="6">
        <v>14.466879017864281</v>
      </c>
      <c r="S473" s="6">
        <v>13.837289095402255</v>
      </c>
      <c r="T473" s="6">
        <v>4.1175541877746582</v>
      </c>
      <c r="U473" s="6" t="str">
        <f>_xll.BDP($A473,"TRAILING_12M_R&amp;D_%_SALES",$A$1,$A$2)</f>
        <v>#N/A N/A</v>
      </c>
      <c r="V473" s="6">
        <v>40</v>
      </c>
      <c r="W473" s="6">
        <v>402030</v>
      </c>
      <c r="X473" s="6">
        <v>40203020</v>
      </c>
      <c r="Y473" s="7" t="s">
        <v>43</v>
      </c>
      <c r="Z473" s="7" t="s">
        <v>212</v>
      </c>
      <c r="AA473" s="7" t="s">
        <v>1026</v>
      </c>
      <c r="AB473" s="6">
        <v>54.169601440429688</v>
      </c>
      <c r="AC473" s="6">
        <v>0.7248766916122521</v>
      </c>
      <c r="AD473" s="6">
        <v>25.980934808938507</v>
      </c>
      <c r="AE473" s="6">
        <v>26775</v>
      </c>
      <c r="AF473" s="6">
        <v>28048</v>
      </c>
    </row>
    <row r="474" spans="1:32" s="4" customFormat="1" ht="12.75" x14ac:dyDescent="0.2">
      <c r="A474" s="7" t="s">
        <v>1580</v>
      </c>
      <c r="B474" s="7" t="s">
        <v>1581</v>
      </c>
      <c r="C474" s="7" t="s">
        <v>1582</v>
      </c>
      <c r="D474" s="6">
        <v>-0.76080179214477506</v>
      </c>
      <c r="E474" s="6">
        <v>-1.285058259963989</v>
      </c>
      <c r="F474" s="6">
        <v>0.63758140802383401</v>
      </c>
      <c r="G474" s="6">
        <v>-0.62855452299118009</v>
      </c>
      <c r="H474" s="6">
        <v>-0.28416499495506303</v>
      </c>
      <c r="I474" s="6">
        <v>-0.522760570049286</v>
      </c>
      <c r="J474" s="6">
        <v>0.84995484352111805</v>
      </c>
      <c r="K474" s="6">
        <v>-1.2160434722900391</v>
      </c>
      <c r="L474" s="6">
        <v>3.0000102519989009</v>
      </c>
      <c r="M474" s="6">
        <v>-0.87833333015441906</v>
      </c>
      <c r="N474" s="6">
        <v>0.50162186187864899</v>
      </c>
      <c r="O474" s="6">
        <v>0.65735775616946202</v>
      </c>
      <c r="P474" s="6">
        <v>0.51464203906945405</v>
      </c>
      <c r="Q474" s="6">
        <v>0.49090441064785006</v>
      </c>
      <c r="R474" s="6">
        <v>51.201634667573146</v>
      </c>
      <c r="S474" s="6">
        <v>5.6089829357590837</v>
      </c>
      <c r="T474" s="6">
        <v>2.4380309581756592</v>
      </c>
      <c r="U474" s="6" t="str">
        <f>_xll.BDP($A474,"TRAILING_12M_R&amp;D_%_SALES",$A$1,$A$2)</f>
        <v>#N/A N/A</v>
      </c>
      <c r="V474" s="6">
        <v>40</v>
      </c>
      <c r="W474" s="6">
        <v>403010</v>
      </c>
      <c r="X474" s="6">
        <v>40301020</v>
      </c>
      <c r="Y474" s="7" t="s">
        <v>43</v>
      </c>
      <c r="Z474" s="7" t="s">
        <v>44</v>
      </c>
      <c r="AA474" s="7" t="s">
        <v>45</v>
      </c>
      <c r="AB474" s="6">
        <v>53.123428344726563</v>
      </c>
      <c r="AC474" s="6">
        <v>0.53674965627615001</v>
      </c>
      <c r="AD474" s="6">
        <v>-1.8241288898702912</v>
      </c>
      <c r="AE474" s="6">
        <v>16104</v>
      </c>
      <c r="AF474" s="6">
        <v>14971</v>
      </c>
    </row>
    <row r="475" spans="1:32" s="4" customFormat="1" ht="12.75" x14ac:dyDescent="0.2">
      <c r="A475" s="7" t="s">
        <v>1583</v>
      </c>
      <c r="B475" s="7" t="s">
        <v>1584</v>
      </c>
      <c r="C475" s="7" t="s">
        <v>1585</v>
      </c>
      <c r="D475" s="6">
        <v>-0.76080179214477506</v>
      </c>
      <c r="E475" s="6">
        <v>-1.285058259963989</v>
      </c>
      <c r="F475" s="6">
        <v>0.63758140802383401</v>
      </c>
      <c r="G475" s="6">
        <v>-0.62855452299118009</v>
      </c>
      <c r="H475" s="6">
        <v>-0.28416499495506303</v>
      </c>
      <c r="I475" s="6">
        <v>-0.522760570049286</v>
      </c>
      <c r="J475" s="6">
        <v>0.84995484352111805</v>
      </c>
      <c r="K475" s="6">
        <v>-1.2160434722900391</v>
      </c>
      <c r="L475" s="6">
        <v>3.0000102519989009</v>
      </c>
      <c r="M475" s="6">
        <v>-0.87833333015441906</v>
      </c>
      <c r="N475" s="6">
        <v>0.50162186187864899</v>
      </c>
      <c r="O475" s="6"/>
      <c r="P475" s="6">
        <v>0.51464203906945405</v>
      </c>
      <c r="Q475" s="6"/>
      <c r="R475" s="6">
        <v>51.201634667573146</v>
      </c>
      <c r="S475" s="6"/>
      <c r="T475" s="6">
        <v>2.4380309581756592</v>
      </c>
      <c r="U475" s="6" t="str">
        <f>_xll.BDP($A475,"TRAILING_12M_R&amp;D_%_SALES",$A$1,$A$2)</f>
        <v>#N/A N/A</v>
      </c>
      <c r="V475" s="6">
        <v>40</v>
      </c>
      <c r="W475" s="6">
        <v>403010</v>
      </c>
      <c r="X475" s="6">
        <v>40301020</v>
      </c>
      <c r="Y475" s="7" t="s">
        <v>43</v>
      </c>
      <c r="Z475" s="7" t="s">
        <v>44</v>
      </c>
      <c r="AA475" s="7" t="s">
        <v>45</v>
      </c>
      <c r="AB475" s="6">
        <v>53.123428344726563</v>
      </c>
      <c r="AC475" s="6">
        <v>0.95974010231205009</v>
      </c>
      <c r="AD475" s="6">
        <v>2.859447202694176</v>
      </c>
      <c r="AE475" s="6">
        <v>16104</v>
      </c>
      <c r="AF475" s="6">
        <v>14971</v>
      </c>
    </row>
    <row r="476" spans="1:32" s="4" customFormat="1" ht="12.75" x14ac:dyDescent="0.2">
      <c r="A476" s="7" t="s">
        <v>1586</v>
      </c>
      <c r="B476" s="7" t="s">
        <v>1587</v>
      </c>
      <c r="C476" s="7" t="s">
        <v>1588</v>
      </c>
      <c r="D476" s="6">
        <v>-0.36966753005981401</v>
      </c>
      <c r="E476" s="6">
        <v>-0.16130529344081901</v>
      </c>
      <c r="F476" s="6">
        <v>-0.54429054260253906</v>
      </c>
      <c r="G476" s="6">
        <v>-0.29033073782920804</v>
      </c>
      <c r="H476" s="6">
        <v>0.30531197786331205</v>
      </c>
      <c r="I476" s="6">
        <v>-0.83274263143539407</v>
      </c>
      <c r="J476" s="6">
        <v>8.3765789866447005E-2</v>
      </c>
      <c r="K476" s="6">
        <v>-0.65739637613296509</v>
      </c>
      <c r="L476" s="6">
        <v>8.0302730202675005E-2</v>
      </c>
      <c r="M476" s="6">
        <v>-0.53186750411987305</v>
      </c>
      <c r="N476" s="6">
        <v>1.8427570843833729</v>
      </c>
      <c r="O476" s="6">
        <v>1.7157730690819561</v>
      </c>
      <c r="P476" s="6">
        <v>4.4340702825604739</v>
      </c>
      <c r="Q476" s="6">
        <v>4.1408165351798729</v>
      </c>
      <c r="R476" s="6">
        <v>19.358038447965118</v>
      </c>
      <c r="S476" s="6">
        <v>19.351105524860877</v>
      </c>
      <c r="T476" s="6">
        <v>31.274480819702148</v>
      </c>
      <c r="U476" s="6" t="str">
        <f>_xll.BDP($A476,"TRAILING_12M_R&amp;D_%_SALES",$A$1,$A$2)</f>
        <v>#N/A N/A</v>
      </c>
      <c r="V476" s="6">
        <v>20</v>
      </c>
      <c r="W476" s="6">
        <v>201010</v>
      </c>
      <c r="X476" s="6">
        <v>20101010</v>
      </c>
      <c r="Y476" s="7" t="s">
        <v>38</v>
      </c>
      <c r="Z476" s="7" t="s">
        <v>292</v>
      </c>
      <c r="AA476" s="7" t="s">
        <v>292</v>
      </c>
      <c r="AB476" s="6">
        <v>61.553165435791016</v>
      </c>
      <c r="AC476" s="6">
        <v>0.51629823310029599</v>
      </c>
      <c r="AD476" s="6">
        <v>-12.214380783960443</v>
      </c>
      <c r="AE476" s="6">
        <v>95000</v>
      </c>
      <c r="AF476" s="6">
        <v>70000</v>
      </c>
    </row>
    <row r="477" spans="1:32" s="4" customFormat="1" ht="12.75" x14ac:dyDescent="0.2">
      <c r="A477" s="7" t="s">
        <v>1589</v>
      </c>
      <c r="B477" s="7" t="s">
        <v>1590</v>
      </c>
      <c r="C477" s="7" t="s">
        <v>1591</v>
      </c>
      <c r="D477" s="6">
        <v>-0.84159606695175204</v>
      </c>
      <c r="E477" s="6">
        <v>-0.28047853708267201</v>
      </c>
      <c r="F477" s="6">
        <v>3.4643430262804004E-2</v>
      </c>
      <c r="G477" s="6">
        <v>-0.92999100685119607</v>
      </c>
      <c r="H477" s="6">
        <v>-0.58279323577880904</v>
      </c>
      <c r="I477" s="6">
        <v>-1.3343008756637571</v>
      </c>
      <c r="J477" s="6">
        <v>1.3501366376876831</v>
      </c>
      <c r="K477" s="6">
        <v>-0.90092462301254306</v>
      </c>
      <c r="L477" s="6">
        <v>0.85174059867858909</v>
      </c>
      <c r="M477" s="6">
        <v>-0.34621793031692505</v>
      </c>
      <c r="N477" s="6">
        <v>0.70820345850541311</v>
      </c>
      <c r="O477" s="6">
        <v>0.76447566568708003</v>
      </c>
      <c r="P477" s="6">
        <v>0.79367082870576311</v>
      </c>
      <c r="Q477" s="6">
        <v>0.75658012599398206</v>
      </c>
      <c r="R477" s="6">
        <v>4.4231884516022877</v>
      </c>
      <c r="S477" s="6">
        <v>9.6805810122690623</v>
      </c>
      <c r="T477" s="6">
        <v>18.862026214599609</v>
      </c>
      <c r="U477" s="6">
        <f>_xll.BDP($A477,"TRAILING_12M_R&amp;D_%_SALES",$A$1,$A$2)</f>
        <v>23.252584477704058</v>
      </c>
      <c r="V477" s="6">
        <v>45</v>
      </c>
      <c r="W477" s="6">
        <v>452010</v>
      </c>
      <c r="X477" s="6">
        <v>45201020</v>
      </c>
      <c r="Y477" s="7" t="s">
        <v>56</v>
      </c>
      <c r="Z477" s="7" t="s">
        <v>652</v>
      </c>
      <c r="AA477" s="7" t="s">
        <v>652</v>
      </c>
      <c r="AB477" s="6">
        <v>66.663314819335938</v>
      </c>
      <c r="AC477" s="6">
        <v>1.04857901880875</v>
      </c>
      <c r="AD477" s="6">
        <v>-24.646578262334494</v>
      </c>
      <c r="AE477" s="6">
        <v>86896</v>
      </c>
      <c r="AF477" s="6">
        <v>102761</v>
      </c>
    </row>
    <row r="478" spans="1:32" s="4" customFormat="1" ht="12.75" x14ac:dyDescent="0.2">
      <c r="A478" s="7" t="s">
        <v>1592</v>
      </c>
      <c r="B478" s="7" t="s">
        <v>1593</v>
      </c>
      <c r="C478" s="7" t="s">
        <v>1594</v>
      </c>
      <c r="D478" s="6">
        <v>-0.84159606695175204</v>
      </c>
      <c r="E478" s="6">
        <v>-0.28047853708267201</v>
      </c>
      <c r="F478" s="6">
        <v>3.4643430262804004E-2</v>
      </c>
      <c r="G478" s="6">
        <v>-0.92999100685119607</v>
      </c>
      <c r="H478" s="6">
        <v>-0.58279323577880904</v>
      </c>
      <c r="I478" s="6">
        <v>-1.3343008756637571</v>
      </c>
      <c r="J478" s="6">
        <v>1.3501366376876831</v>
      </c>
      <c r="K478" s="6">
        <v>-0.90092462301254306</v>
      </c>
      <c r="L478" s="6">
        <v>0.85174059867858909</v>
      </c>
      <c r="M478" s="6">
        <v>-0.34621793031692505</v>
      </c>
      <c r="N478" s="6">
        <v>0.70820345850541311</v>
      </c>
      <c r="O478" s="6">
        <v>0.7501696305392721</v>
      </c>
      <c r="P478" s="6">
        <v>0.79367082870576311</v>
      </c>
      <c r="Q478" s="6">
        <v>0.74242187991461905</v>
      </c>
      <c r="R478" s="6">
        <v>4.4231884516022877</v>
      </c>
      <c r="S478" s="6">
        <v>9.4994236656062121</v>
      </c>
      <c r="T478" s="6">
        <v>18.862026214599609</v>
      </c>
      <c r="U478" s="6">
        <f>_xll.BDP($A478,"TRAILING_12M_R&amp;D_%_SALES",$A$1,$A$2)</f>
        <v>23.252584477704058</v>
      </c>
      <c r="V478" s="6">
        <v>45</v>
      </c>
      <c r="W478" s="6">
        <v>452010</v>
      </c>
      <c r="X478" s="6">
        <v>45201020</v>
      </c>
      <c r="Y478" s="7" t="s">
        <v>56</v>
      </c>
      <c r="Z478" s="7" t="s">
        <v>652</v>
      </c>
      <c r="AA478" s="7" t="s">
        <v>652</v>
      </c>
      <c r="AB478" s="6">
        <v>66.663314819335938</v>
      </c>
      <c r="AC478" s="6">
        <v>0.8417262009075841</v>
      </c>
      <c r="AD478" s="6">
        <v>-25.609642150479452</v>
      </c>
      <c r="AE478" s="6">
        <v>86896</v>
      </c>
      <c r="AF478" s="6">
        <v>102761</v>
      </c>
    </row>
    <row r="479" spans="1:32" s="4" customFormat="1" ht="12.75" x14ac:dyDescent="0.2">
      <c r="A479" s="7" t="s">
        <v>1595</v>
      </c>
      <c r="B479" s="7" t="s">
        <v>1596</v>
      </c>
      <c r="C479" s="7" t="s">
        <v>1597</v>
      </c>
      <c r="D479" s="6">
        <v>-0.84293270111084007</v>
      </c>
      <c r="E479" s="6">
        <v>-0.12399236857891101</v>
      </c>
      <c r="F479" s="6">
        <v>7.9927621409300008E-3</v>
      </c>
      <c r="G479" s="6">
        <v>6.8737491965294009E-2</v>
      </c>
      <c r="H479" s="6">
        <v>-0.76100999116897605</v>
      </c>
      <c r="I479" s="6">
        <v>0.30615857243537903</v>
      </c>
      <c r="J479" s="6">
        <v>-0.66722762584686302</v>
      </c>
      <c r="K479" s="6">
        <v>1.484095573425293</v>
      </c>
      <c r="L479" s="6">
        <v>-0.72281217575073209</v>
      </c>
      <c r="M479" s="6">
        <v>0.71663153171539307</v>
      </c>
      <c r="N479" s="6">
        <v>16.986773535367238</v>
      </c>
      <c r="O479" s="6">
        <v>13.377649063013033</v>
      </c>
      <c r="P479" s="6">
        <v>20.171164538190158</v>
      </c>
      <c r="Q479" s="6">
        <v>14.391143238186324</v>
      </c>
      <c r="R479" s="6">
        <v>206.77445108610476</v>
      </c>
      <c r="S479" s="6">
        <v>55.736656929666005</v>
      </c>
      <c r="T479" s="6">
        <v>27.099529266357422</v>
      </c>
      <c r="U479" s="6">
        <f>_xll.BDP($A479,"TRAILING_12M_R&amp;D_%_SALES",$A$1,$A$2)</f>
        <v>23.151857246904591</v>
      </c>
      <c r="V479" s="6">
        <v>45</v>
      </c>
      <c r="W479" s="6">
        <v>451030</v>
      </c>
      <c r="X479" s="6">
        <v>45103020</v>
      </c>
      <c r="Y479" s="7" t="s">
        <v>56</v>
      </c>
      <c r="Z479" s="7" t="s">
        <v>117</v>
      </c>
      <c r="AA479" s="7" t="s">
        <v>1513</v>
      </c>
      <c r="AB479" s="6">
        <v>50.296749114990234</v>
      </c>
      <c r="AC479" s="6">
        <v>1.3498260703491529</v>
      </c>
      <c r="AD479" s="6">
        <v>81.220977086962762</v>
      </c>
      <c r="AE479" s="6">
        <v>20433</v>
      </c>
      <c r="AF479" s="6">
        <v>6222</v>
      </c>
    </row>
    <row r="480" spans="1:32" s="4" customFormat="1" ht="12.75" x14ac:dyDescent="0.2">
      <c r="A480" s="7" t="s">
        <v>1598</v>
      </c>
      <c r="B480" s="7" t="s">
        <v>1599</v>
      </c>
      <c r="C480" s="7" t="s">
        <v>1600</v>
      </c>
      <c r="D480" s="6">
        <v>-0.51746934652328502</v>
      </c>
      <c r="E480" s="6">
        <v>-0.65601581335067705</v>
      </c>
      <c r="F480" s="6">
        <v>0.27875390648841902</v>
      </c>
      <c r="G480" s="6">
        <v>0.60499495267868009</v>
      </c>
      <c r="H480" s="6">
        <v>0.42610216140747104</v>
      </c>
      <c r="I480" s="6">
        <v>1.414191365242004</v>
      </c>
      <c r="J480" s="6">
        <v>2.428282499313354</v>
      </c>
      <c r="K480" s="6">
        <v>-0.91043710708618208</v>
      </c>
      <c r="L480" s="6">
        <v>1.378882527351379</v>
      </c>
      <c r="M480" s="6">
        <v>-0.35990962386131303</v>
      </c>
      <c r="N480" s="6">
        <v>0.34935965508719402</v>
      </c>
      <c r="O480" s="6"/>
      <c r="P480" s="6">
        <v>0.64421977665819408</v>
      </c>
      <c r="Q480" s="6"/>
      <c r="R480" s="6">
        <v>4.7828784470922692</v>
      </c>
      <c r="S480" s="6"/>
      <c r="T480" s="6">
        <v>14.509371757507324</v>
      </c>
      <c r="U480" s="6" t="str">
        <f>_xll.BDP($A480,"TRAILING_12M_R&amp;D_%_SALES",$A$1,$A$2)</f>
        <v>#N/A N/A</v>
      </c>
      <c r="V480" s="6">
        <v>15</v>
      </c>
      <c r="W480" s="6">
        <v>151040</v>
      </c>
      <c r="X480" s="6">
        <v>15104050</v>
      </c>
      <c r="Y480" s="7" t="s">
        <v>61</v>
      </c>
      <c r="Z480" s="7" t="s">
        <v>62</v>
      </c>
      <c r="AA480" s="7" t="s">
        <v>217</v>
      </c>
      <c r="AB480" s="6">
        <v>45.759983062744141</v>
      </c>
      <c r="AC480" s="6">
        <v>0.65609115642794502</v>
      </c>
      <c r="AD480" s="6">
        <v>32.199848924227894</v>
      </c>
      <c r="AE480" s="6">
        <v>106068</v>
      </c>
      <c r="AF480" s="6">
        <v>97996</v>
      </c>
    </row>
    <row r="481" spans="1:32" s="4" customFormat="1" ht="12.75" x14ac:dyDescent="0.2">
      <c r="A481" s="7" t="s">
        <v>1601</v>
      </c>
      <c r="B481" s="7" t="s">
        <v>1602</v>
      </c>
      <c r="C481" s="7" t="s">
        <v>1603</v>
      </c>
      <c r="D481" s="6">
        <v>-0.47647118568420405</v>
      </c>
      <c r="E481" s="6">
        <v>-0.51350885629653908</v>
      </c>
      <c r="F481" s="6">
        <v>-0.43742269277572604</v>
      </c>
      <c r="G481" s="6">
        <v>-0.61294335126876809</v>
      </c>
      <c r="H481" s="6">
        <v>2.1421632766723628</v>
      </c>
      <c r="I481" s="6">
        <v>0.48350036144256603</v>
      </c>
      <c r="J481" s="6">
        <v>0.28608170151710505</v>
      </c>
      <c r="K481" s="6">
        <v>-1.177412271499634</v>
      </c>
      <c r="L481" s="6">
        <v>0.639728963375092</v>
      </c>
      <c r="M481" s="6">
        <v>-0.99156868457794212</v>
      </c>
      <c r="N481" s="6">
        <v>0.558018323193467</v>
      </c>
      <c r="O481" s="6">
        <v>1.310267938110862</v>
      </c>
      <c r="P481" s="6">
        <v>0.58395896444181106</v>
      </c>
      <c r="Q481" s="6">
        <v>0.55204664423001604</v>
      </c>
      <c r="R481" s="6">
        <v>14.466879017864281</v>
      </c>
      <c r="S481" s="6">
        <v>11.427782023663031</v>
      </c>
      <c r="T481" s="6">
        <v>4.1175541877746582</v>
      </c>
      <c r="U481" s="6" t="str">
        <f>_xll.BDP($A481,"TRAILING_12M_R&amp;D_%_SALES",$A$1,$A$2)</f>
        <v>#N/A N/A</v>
      </c>
      <c r="V481" s="6">
        <v>40</v>
      </c>
      <c r="W481" s="6">
        <v>402030</v>
      </c>
      <c r="X481" s="6">
        <v>40203020</v>
      </c>
      <c r="Y481" s="7" t="s">
        <v>43</v>
      </c>
      <c r="Z481" s="7" t="s">
        <v>212</v>
      </c>
      <c r="AA481" s="7" t="s">
        <v>1026</v>
      </c>
      <c r="AB481" s="6">
        <v>54.169601440429688</v>
      </c>
      <c r="AC481" s="6">
        <v>0.36822315595644201</v>
      </c>
      <c r="AD481" s="6">
        <v>31.245371046417759</v>
      </c>
      <c r="AE481" s="6">
        <v>26775</v>
      </c>
      <c r="AF481" s="6">
        <v>28048</v>
      </c>
    </row>
    <row r="482" spans="1:32" s="4" customFormat="1" ht="12.75" x14ac:dyDescent="0.2">
      <c r="A482" s="7" t="s">
        <v>1604</v>
      </c>
      <c r="B482" s="7" t="s">
        <v>1605</v>
      </c>
      <c r="C482" s="7" t="s">
        <v>1606</v>
      </c>
      <c r="D482" s="6">
        <v>-0.354660004377365</v>
      </c>
      <c r="E482" s="6">
        <v>-1.085855960845947</v>
      </c>
      <c r="F482" s="6">
        <v>0.37920978665351901</v>
      </c>
      <c r="G482" s="6">
        <v>-0.38690245151519803</v>
      </c>
      <c r="H482" s="6">
        <v>1.174524068832397</v>
      </c>
      <c r="I482" s="6">
        <v>0.53810626268386808</v>
      </c>
      <c r="J482" s="6">
        <v>2.408650398254395</v>
      </c>
      <c r="K482" s="6">
        <v>-1.33369517326355</v>
      </c>
      <c r="L482" s="6">
        <v>4.8023607581854005E-2</v>
      </c>
      <c r="M482" s="6">
        <v>-0.49777719378471402</v>
      </c>
      <c r="N482" s="6">
        <v>0.18089163150491003</v>
      </c>
      <c r="O482" s="6">
        <v>0.15969186798684201</v>
      </c>
      <c r="P482" s="6">
        <v>0.37344808482688402</v>
      </c>
      <c r="Q482" s="6">
        <v>0.35509491013821903</v>
      </c>
      <c r="R482" s="6">
        <v>4.7837721299770894</v>
      </c>
      <c r="S482" s="6">
        <v>4.7500136770184858</v>
      </c>
      <c r="T482" s="6">
        <v>8.3071517944335938</v>
      </c>
      <c r="U482" s="6">
        <f>_xll.BDP($A482,"TRAILING_12M_R&amp;D_%_SALES",$A$1,$A$2)</f>
        <v>4.9614786217549618</v>
      </c>
      <c r="V482" s="6">
        <v>25</v>
      </c>
      <c r="W482" s="6">
        <v>251020</v>
      </c>
      <c r="X482" s="6">
        <v>25102010</v>
      </c>
      <c r="Y482" s="7" t="s">
        <v>85</v>
      </c>
      <c r="Z482" s="7" t="s">
        <v>316</v>
      </c>
      <c r="AA482" s="7" t="s">
        <v>317</v>
      </c>
      <c r="AB482" s="6">
        <v>67.528419494628906</v>
      </c>
      <c r="AC482" s="6">
        <v>0.43929385797476506</v>
      </c>
      <c r="AD482" s="6">
        <v>29.530111874089826</v>
      </c>
      <c r="AE482" s="6">
        <v>131719</v>
      </c>
      <c r="AF482" s="6">
        <v>138910</v>
      </c>
    </row>
    <row r="483" spans="1:32" s="4" customFormat="1" ht="12.75" x14ac:dyDescent="0.2">
      <c r="A483" s="7" t="s">
        <v>1607</v>
      </c>
      <c r="B483" s="7" t="s">
        <v>1608</v>
      </c>
      <c r="C483" s="7" t="s">
        <v>1609</v>
      </c>
      <c r="D483" s="6">
        <v>-0.354660004377365</v>
      </c>
      <c r="E483" s="6">
        <v>-1.085855960845947</v>
      </c>
      <c r="F483" s="6">
        <v>0.37920978665351901</v>
      </c>
      <c r="G483" s="6">
        <v>-0.38690245151519803</v>
      </c>
      <c r="H483" s="6">
        <v>1.174524068832397</v>
      </c>
      <c r="I483" s="6">
        <v>0.53810626268386808</v>
      </c>
      <c r="J483" s="6">
        <v>2.408650398254395</v>
      </c>
      <c r="K483" s="6">
        <v>-1.33369517326355</v>
      </c>
      <c r="L483" s="6">
        <v>4.8023607581854005E-2</v>
      </c>
      <c r="M483" s="6">
        <v>-0.49777719378471402</v>
      </c>
      <c r="N483" s="6">
        <v>0.18089163150491003</v>
      </c>
      <c r="O483" s="6">
        <v>0.16062641315808002</v>
      </c>
      <c r="P483" s="6">
        <v>0.37344808482688402</v>
      </c>
      <c r="Q483" s="6"/>
      <c r="R483" s="6">
        <v>4.7837721299770894</v>
      </c>
      <c r="S483" s="6">
        <v>4.6097475351483475</v>
      </c>
      <c r="T483" s="6">
        <v>8.3071517944335938</v>
      </c>
      <c r="U483" s="6">
        <f>_xll.BDP($A483,"TRAILING_12M_R&amp;D_%_SALES",$A$1,$A$2)</f>
        <v>4.9614786217549618</v>
      </c>
      <c r="V483" s="6">
        <v>25</v>
      </c>
      <c r="W483" s="6">
        <v>251020</v>
      </c>
      <c r="X483" s="6">
        <v>25102010</v>
      </c>
      <c r="Y483" s="7" t="s">
        <v>85</v>
      </c>
      <c r="Z483" s="7" t="s">
        <v>316</v>
      </c>
      <c r="AA483" s="7" t="s">
        <v>317</v>
      </c>
      <c r="AB483" s="6">
        <v>67.528419494628906</v>
      </c>
      <c r="AC483" s="6">
        <v>0.716256744196757</v>
      </c>
      <c r="AD483" s="6">
        <v>28.025373028023282</v>
      </c>
      <c r="AE483" s="6">
        <v>131719</v>
      </c>
      <c r="AF483" s="6">
        <v>138910</v>
      </c>
    </row>
    <row r="484" spans="1:32" s="4" customFormat="1" ht="12.75" x14ac:dyDescent="0.2">
      <c r="A484" s="7" t="s">
        <v>1610</v>
      </c>
      <c r="B484" s="7" t="s">
        <v>1611</v>
      </c>
      <c r="C484" s="7" t="s">
        <v>1612</v>
      </c>
      <c r="D484" s="6">
        <v>-0.78469699621200606</v>
      </c>
      <c r="E484" s="6">
        <v>-0.44469109177589405</v>
      </c>
      <c r="F484" s="6">
        <v>7.8695528209209012E-2</v>
      </c>
      <c r="G484" s="6">
        <v>-0.21611036360263802</v>
      </c>
      <c r="H484" s="6">
        <v>0.51005578041076705</v>
      </c>
      <c r="I484" s="6">
        <v>-0.95354682207107511</v>
      </c>
      <c r="J484" s="6">
        <v>0.21578517556190502</v>
      </c>
      <c r="K484" s="6">
        <v>-0.9701375365257261</v>
      </c>
      <c r="L484" s="6">
        <v>0.54604679346084606</v>
      </c>
      <c r="M484" s="6">
        <v>-0.97118818759918213</v>
      </c>
      <c r="N484" s="6">
        <v>4.3767718108252733</v>
      </c>
      <c r="O484" s="6">
        <v>4.2227168198833649</v>
      </c>
      <c r="P484" s="6">
        <v>4.2373451014569854</v>
      </c>
      <c r="Q484" s="6">
        <v>3.9381374267957772</v>
      </c>
      <c r="R484" s="6">
        <v>26.258393876596756</v>
      </c>
      <c r="S484" s="6">
        <v>18.319771147726318</v>
      </c>
      <c r="T484" s="6">
        <v>16.303287506103516</v>
      </c>
      <c r="U484" s="6">
        <f>_xll.BDP($A484,"TRAILING_12M_R&amp;D_%_SALES",$A$1,$A$2)</f>
        <v>0</v>
      </c>
      <c r="V484" s="6">
        <v>20</v>
      </c>
      <c r="W484" s="6">
        <v>203040</v>
      </c>
      <c r="X484" s="6">
        <v>20304010</v>
      </c>
      <c r="Y484" s="7" t="s">
        <v>38</v>
      </c>
      <c r="Z484" s="7" t="s">
        <v>561</v>
      </c>
      <c r="AA484" s="7" t="s">
        <v>562</v>
      </c>
      <c r="AB484" s="6">
        <v>64.953224182128906</v>
      </c>
      <c r="AC484" s="6">
        <v>0.95472019517008511</v>
      </c>
      <c r="AD484" s="6">
        <v>-2.3732807528514028</v>
      </c>
      <c r="AE484" s="6">
        <v>18900</v>
      </c>
      <c r="AF484" s="6">
        <v>27110</v>
      </c>
    </row>
    <row r="485" spans="1:32" s="4" customFormat="1" ht="12.75" x14ac:dyDescent="0.2">
      <c r="A485" s="7" t="s">
        <v>1613</v>
      </c>
      <c r="B485" s="7" t="s">
        <v>1614</v>
      </c>
      <c r="C485" s="7" t="s">
        <v>1615</v>
      </c>
      <c r="D485" s="6">
        <v>-0.89646106958389304</v>
      </c>
      <c r="E485" s="6">
        <v>9.9209249019623011E-2</v>
      </c>
      <c r="F485" s="6">
        <v>-1.238420248031616</v>
      </c>
      <c r="G485" s="6">
        <v>-0.567893385887146</v>
      </c>
      <c r="H485" s="6">
        <v>-1.3738176822662349</v>
      </c>
      <c r="I485" s="6">
        <v>-0.2755486369133</v>
      </c>
      <c r="J485" s="6">
        <v>6.6778600215912004E-2</v>
      </c>
      <c r="K485" s="6">
        <v>-0.88644504547119107</v>
      </c>
      <c r="L485" s="6">
        <v>0.657892465591431</v>
      </c>
      <c r="M485" s="6">
        <v>0.41315284371376004</v>
      </c>
      <c r="N485" s="6">
        <v>4.9212370919923458</v>
      </c>
      <c r="O485" s="6">
        <v>5.9663319572277258</v>
      </c>
      <c r="P485" s="6">
        <v>3.4721660789962643</v>
      </c>
      <c r="Q485" s="6">
        <v>3.3303360962571742</v>
      </c>
      <c r="R485" s="6">
        <v>18.090415161232407</v>
      </c>
      <c r="S485" s="6">
        <v>22.740695785889208</v>
      </c>
      <c r="T485" s="6">
        <v>20.391267776489258</v>
      </c>
      <c r="U485" s="6">
        <f>_xll.BDP($A485,"TRAILING_12M_R&amp;D_%_SALES",$A$1,$A$2)</f>
        <v>12.175268206021794</v>
      </c>
      <c r="V485" s="6">
        <v>50</v>
      </c>
      <c r="W485" s="6">
        <v>502020</v>
      </c>
      <c r="X485" s="6">
        <v>50202020</v>
      </c>
      <c r="Y485" s="7" t="s">
        <v>311</v>
      </c>
      <c r="Z485" s="7" t="s">
        <v>756</v>
      </c>
      <c r="AA485" s="7" t="s">
        <v>1560</v>
      </c>
      <c r="AB485" s="6">
        <v>54.8536376953125</v>
      </c>
      <c r="AC485" s="6">
        <v>0.64202855126021707</v>
      </c>
      <c r="AD485" s="6">
        <v>26.225399229418578</v>
      </c>
      <c r="AE485" s="6">
        <v>7317</v>
      </c>
      <c r="AF485" s="6">
        <v>5501</v>
      </c>
    </row>
    <row r="486" spans="1:32" s="4" customFormat="1" ht="12.75" x14ac:dyDescent="0.2">
      <c r="A486" s="7" t="s">
        <v>1616</v>
      </c>
      <c r="B486" s="7" t="s">
        <v>1617</v>
      </c>
      <c r="C486" s="7" t="s">
        <v>1618</v>
      </c>
      <c r="D486" s="6">
        <v>-0.89646106958389304</v>
      </c>
      <c r="E486" s="6">
        <v>9.9209249019623011E-2</v>
      </c>
      <c r="F486" s="6">
        <v>-1.238420248031616</v>
      </c>
      <c r="G486" s="6">
        <v>-0.567893385887146</v>
      </c>
      <c r="H486" s="6">
        <v>-1.3738176822662349</v>
      </c>
      <c r="I486" s="6">
        <v>-0.2755486369133</v>
      </c>
      <c r="J486" s="6">
        <v>6.6778600215912004E-2</v>
      </c>
      <c r="K486" s="6">
        <v>-0.88644504547119107</v>
      </c>
      <c r="L486" s="6">
        <v>0.657892465591431</v>
      </c>
      <c r="M486" s="6">
        <v>0.41315284371376004</v>
      </c>
      <c r="N486" s="6">
        <v>4.9212370919923458</v>
      </c>
      <c r="O486" s="6"/>
      <c r="P486" s="6">
        <v>3.4721660789962643</v>
      </c>
      <c r="Q486" s="6"/>
      <c r="R486" s="6">
        <v>18.090415161232407</v>
      </c>
      <c r="S486" s="6"/>
      <c r="T486" s="6">
        <v>20.391267776489258</v>
      </c>
      <c r="U486" s="6">
        <f>_xll.BDP($A486,"TRAILING_12M_R&amp;D_%_SALES",$A$1,$A$2)</f>
        <v>12.175268206021794</v>
      </c>
      <c r="V486" s="6">
        <v>50</v>
      </c>
      <c r="W486" s="6">
        <v>502020</v>
      </c>
      <c r="X486" s="6">
        <v>50202020</v>
      </c>
      <c r="Y486" s="7" t="s">
        <v>311</v>
      </c>
      <c r="Z486" s="7" t="s">
        <v>756</v>
      </c>
      <c r="AA486" s="7" t="s">
        <v>1560</v>
      </c>
      <c r="AB486" s="6">
        <v>54.8536376953125</v>
      </c>
      <c r="AC486" s="6">
        <v>0.6395388622740561</v>
      </c>
      <c r="AD486" s="6">
        <v>27.77565146717307</v>
      </c>
      <c r="AE486" s="6">
        <v>7317</v>
      </c>
      <c r="AF486" s="6">
        <v>5501</v>
      </c>
    </row>
    <row r="487" spans="1:32" s="4" customFormat="1" ht="12.75" x14ac:dyDescent="0.2">
      <c r="A487" s="7" t="s">
        <v>1619</v>
      </c>
      <c r="B487" s="7" t="s">
        <v>1620</v>
      </c>
      <c r="C487" s="7" t="s">
        <v>1621</v>
      </c>
      <c r="D487" s="6">
        <v>-0.87330204248428311</v>
      </c>
      <c r="E487" s="6">
        <v>-0.92688357830047607</v>
      </c>
      <c r="F487" s="6">
        <v>-0.52068394422531106</v>
      </c>
      <c r="G487" s="6">
        <v>-0.94678157567977905</v>
      </c>
      <c r="H487" s="6">
        <v>0.58728045225143399</v>
      </c>
      <c r="I487" s="6">
        <v>-9.7604915499687014E-2</v>
      </c>
      <c r="J487" s="6">
        <v>0.77999866008758501</v>
      </c>
      <c r="K487" s="6">
        <v>-0.27545341849327104</v>
      </c>
      <c r="L487" s="6">
        <v>-0.167227253317833</v>
      </c>
      <c r="M487" s="6">
        <v>-0.54506742954254206</v>
      </c>
      <c r="N487" s="6">
        <v>0.66771670726421806</v>
      </c>
      <c r="O487" s="6"/>
      <c r="P487" s="6">
        <v>1.7519706423792929</v>
      </c>
      <c r="Q487" s="6"/>
      <c r="R487" s="6">
        <v>21.522394681980106</v>
      </c>
      <c r="S487" s="6"/>
      <c r="T487" s="6">
        <v>8.573333740234375</v>
      </c>
      <c r="U487" s="6" t="str">
        <f>_xll.BDP($A487,"TRAILING_12M_R&amp;D_%_SALES",$A$1,$A$2)</f>
        <v>#N/A N/A</v>
      </c>
      <c r="V487" s="6">
        <v>45</v>
      </c>
      <c r="W487" s="6">
        <v>451020</v>
      </c>
      <c r="X487" s="6">
        <v>45102010</v>
      </c>
      <c r="Y487" s="7" t="s">
        <v>56</v>
      </c>
      <c r="Z487" s="7" t="s">
        <v>112</v>
      </c>
      <c r="AA487" s="7" t="s">
        <v>113</v>
      </c>
      <c r="AB487" s="6">
        <v>53.495624542236328</v>
      </c>
      <c r="AC487" s="6">
        <v>0.46024899956463305</v>
      </c>
      <c r="AD487" s="6">
        <v>1.7744441465784799</v>
      </c>
      <c r="AE487" s="6">
        <v>195106</v>
      </c>
      <c r="AF487" s="6">
        <v>118006</v>
      </c>
    </row>
    <row r="488" spans="1:32" s="4" customFormat="1" ht="12.75" x14ac:dyDescent="0.2">
      <c r="A488" s="7" t="s">
        <v>1622</v>
      </c>
      <c r="B488" s="7" t="s">
        <v>1623</v>
      </c>
      <c r="C488" s="7" t="s">
        <v>1624</v>
      </c>
      <c r="D488" s="6">
        <v>-0.77973628044128407</v>
      </c>
      <c r="E488" s="6">
        <v>4.1164807043970004E-3</v>
      </c>
      <c r="F488" s="6">
        <v>1.454729437828064</v>
      </c>
      <c r="G488" s="6">
        <v>-0.89747995138168302</v>
      </c>
      <c r="H488" s="6">
        <v>-1.276373982429504</v>
      </c>
      <c r="I488" s="6">
        <v>0.11152454465627701</v>
      </c>
      <c r="J488" s="6">
        <v>7.3304157704110005E-3</v>
      </c>
      <c r="K488" s="6">
        <v>0.13122744858264901</v>
      </c>
      <c r="L488" s="6">
        <v>0.23273655772209201</v>
      </c>
      <c r="M488" s="6">
        <v>-0.16865566372871402</v>
      </c>
      <c r="N488" s="6">
        <v>4.1938765567930965</v>
      </c>
      <c r="O488" s="6">
        <v>3.6499986789922412</v>
      </c>
      <c r="P488" s="6">
        <v>3.5561851750688391</v>
      </c>
      <c r="Q488" s="6">
        <v>3.0828309667708522</v>
      </c>
      <c r="R488" s="6">
        <v>16.090039050664618</v>
      </c>
      <c r="S488" s="6">
        <v>13.520704196131812</v>
      </c>
      <c r="T488" s="6">
        <v>23.77440071105957</v>
      </c>
      <c r="U488" s="6">
        <f>_xll.BDP($A488,"TRAILING_12M_R&amp;D_%_SALES",$A$1,$A$2)</f>
        <v>16.643499426697705</v>
      </c>
      <c r="V488" s="6">
        <v>50</v>
      </c>
      <c r="W488" s="6">
        <v>502020</v>
      </c>
      <c r="X488" s="6">
        <v>50202020</v>
      </c>
      <c r="Y488" s="7" t="s">
        <v>311</v>
      </c>
      <c r="Z488" s="7" t="s">
        <v>756</v>
      </c>
      <c r="AA488" s="7" t="s">
        <v>1560</v>
      </c>
      <c r="AB488" s="6">
        <v>40.790664672851563</v>
      </c>
      <c r="AC488" s="6">
        <v>0.93723134241390305</v>
      </c>
      <c r="AD488" s="6">
        <v>29.664623436729464</v>
      </c>
      <c r="AE488" s="6">
        <v>31119</v>
      </c>
      <c r="AF488" s="6">
        <v>18129</v>
      </c>
    </row>
    <row r="489" spans="1:32" s="4" customFormat="1" ht="12.75" x14ac:dyDescent="0.2">
      <c r="A489" s="7" t="s">
        <v>1625</v>
      </c>
      <c r="B489" s="7" t="s">
        <v>1626</v>
      </c>
      <c r="C489" s="7" t="s">
        <v>1627</v>
      </c>
      <c r="D489" s="6">
        <v>-0.38330531120300304</v>
      </c>
      <c r="E489" s="6">
        <v>-0.90030056238174405</v>
      </c>
      <c r="F489" s="6">
        <v>-1.7617555856704712</v>
      </c>
      <c r="G489" s="6">
        <v>-0.135381460189819</v>
      </c>
      <c r="H489" s="6">
        <v>-1.221335649490356</v>
      </c>
      <c r="I489" s="6">
        <v>-0.26903414726257302</v>
      </c>
      <c r="J489" s="6">
        <v>-6.1385042965412008E-2</v>
      </c>
      <c r="K489" s="6">
        <v>-0.72795456647872903</v>
      </c>
      <c r="L489" s="6">
        <v>1.3913533687591551</v>
      </c>
      <c r="M489" s="6">
        <v>-0.82751572132110607</v>
      </c>
      <c r="N489" s="6">
        <v>1.45930681897616</v>
      </c>
      <c r="O489" s="6">
        <v>3.064108161979775</v>
      </c>
      <c r="P489" s="6">
        <v>1.664561321094864</v>
      </c>
      <c r="Q489" s="6">
        <v>1.5111598241605222</v>
      </c>
      <c r="R489" s="6">
        <v>10.454923668453327</v>
      </c>
      <c r="S489" s="6">
        <v>10.50160816596193</v>
      </c>
      <c r="T489" s="6">
        <v>16.191207885742188</v>
      </c>
      <c r="U489" s="6" t="str">
        <f>_xll.BDP($A489,"TRAILING_12M_R&amp;D_%_SALES",$A$1,$A$2)</f>
        <v>#N/A N/A</v>
      </c>
      <c r="V489" s="6">
        <v>40</v>
      </c>
      <c r="W489" s="6">
        <v>401010</v>
      </c>
      <c r="X489" s="6">
        <v>40101010</v>
      </c>
      <c r="Y489" s="7" t="s">
        <v>43</v>
      </c>
      <c r="Z489" s="7" t="s">
        <v>67</v>
      </c>
      <c r="AA489" s="7" t="s">
        <v>68</v>
      </c>
      <c r="AB489" s="6">
        <v>62.709987640380859</v>
      </c>
      <c r="AC489" s="6">
        <v>0.91068062992691412</v>
      </c>
      <c r="AD489" s="6">
        <v>17.594474948617279</v>
      </c>
      <c r="AE489" s="6">
        <v>28916</v>
      </c>
      <c r="AF489" s="6">
        <v>22426</v>
      </c>
    </row>
    <row r="490" spans="1:32" s="4" customFormat="1" ht="12.75" x14ac:dyDescent="0.2">
      <c r="A490" s="7" t="s">
        <v>1628</v>
      </c>
      <c r="B490" s="7" t="s">
        <v>1629</v>
      </c>
      <c r="C490" s="7" t="s">
        <v>1630</v>
      </c>
      <c r="D490" s="6">
        <v>-0.6193434000015261</v>
      </c>
      <c r="E490" s="6">
        <v>-0.56583291292190607</v>
      </c>
      <c r="F490" s="6">
        <v>1.2550873756408691</v>
      </c>
      <c r="G490" s="6">
        <v>-0.56258517503738403</v>
      </c>
      <c r="H490" s="6">
        <v>0.10423831641674002</v>
      </c>
      <c r="I490" s="6">
        <v>-1.426517248153687</v>
      </c>
      <c r="J490" s="6">
        <v>1.524352431297302</v>
      </c>
      <c r="K490" s="6">
        <v>-0.65557813644409202</v>
      </c>
      <c r="L490" s="6">
        <v>0.89926892518997203</v>
      </c>
      <c r="M490" s="6">
        <v>-2.9735291376710004E-2</v>
      </c>
      <c r="N490" s="6">
        <v>0.91648692444746604</v>
      </c>
      <c r="O490" s="6">
        <v>1.0082356430120409</v>
      </c>
      <c r="P490" s="6">
        <v>1.1116511205955379</v>
      </c>
      <c r="Q490" s="6">
        <v>1.0956735408131859</v>
      </c>
      <c r="R490" s="6">
        <v>9.5846315676448839</v>
      </c>
      <c r="S490" s="6">
        <v>11.783459587395395</v>
      </c>
      <c r="T490" s="6">
        <v>8.5978603363037109</v>
      </c>
      <c r="U490" s="6" t="str">
        <f>_xll.BDP($A490,"TRAILING_12M_R&amp;D_%_SALES",$A$1,$A$2)</f>
        <v>#N/A N/A</v>
      </c>
      <c r="V490" s="6">
        <v>15</v>
      </c>
      <c r="W490" s="6">
        <v>151010</v>
      </c>
      <c r="X490" s="6">
        <v>15101030</v>
      </c>
      <c r="Y490" s="7" t="s">
        <v>61</v>
      </c>
      <c r="Z490" s="7" t="s">
        <v>250</v>
      </c>
      <c r="AA490" s="7" t="s">
        <v>680</v>
      </c>
      <c r="AB490" s="6">
        <v>75.998390197753906</v>
      </c>
      <c r="AC490" s="6">
        <v>0.95792764746503511</v>
      </c>
      <c r="AD490" s="6">
        <v>-20.575513162568516</v>
      </c>
      <c r="AE490" s="6">
        <v>24700</v>
      </c>
      <c r="AF490" s="6"/>
    </row>
    <row r="491" spans="1:32" s="4" customFormat="1" ht="12.75" x14ac:dyDescent="0.2">
      <c r="A491" s="7" t="s">
        <v>1631</v>
      </c>
      <c r="B491" s="7" t="s">
        <v>1632</v>
      </c>
      <c r="C491" s="7" t="s">
        <v>1633</v>
      </c>
      <c r="D491" s="6">
        <v>-0.84399658441543601</v>
      </c>
      <c r="E491" s="6">
        <v>-1.027548670768738</v>
      </c>
      <c r="F491" s="6">
        <v>0.34880721569061302</v>
      </c>
      <c r="G491" s="6">
        <v>-0.29499638080596902</v>
      </c>
      <c r="H491" s="6">
        <v>-0.42116034030914301</v>
      </c>
      <c r="I491" s="6">
        <v>-1.3781387805938721</v>
      </c>
      <c r="J491" s="6">
        <v>1.1734685897827151</v>
      </c>
      <c r="K491" s="6">
        <v>-1.0347059965133669</v>
      </c>
      <c r="L491" s="6">
        <v>1.3229342699050899</v>
      </c>
      <c r="M491" s="6">
        <v>-1.058754086494446</v>
      </c>
      <c r="N491" s="6">
        <v>1.592238899719703</v>
      </c>
      <c r="O491" s="6">
        <v>2.473744019286185</v>
      </c>
      <c r="P491" s="6">
        <v>1.4746027020248851</v>
      </c>
      <c r="Q491" s="6">
        <v>1.4989216702868491</v>
      </c>
      <c r="R491" s="6">
        <v>16.011384917108881</v>
      </c>
      <c r="S491" s="6">
        <v>14.373341390827452</v>
      </c>
      <c r="T491" s="6">
        <v>9.5824041366577148</v>
      </c>
      <c r="U491" s="6" t="str">
        <f>_xll.BDP($A491,"TRAILING_12M_R&amp;D_%_SALES",$A$1,$A$2)</f>
        <v>#N/A N/A</v>
      </c>
      <c r="V491" s="6">
        <v>40</v>
      </c>
      <c r="W491" s="6">
        <v>402030</v>
      </c>
      <c r="X491" s="6">
        <v>40203010</v>
      </c>
      <c r="Y491" s="7" t="s">
        <v>43</v>
      </c>
      <c r="Z491" s="7" t="s">
        <v>212</v>
      </c>
      <c r="AA491" s="7" t="s">
        <v>213</v>
      </c>
      <c r="AB491" s="6">
        <v>54.954231262207031</v>
      </c>
      <c r="AC491" s="6">
        <v>1.30443587578068</v>
      </c>
      <c r="AD491" s="6">
        <v>-2.0628438914395808</v>
      </c>
      <c r="AE491" s="6">
        <v>23600</v>
      </c>
      <c r="AF491" s="6">
        <v>18100</v>
      </c>
    </row>
    <row r="492" spans="1:32" s="4" customFormat="1" ht="12.75" x14ac:dyDescent="0.2">
      <c r="A492" s="7" t="s">
        <v>1634</v>
      </c>
      <c r="B492" s="7" t="s">
        <v>1635</v>
      </c>
      <c r="C492" s="7" t="s">
        <v>1636</v>
      </c>
      <c r="D492" s="6">
        <v>-0.87330204248428311</v>
      </c>
      <c r="E492" s="6">
        <v>-0.92688357830047607</v>
      </c>
      <c r="F492" s="6">
        <v>-0.52068394422531106</v>
      </c>
      <c r="G492" s="6">
        <v>-0.94678157567977905</v>
      </c>
      <c r="H492" s="6">
        <v>0.58728045225143399</v>
      </c>
      <c r="I492" s="6">
        <v>-9.7604915499687014E-2</v>
      </c>
      <c r="J492" s="6">
        <v>0.77999866008758501</v>
      </c>
      <c r="K492" s="6">
        <v>-0.27545341849327104</v>
      </c>
      <c r="L492" s="6">
        <v>-0.167227253317833</v>
      </c>
      <c r="M492" s="6">
        <v>-0.54506742954254206</v>
      </c>
      <c r="N492" s="6">
        <v>0.66771670726421806</v>
      </c>
      <c r="O492" s="6">
        <v>0.57630774960077702</v>
      </c>
      <c r="P492" s="6">
        <v>1.7519706423792929</v>
      </c>
      <c r="Q492" s="6">
        <v>1.53925468606781</v>
      </c>
      <c r="R492" s="6">
        <v>21.522394681980106</v>
      </c>
      <c r="S492" s="6">
        <v>16.700167778718498</v>
      </c>
      <c r="T492" s="6">
        <v>8.573333740234375</v>
      </c>
      <c r="U492" s="6" t="str">
        <f>_xll.BDP($A492,"TRAILING_12M_R&amp;D_%_SALES",$A$1,$A$2)</f>
        <v>#N/A N/A</v>
      </c>
      <c r="V492" s="6">
        <v>45</v>
      </c>
      <c r="W492" s="6">
        <v>451020</v>
      </c>
      <c r="X492" s="6">
        <v>45102010</v>
      </c>
      <c r="Y492" s="7" t="s">
        <v>56</v>
      </c>
      <c r="Z492" s="7" t="s">
        <v>112</v>
      </c>
      <c r="AA492" s="7" t="s">
        <v>113</v>
      </c>
      <c r="AB492" s="6">
        <v>53.495624542236328</v>
      </c>
      <c r="AC492" s="6">
        <v>0.24949450741333401</v>
      </c>
      <c r="AD492" s="6">
        <v>-13.376593919065128</v>
      </c>
      <c r="AE492" s="6">
        <v>195106</v>
      </c>
      <c r="AF492" s="6">
        <v>118006</v>
      </c>
    </row>
    <row r="493" spans="1:32" s="4" customFormat="1" ht="12.75" x14ac:dyDescent="0.2">
      <c r="A493" s="7" t="s">
        <v>1637</v>
      </c>
      <c r="B493" s="7" t="s">
        <v>1638</v>
      </c>
      <c r="C493" s="7" t="s">
        <v>1639</v>
      </c>
      <c r="D493" s="6">
        <v>-0.62571948766708407</v>
      </c>
      <c r="E493" s="6">
        <v>0.13184963166713701</v>
      </c>
      <c r="F493" s="6">
        <v>-1.9872711971402002E-2</v>
      </c>
      <c r="G493" s="6">
        <v>9.6495881676674014E-2</v>
      </c>
      <c r="H493" s="6">
        <v>-0.40298935770988503</v>
      </c>
      <c r="I493" s="6">
        <v>0.45280355215072604</v>
      </c>
      <c r="J493" s="6">
        <v>1.3300246000289921</v>
      </c>
      <c r="K493" s="6">
        <v>0.43914836645126304</v>
      </c>
      <c r="L493" s="6">
        <v>-0.13341090083122301</v>
      </c>
      <c r="M493" s="6">
        <v>2.4297406673431401</v>
      </c>
      <c r="N493" s="6">
        <v>1.226606751674691</v>
      </c>
      <c r="O493" s="6">
        <v>1.3583447002745821</v>
      </c>
      <c r="P493" s="6">
        <v>2.09060938322094</v>
      </c>
      <c r="Q493" s="6">
        <v>1.8166634280908762</v>
      </c>
      <c r="R493" s="6">
        <v>8.2563123676911871</v>
      </c>
      <c r="S493" s="6">
        <v>14.237331665470823</v>
      </c>
      <c r="T493" s="6">
        <v>26.097251892089844</v>
      </c>
      <c r="U493" s="6" t="str">
        <f>_xll.BDP($A493,"TRAILING_12M_R&amp;D_%_SALES",$A$1,$A$2)</f>
        <v>#N/A N/A</v>
      </c>
      <c r="V493" s="6">
        <v>15</v>
      </c>
      <c r="W493" s="6">
        <v>151040</v>
      </c>
      <c r="X493" s="6">
        <v>15104050</v>
      </c>
      <c r="Y493" s="7" t="s">
        <v>61</v>
      </c>
      <c r="Z493" s="7" t="s">
        <v>62</v>
      </c>
      <c r="AA493" s="7" t="s">
        <v>217</v>
      </c>
      <c r="AB493" s="6">
        <v>50.437580108642578</v>
      </c>
      <c r="AC493" s="6">
        <v>1.2318970795329691</v>
      </c>
      <c r="AD493" s="6">
        <v>31.985381713649463</v>
      </c>
      <c r="AE493" s="6">
        <v>31000</v>
      </c>
      <c r="AF493" s="6">
        <v>25100</v>
      </c>
    </row>
    <row r="494" spans="1:32" s="4" customFormat="1" ht="12.75" x14ac:dyDescent="0.2">
      <c r="A494" s="7" t="s">
        <v>1640</v>
      </c>
      <c r="B494" s="7" t="s">
        <v>1641</v>
      </c>
      <c r="C494" s="7" t="s">
        <v>1642</v>
      </c>
      <c r="D494" s="6">
        <v>0.57559317350387607</v>
      </c>
      <c r="E494" s="6">
        <v>0.61061495542526201</v>
      </c>
      <c r="F494" s="6">
        <v>2.9439406469464004E-2</v>
      </c>
      <c r="G494" s="6">
        <v>2.695688009262085</v>
      </c>
      <c r="H494" s="6">
        <v>-0.66157805919647206</v>
      </c>
      <c r="I494" s="6">
        <v>3.0000865459442139</v>
      </c>
      <c r="J494" s="6">
        <v>-0.7082800865173341</v>
      </c>
      <c r="K494" s="6">
        <v>2.7605926990509033</v>
      </c>
      <c r="L494" s="6">
        <v>-0.70634001493454002</v>
      </c>
      <c r="M494" s="6">
        <v>0.99772566556930509</v>
      </c>
      <c r="N494" s="6">
        <v>27.252913148324684</v>
      </c>
      <c r="O494" s="6">
        <v>13.606211462512572</v>
      </c>
      <c r="P494" s="6">
        <v>36.711633124470957</v>
      </c>
      <c r="Q494" s="6">
        <v>15.589917020045739</v>
      </c>
      <c r="R494" s="6">
        <v>63.138143762283846</v>
      </c>
      <c r="S494" s="6">
        <v>25.163199848665347</v>
      </c>
      <c r="T494" s="6">
        <v>69.169075012207031</v>
      </c>
      <c r="U494" s="6">
        <f>_xll.BDP($A494,"TRAILING_12M_R&amp;D_%_SALES",$A$1,$A$2)</f>
        <v>9.8960129351632613</v>
      </c>
      <c r="V494" s="6">
        <v>45</v>
      </c>
      <c r="W494" s="6">
        <v>453010</v>
      </c>
      <c r="X494" s="6">
        <v>45301020</v>
      </c>
      <c r="Y494" s="7" t="s">
        <v>56</v>
      </c>
      <c r="Z494" s="7" t="s">
        <v>130</v>
      </c>
      <c r="AA494" s="7" t="s">
        <v>131</v>
      </c>
      <c r="AB494" s="6">
        <v>73.795394897460938</v>
      </c>
      <c r="AC494" s="6">
        <v>1.6974227077688331</v>
      </c>
      <c r="AD494" s="6">
        <v>239.27454143991557</v>
      </c>
      <c r="AE494" s="6">
        <v>26196</v>
      </c>
      <c r="AF494" s="6">
        <v>8191</v>
      </c>
    </row>
    <row r="495" spans="1:32" s="4" customFormat="1" ht="12.75" x14ac:dyDescent="0.2">
      <c r="A495" s="7" t="s">
        <v>1643</v>
      </c>
      <c r="B495" s="7" t="s">
        <v>1644</v>
      </c>
      <c r="C495" s="7" t="s">
        <v>1645</v>
      </c>
      <c r="D495" s="6">
        <v>-0.86471116542816207</v>
      </c>
      <c r="E495" s="6">
        <v>0.22097605466842701</v>
      </c>
      <c r="F495" s="6">
        <v>-0.39203616976738004</v>
      </c>
      <c r="G495" s="6">
        <v>0.34582901000976601</v>
      </c>
      <c r="H495" s="6">
        <v>0.47562712430954002</v>
      </c>
      <c r="I495" s="6">
        <v>0.23104570806026503</v>
      </c>
      <c r="J495" s="6">
        <v>0.11018522083759301</v>
      </c>
      <c r="K495" s="6">
        <v>-0.47049286961555503</v>
      </c>
      <c r="L495" s="6">
        <v>0.20509196817874903</v>
      </c>
      <c r="M495" s="6">
        <v>-0.16657952964305903</v>
      </c>
      <c r="N495" s="6">
        <v>4.5170991375989269</v>
      </c>
      <c r="O495" s="6">
        <v>4.3137724874368946</v>
      </c>
      <c r="P495" s="6">
        <v>6.952906822123067</v>
      </c>
      <c r="Q495" s="6">
        <v>5.8690652451279854</v>
      </c>
      <c r="R495" s="6">
        <v>17.747859893361518</v>
      </c>
      <c r="S495" s="6">
        <v>15.687130891119084</v>
      </c>
      <c r="T495" s="6">
        <v>36.193408966064453</v>
      </c>
      <c r="U495" s="6">
        <f>_xll.BDP($A495,"TRAILING_12M_R&amp;D_%_SALES",$A$1,$A$2)</f>
        <v>18.606310448707784</v>
      </c>
      <c r="V495" s="6">
        <v>45</v>
      </c>
      <c r="W495" s="6">
        <v>453010</v>
      </c>
      <c r="X495" s="6">
        <v>45301020</v>
      </c>
      <c r="Y495" s="7" t="s">
        <v>56</v>
      </c>
      <c r="Z495" s="7" t="s">
        <v>130</v>
      </c>
      <c r="AA495" s="7" t="s">
        <v>131</v>
      </c>
      <c r="AB495" s="6">
        <v>62.227138519287109</v>
      </c>
      <c r="AC495" s="6">
        <v>1.374199863218871</v>
      </c>
      <c r="AD495" s="6">
        <v>48.263733445149406</v>
      </c>
      <c r="AE495" s="6">
        <v>34500</v>
      </c>
      <c r="AF495" s="6">
        <v>30100</v>
      </c>
    </row>
    <row r="496" spans="1:32" s="4" customFormat="1" ht="12.75" x14ac:dyDescent="0.2">
      <c r="A496" s="7" t="s">
        <v>1646</v>
      </c>
      <c r="B496" s="7" t="s">
        <v>1647</v>
      </c>
      <c r="C496" s="7" t="s">
        <v>1648</v>
      </c>
      <c r="D496" s="6">
        <v>-0.89772647619247403</v>
      </c>
      <c r="E496" s="6">
        <v>-0.25926780700683599</v>
      </c>
      <c r="F496" s="6">
        <v>8.2049064338207009E-2</v>
      </c>
      <c r="G496" s="6">
        <v>-7.7174246311188008E-2</v>
      </c>
      <c r="H496" s="6">
        <v>0.96649676561355613</v>
      </c>
      <c r="I496" s="6">
        <v>-0.14625872671604201</v>
      </c>
      <c r="J496" s="6">
        <v>0.33394479751586903</v>
      </c>
      <c r="K496" s="6">
        <v>0.43036612868309004</v>
      </c>
      <c r="L496" s="6">
        <v>2.100348949432373</v>
      </c>
      <c r="M496" s="6">
        <v>-2.3798581678420002E-3</v>
      </c>
      <c r="N496" s="6">
        <v>1.809121409745992</v>
      </c>
      <c r="O496" s="6">
        <v>1.7138653683355551</v>
      </c>
      <c r="P496" s="6">
        <v>2.5097086869021239</v>
      </c>
      <c r="Q496" s="6">
        <v>2.4339688142883089</v>
      </c>
      <c r="R496" s="6">
        <v>13.528478396128332</v>
      </c>
      <c r="S496" s="6">
        <v>14.100401797542029</v>
      </c>
      <c r="T496" s="6">
        <v>21.711704254150391</v>
      </c>
      <c r="U496" s="6" t="str">
        <f>_xll.BDP($A496,"TRAILING_12M_R&amp;D_%_SALES",$A$1,$A$2)</f>
        <v>#N/A N/A</v>
      </c>
      <c r="V496" s="6">
        <v>10</v>
      </c>
      <c r="W496" s="6">
        <v>101020</v>
      </c>
      <c r="X496" s="6">
        <v>10102040</v>
      </c>
      <c r="Y496" s="7" t="s">
        <v>387</v>
      </c>
      <c r="Z496" s="7" t="s">
        <v>516</v>
      </c>
      <c r="AA496" s="7" t="s">
        <v>849</v>
      </c>
      <c r="AB496" s="6">
        <v>71.1497802734375</v>
      </c>
      <c r="AC496" s="6">
        <v>0.89909900306507506</v>
      </c>
      <c r="AD496" s="6">
        <v>12.728766756519793</v>
      </c>
      <c r="AE496" s="6">
        <v>2966</v>
      </c>
      <c r="AF496" s="6">
        <v>2470</v>
      </c>
    </row>
    <row r="497" spans="1:32" s="4" customFormat="1" ht="12.75" x14ac:dyDescent="0.2">
      <c r="A497" s="7" t="s">
        <v>1649</v>
      </c>
      <c r="B497" s="7" t="s">
        <v>1650</v>
      </c>
      <c r="C497" s="7" t="s">
        <v>1651</v>
      </c>
      <c r="D497" s="6">
        <v>-0.29982858896255504</v>
      </c>
      <c r="E497" s="6">
        <v>-0.85662651062011708</v>
      </c>
      <c r="F497" s="6">
        <v>-0.81566703319549605</v>
      </c>
      <c r="G497" s="6">
        <v>-0.86651730537414606</v>
      </c>
      <c r="H497" s="6">
        <v>1.184496283531189</v>
      </c>
      <c r="I497" s="6">
        <v>9.1647580266000003E-3</v>
      </c>
      <c r="J497" s="6">
        <v>1.7782877683639531</v>
      </c>
      <c r="K497" s="6">
        <v>-1.2027285099029541</v>
      </c>
      <c r="L497" s="6">
        <v>2.2470934391021729</v>
      </c>
      <c r="M497" s="6">
        <v>-0.84923005104064908</v>
      </c>
      <c r="N497" s="6">
        <v>0.62676770879022004</v>
      </c>
      <c r="O497" s="6">
        <v>0.61703919711367605</v>
      </c>
      <c r="P497" s="6">
        <v>1.044238407600572</v>
      </c>
      <c r="Q497" s="6">
        <v>0.82286995311312605</v>
      </c>
      <c r="R497" s="6">
        <v>17.073199064310597</v>
      </c>
      <c r="S497" s="6">
        <v>8.8337480536888808</v>
      </c>
      <c r="T497" s="6">
        <v>6.0005612373352051</v>
      </c>
      <c r="U497" s="6" t="str">
        <f>_xll.BDP($A497,"TRAILING_12M_R&amp;D_%_SALES",$A$1,$A$2)</f>
        <v>#N/A N/A</v>
      </c>
      <c r="V497" s="6">
        <v>50</v>
      </c>
      <c r="W497" s="6">
        <v>501010</v>
      </c>
      <c r="X497" s="6">
        <v>50101020</v>
      </c>
      <c r="Y497" s="7" t="s">
        <v>311</v>
      </c>
      <c r="Z497" s="7" t="s">
        <v>346</v>
      </c>
      <c r="AA497" s="7" t="s">
        <v>347</v>
      </c>
      <c r="AB497" s="6">
        <v>63.544914245605469</v>
      </c>
      <c r="AC497" s="6">
        <v>0.39277124084185105</v>
      </c>
      <c r="AD497" s="6">
        <v>22.188097643847684</v>
      </c>
      <c r="AE497" s="6">
        <v>136430</v>
      </c>
      <c r="AF497" s="6">
        <v>138038</v>
      </c>
    </row>
    <row r="498" spans="1:32" s="4" customFormat="1" ht="12.75" x14ac:dyDescent="0.2">
      <c r="A498" s="7" t="s">
        <v>1652</v>
      </c>
      <c r="B498" s="7" t="s">
        <v>1653</v>
      </c>
      <c r="C498" s="7" t="s">
        <v>1654</v>
      </c>
      <c r="D498" s="6">
        <v>0.51809197664260909</v>
      </c>
      <c r="E498" s="6">
        <v>1.1549055576324461</v>
      </c>
      <c r="F498" s="6">
        <v>1.163567781448364</v>
      </c>
      <c r="G498" s="6">
        <v>-0.71653252840042103</v>
      </c>
      <c r="H498" s="6">
        <v>1.517827033996582</v>
      </c>
      <c r="I498" s="6">
        <v>1.0095310211181641</v>
      </c>
      <c r="J498" s="6">
        <v>-0.24484919011592901</v>
      </c>
      <c r="K498" s="6">
        <v>-0.66872155666351307</v>
      </c>
      <c r="L498" s="6">
        <v>-4.5328974723816001E-2</v>
      </c>
      <c r="M498" s="6">
        <v>-0.651422560214996</v>
      </c>
      <c r="N498" s="6">
        <v>5.5535142798777315</v>
      </c>
      <c r="O498" s="6">
        <v>5.1637371058021024</v>
      </c>
      <c r="P498" s="6">
        <v>74.940947365905743</v>
      </c>
      <c r="Q498" s="6">
        <v>16.256542010361635</v>
      </c>
      <c r="R498" s="6">
        <v>28.087807803264301</v>
      </c>
      <c r="S498" s="6">
        <v>17.83068644771058</v>
      </c>
      <c r="T498" s="6"/>
      <c r="U498" s="6">
        <f>_xll.BDP($A498,"TRAILING_12M_R&amp;D_%_SALES",$A$1,$A$2)</f>
        <v>16.840514808949084</v>
      </c>
      <c r="V498" s="6">
        <v>45</v>
      </c>
      <c r="W498" s="6">
        <v>451030</v>
      </c>
      <c r="X498" s="6">
        <v>45103020</v>
      </c>
      <c r="Y498" s="7" t="s">
        <v>56</v>
      </c>
      <c r="Z498" s="7" t="s">
        <v>117</v>
      </c>
      <c r="AA498" s="7" t="s">
        <v>1513</v>
      </c>
      <c r="AB498" s="6">
        <v>57.941856384277344</v>
      </c>
      <c r="AC498" s="6">
        <v>1.0354791667203691</v>
      </c>
      <c r="AD498" s="6">
        <v>31.487627494439874</v>
      </c>
      <c r="AE498" s="6">
        <v>164000</v>
      </c>
      <c r="AF498" s="6">
        <v>137000</v>
      </c>
    </row>
    <row r="499" spans="1:32" s="4" customFormat="1" ht="12.75" x14ac:dyDescent="0.2">
      <c r="A499" s="7" t="s">
        <v>1655</v>
      </c>
      <c r="B499" s="7" t="s">
        <v>1656</v>
      </c>
      <c r="C499" s="7" t="s">
        <v>1657</v>
      </c>
      <c r="D499" s="6">
        <v>-0.97675353288650513</v>
      </c>
      <c r="E499" s="6">
        <v>0.42710885405540505</v>
      </c>
      <c r="F499" s="6">
        <v>-1.5599615573883061</v>
      </c>
      <c r="G499" s="6">
        <v>6.7214444279671007E-2</v>
      </c>
      <c r="H499" s="6">
        <v>1.203269481658936</v>
      </c>
      <c r="I499" s="6">
        <v>0.41760456562042203</v>
      </c>
      <c r="J499" s="6">
        <v>-0.205463647842407</v>
      </c>
      <c r="K499" s="6">
        <v>-4.8475582152610001E-3</v>
      </c>
      <c r="L499" s="6">
        <v>-0.72281217575073209</v>
      </c>
      <c r="M499" s="6">
        <v>0.12509307265281702</v>
      </c>
      <c r="N499" s="6">
        <v>3.7248496893223879</v>
      </c>
      <c r="O499" s="6">
        <v>3.3522868375082049</v>
      </c>
      <c r="P499" s="6"/>
      <c r="Q499" s="6"/>
      <c r="R499" s="6">
        <v>25.274807481596547</v>
      </c>
      <c r="S499" s="6">
        <v>22.258980085247309</v>
      </c>
      <c r="T499" s="6"/>
      <c r="U499" s="6" t="str">
        <f>_xll.BDP($A499,"TRAILING_12M_R&amp;D_%_SALES",$A$1,$A$2)</f>
        <v>#N/A N/A</v>
      </c>
      <c r="V499" s="6">
        <v>25</v>
      </c>
      <c r="W499" s="6">
        <v>255040</v>
      </c>
      <c r="X499" s="6">
        <v>25504050</v>
      </c>
      <c r="Y499" s="7" t="s">
        <v>85</v>
      </c>
      <c r="Z499" s="7" t="s">
        <v>287</v>
      </c>
      <c r="AA499" s="7" t="s">
        <v>288</v>
      </c>
      <c r="AB499" s="6">
        <v>46.333366394042969</v>
      </c>
      <c r="AC499" s="6">
        <v>0.59906737187033809</v>
      </c>
      <c r="AD499" s="6">
        <v>12.614091853695331</v>
      </c>
      <c r="AE499" s="6">
        <v>87745</v>
      </c>
      <c r="AF499" s="6">
        <v>45440</v>
      </c>
    </row>
    <row r="500" spans="1:32" s="4" customFormat="1" ht="12.75" x14ac:dyDescent="0.2">
      <c r="A500" s="7" t="s">
        <v>1658</v>
      </c>
      <c r="B500" s="7" t="s">
        <v>1659</v>
      </c>
      <c r="C500" s="7" t="s">
        <v>1660</v>
      </c>
      <c r="D500" s="6">
        <v>-0.85536319017410312</v>
      </c>
      <c r="E500" s="6">
        <v>-0.165354549884796</v>
      </c>
      <c r="F500" s="6">
        <v>-0.11352847516536702</v>
      </c>
      <c r="G500" s="6">
        <v>-0.70237952470779408</v>
      </c>
      <c r="H500" s="6">
        <v>1.249764680862427</v>
      </c>
      <c r="I500" s="6">
        <v>0.49027264118194602</v>
      </c>
      <c r="J500" s="6">
        <v>1.2589701414108281</v>
      </c>
      <c r="K500" s="6">
        <v>-1.066036581993103</v>
      </c>
      <c r="L500" s="6">
        <v>0.92148280143737804</v>
      </c>
      <c r="M500" s="6">
        <v>-1.027857184410095</v>
      </c>
      <c r="N500" s="6">
        <v>2.8118375222019649</v>
      </c>
      <c r="O500" s="6">
        <v>1.051623228161553</v>
      </c>
      <c r="P500" s="6">
        <v>0.81987021920931702</v>
      </c>
      <c r="Q500" s="6">
        <v>0.75572975636704909</v>
      </c>
      <c r="R500" s="6">
        <v>11.116226495658129</v>
      </c>
      <c r="S500" s="6">
        <v>7.9906789659362323</v>
      </c>
      <c r="T500" s="6">
        <v>8.334752082824707</v>
      </c>
      <c r="U500" s="6" t="str">
        <f>_xll.BDP($A500,"TRAILING_12M_R&amp;D_%_SALES",$A$1,$A$2)</f>
        <v>#N/A N/A</v>
      </c>
      <c r="V500" s="6">
        <v>40</v>
      </c>
      <c r="W500" s="6">
        <v>402010</v>
      </c>
      <c r="X500" s="6">
        <v>40201020</v>
      </c>
      <c r="Y500" s="7" t="s">
        <v>43</v>
      </c>
      <c r="Z500" s="7" t="s">
        <v>255</v>
      </c>
      <c r="AA500" s="7" t="s">
        <v>256</v>
      </c>
      <c r="AB500" s="6">
        <v>38.446834564208984</v>
      </c>
      <c r="AC500" s="6">
        <v>0.49118488393607102</v>
      </c>
      <c r="AD500" s="6">
        <v>18.532955694037192</v>
      </c>
      <c r="AE500" s="6">
        <v>34737</v>
      </c>
      <c r="AF500" s="6">
        <v>31890</v>
      </c>
    </row>
    <row r="501" spans="1:32" s="4" customFormat="1" ht="12.75" x14ac:dyDescent="0.2">
      <c r="A501" s="7" t="s">
        <v>1661</v>
      </c>
      <c r="B501" s="7" t="s">
        <v>1662</v>
      </c>
      <c r="C501" s="7" t="s">
        <v>1663</v>
      </c>
      <c r="D501" s="6">
        <v>-0.97944128513336204</v>
      </c>
      <c r="E501" s="6">
        <v>-0.523393034934998</v>
      </c>
      <c r="F501" s="6">
        <v>-0.46305665373802202</v>
      </c>
      <c r="G501" s="6">
        <v>-0.90494006872177102</v>
      </c>
      <c r="H501" s="6">
        <v>-1.0194716453552251</v>
      </c>
      <c r="I501" s="6">
        <v>-0.138606578111649</v>
      </c>
      <c r="J501" s="6">
        <v>1.413276672363281</v>
      </c>
      <c r="K501" s="6">
        <v>-0.80919182300567605</v>
      </c>
      <c r="L501" s="6">
        <v>0.220463737845421</v>
      </c>
      <c r="M501" s="6">
        <v>-0.53842467069625899</v>
      </c>
      <c r="N501" s="6">
        <v>1.0013108816326881</v>
      </c>
      <c r="O501" s="6"/>
      <c r="P501" s="6">
        <v>1.103945723032524</v>
      </c>
      <c r="Q501" s="6"/>
      <c r="R501" s="6">
        <v>4.544358448518846</v>
      </c>
      <c r="S501" s="6"/>
      <c r="T501" s="6">
        <v>25.793806076049805</v>
      </c>
      <c r="U501" s="6" t="str">
        <f>_xll.BDP($A501,"TRAILING_12M_R&amp;D_%_SALES",$A$1,$A$2)</f>
        <v>#N/A N/A</v>
      </c>
      <c r="V501" s="6">
        <v>40</v>
      </c>
      <c r="W501" s="6">
        <v>401010</v>
      </c>
      <c r="X501" s="6">
        <v>40101010</v>
      </c>
      <c r="Y501" s="7" t="s">
        <v>43</v>
      </c>
      <c r="Z501" s="7" t="s">
        <v>67</v>
      </c>
      <c r="AA501" s="7" t="s">
        <v>68</v>
      </c>
      <c r="AB501" s="6">
        <v>56.463130950927734</v>
      </c>
      <c r="AC501" s="6"/>
      <c r="AD501" s="6"/>
      <c r="AE501" s="6">
        <v>35976</v>
      </c>
      <c r="AF501" s="6">
        <v>41514</v>
      </c>
    </row>
    <row r="502" spans="1:32" s="4" customFormat="1" ht="12.75" x14ac:dyDescent="0.2">
      <c r="A502" s="7" t="s">
        <v>1664</v>
      </c>
      <c r="B502" s="7" t="s">
        <v>1665</v>
      </c>
      <c r="C502" s="7" t="s">
        <v>1666</v>
      </c>
      <c r="D502" s="6">
        <v>-0.34833347797393804</v>
      </c>
      <c r="E502" s="6">
        <v>-3.7208229303360006E-2</v>
      </c>
      <c r="F502" s="6">
        <v>-1.533462762832642</v>
      </c>
      <c r="G502" s="6">
        <v>1.949071884155273</v>
      </c>
      <c r="H502" s="6">
        <v>0.36933049559593201</v>
      </c>
      <c r="I502" s="6">
        <v>-0.63384360074996904</v>
      </c>
      <c r="J502" s="6">
        <v>1.348543763160706</v>
      </c>
      <c r="K502" s="6">
        <v>-0.18152569234371202</v>
      </c>
      <c r="L502" s="6">
        <v>-0.17908789217472101</v>
      </c>
      <c r="M502" s="6">
        <v>0.65637701749801602</v>
      </c>
      <c r="N502" s="6">
        <v>1.8245773731759631</v>
      </c>
      <c r="O502" s="6">
        <v>1.6894678867194002</v>
      </c>
      <c r="P502" s="6">
        <v>2.7858578268354801</v>
      </c>
      <c r="Q502" s="6">
        <v>2.1452720253634281</v>
      </c>
      <c r="R502" s="6">
        <v>13.175230427356084</v>
      </c>
      <c r="S502" s="6">
        <v>11.523112030270164</v>
      </c>
      <c r="T502" s="6">
        <v>23.674873352050781</v>
      </c>
      <c r="U502" s="6">
        <f>_xll.BDP($A502,"TRAILING_12M_R&amp;D_%_SALES",$A$1,$A$2)</f>
        <v>0</v>
      </c>
      <c r="V502" s="6">
        <v>10</v>
      </c>
      <c r="W502" s="6">
        <v>101020</v>
      </c>
      <c r="X502" s="6">
        <v>10102010</v>
      </c>
      <c r="Y502" s="7" t="s">
        <v>387</v>
      </c>
      <c r="Z502" s="7" t="s">
        <v>516</v>
      </c>
      <c r="AA502" s="7" t="s">
        <v>693</v>
      </c>
      <c r="AB502" s="6">
        <v>70.98883056640625</v>
      </c>
      <c r="AC502" s="6">
        <v>0.79836060419161503</v>
      </c>
      <c r="AD502" s="6">
        <v>-2.9741477100149849</v>
      </c>
      <c r="AE502" s="6">
        <v>11973</v>
      </c>
      <c r="AF502" s="6">
        <v>11000</v>
      </c>
    </row>
    <row r="503" spans="1:32" s="4" customFormat="1" ht="12.75" x14ac:dyDescent="0.2">
      <c r="A503" s="7" t="s">
        <v>1667</v>
      </c>
      <c r="B503" s="7" t="s">
        <v>1668</v>
      </c>
      <c r="C503" s="7" t="s">
        <v>1669</v>
      </c>
      <c r="D503" s="6">
        <v>0.40304696559906006</v>
      </c>
      <c r="E503" s="6">
        <v>0.30070275068283103</v>
      </c>
      <c r="F503" s="6">
        <v>1.788565039634705</v>
      </c>
      <c r="G503" s="6">
        <v>1.0375452041625981</v>
      </c>
      <c r="H503" s="6">
        <v>0.24292659759521501</v>
      </c>
      <c r="I503" s="6">
        <v>0.76285034418106101</v>
      </c>
      <c r="J503" s="6">
        <v>3.0000147819519039</v>
      </c>
      <c r="K503" s="6">
        <v>-0.78449052572250411</v>
      </c>
      <c r="L503" s="6">
        <v>0.44017460942268405</v>
      </c>
      <c r="M503" s="6">
        <v>0.30577987432479903</v>
      </c>
      <c r="N503" s="6">
        <v>0.90559279380551705</v>
      </c>
      <c r="O503" s="6">
        <v>0.99188625001785102</v>
      </c>
      <c r="P503" s="6">
        <v>1.2556662264484031</v>
      </c>
      <c r="Q503" s="6">
        <v>0.685791353208829</v>
      </c>
      <c r="R503" s="6">
        <v>3.5477168784711672</v>
      </c>
      <c r="S503" s="6">
        <v>4.8593460918878568</v>
      </c>
      <c r="T503" s="6">
        <v>36.098377227783203</v>
      </c>
      <c r="U503" s="6">
        <f>_xll.BDP($A503,"TRAILING_12M_R&amp;D_%_SALES",$A$1,$A$2)</f>
        <v>0.87219785302009456</v>
      </c>
      <c r="V503" s="6">
        <v>10</v>
      </c>
      <c r="W503" s="6">
        <v>101020</v>
      </c>
      <c r="X503" s="6">
        <v>10102010</v>
      </c>
      <c r="Y503" s="7" t="s">
        <v>387</v>
      </c>
      <c r="Z503" s="7" t="s">
        <v>516</v>
      </c>
      <c r="AA503" s="7" t="s">
        <v>693</v>
      </c>
      <c r="AB503" s="6">
        <v>64.6112060546875</v>
      </c>
      <c r="AC503" s="6">
        <v>0.70929347893122008</v>
      </c>
      <c r="AD503" s="6">
        <v>88.594656768214094</v>
      </c>
      <c r="AE503" s="6">
        <v>45149</v>
      </c>
      <c r="AF503" s="6">
        <v>62703</v>
      </c>
    </row>
    <row r="504" spans="1:32" s="4" customFormat="1" ht="12.75" x14ac:dyDescent="0.2">
      <c r="A504" s="7" t="s">
        <v>1670</v>
      </c>
      <c r="B504" s="7" t="s">
        <v>1671</v>
      </c>
      <c r="C504" s="7" t="s">
        <v>1672</v>
      </c>
      <c r="D504" s="6">
        <v>0.40304696559906006</v>
      </c>
      <c r="E504" s="6">
        <v>0.30070275068283103</v>
      </c>
      <c r="F504" s="6">
        <v>1.788565039634705</v>
      </c>
      <c r="G504" s="6">
        <v>1.0375452041625981</v>
      </c>
      <c r="H504" s="6">
        <v>0.24292659759521501</v>
      </c>
      <c r="I504" s="6">
        <v>0.76285034418106101</v>
      </c>
      <c r="J504" s="6">
        <v>3.0000147819519039</v>
      </c>
      <c r="K504" s="6">
        <v>-0.78449052572250411</v>
      </c>
      <c r="L504" s="6">
        <v>0.44017460942268405</v>
      </c>
      <c r="M504" s="6">
        <v>0.30577987432479903</v>
      </c>
      <c r="N504" s="6">
        <v>0.90559279380551705</v>
      </c>
      <c r="O504" s="6">
        <v>0.99188625001785102</v>
      </c>
      <c r="P504" s="6">
        <v>1.2556662264484031</v>
      </c>
      <c r="Q504" s="6">
        <v>0.65616108041949006</v>
      </c>
      <c r="R504" s="6">
        <v>3.5477168784711672</v>
      </c>
      <c r="S504" s="6">
        <v>4.6493933860003542</v>
      </c>
      <c r="T504" s="6">
        <v>36.098377227783203</v>
      </c>
      <c r="U504" s="6">
        <f>_xll.BDP($A504,"TRAILING_12M_R&amp;D_%_SALES",$A$1,$A$2)</f>
        <v>0.87219785302009456</v>
      </c>
      <c r="V504" s="6">
        <v>10</v>
      </c>
      <c r="W504" s="6">
        <v>101020</v>
      </c>
      <c r="X504" s="6">
        <v>10102010</v>
      </c>
      <c r="Y504" s="7" t="s">
        <v>387</v>
      </c>
      <c r="Z504" s="7" t="s">
        <v>516</v>
      </c>
      <c r="AA504" s="7" t="s">
        <v>693</v>
      </c>
      <c r="AB504" s="6">
        <v>64.6112060546875</v>
      </c>
      <c r="AC504" s="6">
        <v>0.71883664209565301</v>
      </c>
      <c r="AD504" s="6">
        <v>111.48204020210208</v>
      </c>
      <c r="AE504" s="6">
        <v>45149</v>
      </c>
      <c r="AF504" s="6">
        <v>62703</v>
      </c>
    </row>
    <row r="505" spans="1:32" s="4" customFormat="1" ht="12.75" x14ac:dyDescent="0.2">
      <c r="A505" s="7" t="s">
        <v>1673</v>
      </c>
      <c r="B505" s="7" t="s">
        <v>1674</v>
      </c>
      <c r="C505" s="7" t="s">
        <v>1675</v>
      </c>
      <c r="D505" s="6">
        <v>-0.57922977209091209</v>
      </c>
      <c r="E505" s="6">
        <v>-0.108827687799931</v>
      </c>
      <c r="F505" s="6">
        <v>2.3035978898406001E-2</v>
      </c>
      <c r="G505" s="6">
        <v>-0.322154521942139</v>
      </c>
      <c r="H505" s="6">
        <v>-0.22638697922229803</v>
      </c>
      <c r="I505" s="6">
        <v>0.83782368898391701</v>
      </c>
      <c r="J505" s="6">
        <v>0.44120424985885603</v>
      </c>
      <c r="K505" s="6">
        <v>-1.017122149467468</v>
      </c>
      <c r="L505" s="6">
        <v>-0.15782071650028201</v>
      </c>
      <c r="M505" s="6">
        <v>-0.35867324471473705</v>
      </c>
      <c r="N505" s="6">
        <v>1.4958418487014591</v>
      </c>
      <c r="O505" s="6">
        <v>1.6329136615519431</v>
      </c>
      <c r="P505" s="6">
        <v>3.1876983332874662</v>
      </c>
      <c r="Q505" s="6">
        <v>2.8526692607558921</v>
      </c>
      <c r="R505" s="6">
        <v>12.471264747499928</v>
      </c>
      <c r="S505" s="6">
        <v>13.057728096857815</v>
      </c>
      <c r="T505" s="6">
        <v>28.390613555908203</v>
      </c>
      <c r="U505" s="6">
        <f>_xll.BDP($A505,"TRAILING_12M_R&amp;D_%_SALES",$A$1,$A$2)</f>
        <v>1.345362080335553</v>
      </c>
      <c r="V505" s="6">
        <v>20</v>
      </c>
      <c r="W505" s="6">
        <v>201060</v>
      </c>
      <c r="X505" s="6">
        <v>20106010</v>
      </c>
      <c r="Y505" s="7" t="s">
        <v>38</v>
      </c>
      <c r="Z505" s="7" t="s">
        <v>493</v>
      </c>
      <c r="AA505" s="7" t="s">
        <v>494</v>
      </c>
      <c r="AB505" s="6">
        <v>51.674880981445313</v>
      </c>
      <c r="AC505" s="6">
        <v>0.94380086577936406</v>
      </c>
      <c r="AD505" s="6">
        <v>55.559439388675493</v>
      </c>
      <c r="AE505" s="6">
        <v>31100</v>
      </c>
      <c r="AF505" s="6">
        <v>25000</v>
      </c>
    </row>
    <row r="506" spans="1:32" s="4" customFormat="1" ht="12.75" x14ac:dyDescent="0.2">
      <c r="A506" s="7" t="s">
        <v>1676</v>
      </c>
      <c r="B506" s="7" t="s">
        <v>1677</v>
      </c>
      <c r="C506" s="7" t="s">
        <v>1678</v>
      </c>
      <c r="D506" s="6">
        <v>-0.45216420292854304</v>
      </c>
      <c r="E506" s="6">
        <v>-0.92584937810897805</v>
      </c>
      <c r="F506" s="6">
        <v>-1.6338610649108891</v>
      </c>
      <c r="G506" s="6">
        <v>0.27928313612937899</v>
      </c>
      <c r="H506" s="6">
        <v>1.61348021030426</v>
      </c>
      <c r="I506" s="6">
        <v>0.32291325926780701</v>
      </c>
      <c r="J506" s="6">
        <v>0.59198123216629006</v>
      </c>
      <c r="K506" s="6">
        <v>-0.45582890510559104</v>
      </c>
      <c r="L506" s="6">
        <v>-0.72281217575073209</v>
      </c>
      <c r="M506" s="6">
        <v>0.26731660962104803</v>
      </c>
      <c r="N506" s="6">
        <v>1.605462631358449</v>
      </c>
      <c r="O506" s="6">
        <v>1.5566687463368192</v>
      </c>
      <c r="P506" s="6">
        <v>1.485155146173573</v>
      </c>
      <c r="Q506" s="6">
        <v>1.3812599740622331</v>
      </c>
      <c r="R506" s="6">
        <v>14.773264124207405</v>
      </c>
      <c r="S506" s="6">
        <v>13.355555828314255</v>
      </c>
      <c r="T506" s="6">
        <v>7.9195961952209473</v>
      </c>
      <c r="U506" s="6" t="str">
        <f>_xll.BDP($A506,"TRAILING_12M_R&amp;D_%_SALES",$A$1,$A$2)</f>
        <v>#N/A N/A</v>
      </c>
      <c r="V506" s="6">
        <v>55</v>
      </c>
      <c r="W506" s="6">
        <v>551010</v>
      </c>
      <c r="X506" s="6">
        <v>55101010</v>
      </c>
      <c r="Y506" s="7" t="s">
        <v>154</v>
      </c>
      <c r="Z506" s="7" t="s">
        <v>155</v>
      </c>
      <c r="AA506" s="7" t="s">
        <v>155</v>
      </c>
      <c r="AB506" s="6">
        <v>67.166282653808594</v>
      </c>
      <c r="AC506" s="6">
        <v>0.69493807697422005</v>
      </c>
      <c r="AD506" s="6">
        <v>10.403780462053369</v>
      </c>
      <c r="AE506" s="6">
        <v>10</v>
      </c>
      <c r="AF506" s="6">
        <v>23000</v>
      </c>
    </row>
    <row r="507" spans="1:32" s="4" customFormat="1" ht="12.75" x14ac:dyDescent="0.2">
      <c r="A507" s="7" t="s">
        <v>1679</v>
      </c>
      <c r="B507" s="7" t="s">
        <v>1680</v>
      </c>
      <c r="C507" s="7" t="s">
        <v>1681</v>
      </c>
      <c r="D507" s="6">
        <v>-0.48638910055160506</v>
      </c>
      <c r="E507" s="6">
        <v>-0.7700086832046511</v>
      </c>
      <c r="F507" s="6">
        <v>0.94078290462493908</v>
      </c>
      <c r="G507" s="6">
        <v>-0.73627221584320102</v>
      </c>
      <c r="H507" s="6">
        <v>-0.30834797024726901</v>
      </c>
      <c r="I507" s="6">
        <v>1.253037571907043</v>
      </c>
      <c r="J507" s="6">
        <v>1.404773950576782</v>
      </c>
      <c r="K507" s="6">
        <v>-1.2294454574584961</v>
      </c>
      <c r="L507" s="6">
        <v>0.21606533229351002</v>
      </c>
      <c r="M507" s="6">
        <v>-0.58910274505615201</v>
      </c>
      <c r="N507" s="6">
        <v>0.38645308593946504</v>
      </c>
      <c r="O507" s="6">
        <v>0.383101874541728</v>
      </c>
      <c r="P507" s="6">
        <v>0.75753075811955906</v>
      </c>
      <c r="Q507" s="6">
        <v>0.74019611179160805</v>
      </c>
      <c r="R507" s="6">
        <v>7.2996704935936174</v>
      </c>
      <c r="S507" s="6">
        <v>8.2524932101978141</v>
      </c>
      <c r="T507" s="6">
        <v>11.099626541137695</v>
      </c>
      <c r="U507" s="6">
        <f>_xll.BDP($A507,"TRAILING_12M_R&amp;D_%_SALES",$A$1,$A$2)</f>
        <v>5.848713449320007</v>
      </c>
      <c r="V507" s="6">
        <v>25</v>
      </c>
      <c r="W507" s="6">
        <v>252010</v>
      </c>
      <c r="X507" s="6">
        <v>25201010</v>
      </c>
      <c r="Y507" s="7" t="s">
        <v>85</v>
      </c>
      <c r="Z507" s="7" t="s">
        <v>743</v>
      </c>
      <c r="AA507" s="7" t="s">
        <v>1325</v>
      </c>
      <c r="AB507" s="6">
        <v>58.364349365234375</v>
      </c>
      <c r="AC507" s="6">
        <v>0.57120436330525304</v>
      </c>
      <c r="AD507" s="6">
        <v>16.481297068021416</v>
      </c>
      <c r="AE507" s="6">
        <v>233391</v>
      </c>
      <c r="AF507" s="6">
        <v>274143</v>
      </c>
    </row>
    <row r="508" spans="1:32" s="4" customFormat="1" ht="12.75" x14ac:dyDescent="0.2">
      <c r="A508" s="7" t="s">
        <v>1682</v>
      </c>
      <c r="B508" s="7" t="s">
        <v>1683</v>
      </c>
      <c r="C508" s="7" t="s">
        <v>1684</v>
      </c>
      <c r="D508" s="6">
        <v>-0.48638910055160506</v>
      </c>
      <c r="E508" s="6">
        <v>-0.7700086832046511</v>
      </c>
      <c r="F508" s="6">
        <v>0.94078290462493908</v>
      </c>
      <c r="G508" s="6">
        <v>-0.73627221584320102</v>
      </c>
      <c r="H508" s="6">
        <v>-0.30834797024726901</v>
      </c>
      <c r="I508" s="6">
        <v>1.253037571907043</v>
      </c>
      <c r="J508" s="6">
        <v>1.404773950576782</v>
      </c>
      <c r="K508" s="6">
        <v>-1.2294454574584961</v>
      </c>
      <c r="L508" s="6">
        <v>0.21606533229351002</v>
      </c>
      <c r="M508" s="6">
        <v>-0.58910274505615201</v>
      </c>
      <c r="N508" s="6">
        <v>0.38645308593946504</v>
      </c>
      <c r="O508" s="6">
        <v>0.39158487953115906</v>
      </c>
      <c r="P508" s="6">
        <v>0.75753075811955906</v>
      </c>
      <c r="Q508" s="6">
        <v>0.86200358579098701</v>
      </c>
      <c r="R508" s="6">
        <v>7.2996704935936174</v>
      </c>
      <c r="S508" s="6">
        <v>7.6440176702914631</v>
      </c>
      <c r="T508" s="6">
        <v>11.099626541137695</v>
      </c>
      <c r="U508" s="6">
        <f>_xll.BDP($A508,"TRAILING_12M_R&amp;D_%_SALES",$A$1,$A$2)</f>
        <v>5.848713449320007</v>
      </c>
      <c r="V508" s="6">
        <v>25</v>
      </c>
      <c r="W508" s="6">
        <v>252010</v>
      </c>
      <c r="X508" s="6">
        <v>25201010</v>
      </c>
      <c r="Y508" s="7" t="s">
        <v>85</v>
      </c>
      <c r="Z508" s="7" t="s">
        <v>743</v>
      </c>
      <c r="AA508" s="7" t="s">
        <v>1325</v>
      </c>
      <c r="AB508" s="6">
        <v>58.364349365234375</v>
      </c>
      <c r="AC508" s="6">
        <v>0.78317703714475906</v>
      </c>
      <c r="AD508" s="6">
        <v>19.336668703419125</v>
      </c>
      <c r="AE508" s="6">
        <v>233391</v>
      </c>
      <c r="AF508" s="6">
        <v>274143</v>
      </c>
    </row>
    <row r="509" spans="1:32" s="4" customFormat="1" ht="12.75" x14ac:dyDescent="0.2">
      <c r="A509" s="7" t="s">
        <v>1685</v>
      </c>
      <c r="B509" s="7" t="s">
        <v>1686</v>
      </c>
      <c r="C509" s="7" t="s">
        <v>1687</v>
      </c>
      <c r="D509" s="6">
        <v>-0.37546157836914101</v>
      </c>
      <c r="E509" s="6">
        <v>2.4365726858380002E-3</v>
      </c>
      <c r="F509" s="6">
        <v>2.3393914699554439</v>
      </c>
      <c r="G509" s="6">
        <v>0.26206800341606101</v>
      </c>
      <c r="H509" s="6">
        <v>-1.3288818597793579</v>
      </c>
      <c r="I509" s="6">
        <v>0.89482522010803212</v>
      </c>
      <c r="J509" s="6">
        <v>-0.19647498428821603</v>
      </c>
      <c r="K509" s="6">
        <v>2.7677934169769292</v>
      </c>
      <c r="L509" s="6">
        <v>-0.72281217575073209</v>
      </c>
      <c r="M509" s="6">
        <v>1.43936550617218</v>
      </c>
      <c r="N509" s="6">
        <v>6.9919068012304519</v>
      </c>
      <c r="O509" s="6">
        <v>4.2274585458825271</v>
      </c>
      <c r="P509" s="6">
        <v>8.1065549637290477</v>
      </c>
      <c r="Q509" s="6">
        <v>7.8223817708356673</v>
      </c>
      <c r="R509" s="6">
        <v>32.169592222267106</v>
      </c>
      <c r="S509" s="6">
        <v>20.027999927936062</v>
      </c>
      <c r="T509" s="6">
        <v>34.326438903808594</v>
      </c>
      <c r="U509" s="6">
        <f>_xll.BDP($A509,"TRAILING_12M_R&amp;D_%_SALES",$A$1,$A$2)</f>
        <v>3.1567834380080115</v>
      </c>
      <c r="V509" s="6">
        <v>25</v>
      </c>
      <c r="W509" s="6">
        <v>255030</v>
      </c>
      <c r="X509" s="6">
        <v>25503030</v>
      </c>
      <c r="Y509" s="7" t="s">
        <v>85</v>
      </c>
      <c r="Z509" s="7" t="s">
        <v>227</v>
      </c>
      <c r="AA509" s="7" t="s">
        <v>227</v>
      </c>
      <c r="AB509" s="6">
        <v>19.897394180297852</v>
      </c>
      <c r="AC509" s="6">
        <v>1.383446697200267</v>
      </c>
      <c r="AD509" s="6">
        <v>77.539122748352</v>
      </c>
      <c r="AE509" s="6">
        <v>12992</v>
      </c>
      <c r="AF509" s="6">
        <v>1159</v>
      </c>
    </row>
    <row r="510" spans="1:32" s="4" customFormat="1" ht="12.75" x14ac:dyDescent="0.2">
      <c r="A510" s="7" t="s">
        <v>1688</v>
      </c>
      <c r="B510" s="7" t="s">
        <v>1689</v>
      </c>
      <c r="C510" s="7" t="s">
        <v>1690</v>
      </c>
      <c r="D510" s="6">
        <v>-0.89089918136596702</v>
      </c>
      <c r="E510" s="6">
        <v>-0.48131665587425204</v>
      </c>
      <c r="F510" s="6">
        <v>-0.22764879465103102</v>
      </c>
      <c r="G510" s="6">
        <v>-0.34463137388229403</v>
      </c>
      <c r="H510" s="6">
        <v>0.87655866146087602</v>
      </c>
      <c r="I510" s="6">
        <v>-0.78752011060714711</v>
      </c>
      <c r="J510" s="6">
        <v>0.56677126884460405</v>
      </c>
      <c r="K510" s="6">
        <v>-1.259329676628113</v>
      </c>
      <c r="L510" s="6">
        <v>1.119249105453491</v>
      </c>
      <c r="M510" s="6">
        <v>-0.689863681793213</v>
      </c>
      <c r="N510" s="6">
        <v>2.5829827678483452</v>
      </c>
      <c r="O510" s="6">
        <v>2.9647810009325459</v>
      </c>
      <c r="P510" s="6">
        <v>2.007958628559547</v>
      </c>
      <c r="Q510" s="6">
        <v>1.9873253368915682</v>
      </c>
      <c r="R510" s="6">
        <v>17.025871546198204</v>
      </c>
      <c r="S510" s="6">
        <v>16.546569951245747</v>
      </c>
      <c r="T510" s="6">
        <v>19.741704940795898</v>
      </c>
      <c r="U510" s="6" t="str">
        <f>_xll.BDP($A510,"TRAILING_12M_R&amp;D_%_SALES",$A$1,$A$2)</f>
        <v>#N/A N/A</v>
      </c>
      <c r="V510" s="6">
        <v>55</v>
      </c>
      <c r="W510" s="6">
        <v>551030</v>
      </c>
      <c r="X510" s="6">
        <v>55103010</v>
      </c>
      <c r="Y510" s="7" t="s">
        <v>154</v>
      </c>
      <c r="Z510" s="7" t="s">
        <v>703</v>
      </c>
      <c r="AA510" s="7" t="s">
        <v>703</v>
      </c>
      <c r="AB510" s="6">
        <v>61.865005493164063</v>
      </c>
      <c r="AC510" s="6">
        <v>0.75609735929342803</v>
      </c>
      <c r="AD510" s="6">
        <v>2.6764492399943269</v>
      </c>
      <c r="AE510" s="6">
        <v>7641</v>
      </c>
      <c r="AF510" s="6">
        <v>12945</v>
      </c>
    </row>
    <row r="511" spans="1:32" s="4" customFormat="1" ht="12.75" x14ac:dyDescent="0.2">
      <c r="A511" s="7" t="s">
        <v>1691</v>
      </c>
      <c r="B511" s="7" t="s">
        <v>1692</v>
      </c>
      <c r="C511" s="7" t="s">
        <v>1693</v>
      </c>
      <c r="D511" s="6">
        <v>0.46877151727676403</v>
      </c>
      <c r="E511" s="6">
        <v>1.8786971922960002E-3</v>
      </c>
      <c r="F511" s="6">
        <v>-0.64484387636184703</v>
      </c>
      <c r="G511" s="6">
        <v>-0.675484478473663</v>
      </c>
      <c r="H511" s="6">
        <v>0.52941691875457808</v>
      </c>
      <c r="I511" s="6">
        <v>-0.359792441129684</v>
      </c>
      <c r="J511" s="6">
        <v>-0.23492854833602902</v>
      </c>
      <c r="K511" s="6">
        <v>-0.64405637979507402</v>
      </c>
      <c r="L511" s="6">
        <v>0.63544505834579501</v>
      </c>
      <c r="M511" s="6">
        <v>-0.59407627582550004</v>
      </c>
      <c r="N511" s="6">
        <v>2.5575408014957892</v>
      </c>
      <c r="O511" s="6">
        <v>2.4235781461632842</v>
      </c>
      <c r="P511" s="6">
        <v>12.417845340669077</v>
      </c>
      <c r="Q511" s="6">
        <v>10.429677535878378</v>
      </c>
      <c r="R511" s="6">
        <v>22.607307099355459</v>
      </c>
      <c r="S511" s="6">
        <v>20.836067930978608</v>
      </c>
      <c r="T511" s="6">
        <v>43.882167816162109</v>
      </c>
      <c r="U511" s="6" t="str">
        <f>_xll.BDP($A511,"TRAILING_12M_R&amp;D_%_SALES",$A$1,$A$2)</f>
        <v>#N/A N/A</v>
      </c>
      <c r="V511" s="6">
        <v>30</v>
      </c>
      <c r="W511" s="6">
        <v>302010</v>
      </c>
      <c r="X511" s="6">
        <v>30201030</v>
      </c>
      <c r="Y511" s="7" t="s">
        <v>106</v>
      </c>
      <c r="Z511" s="7" t="s">
        <v>505</v>
      </c>
      <c r="AA511" s="7" t="s">
        <v>506</v>
      </c>
      <c r="AB511" s="6">
        <v>59.521175384521484</v>
      </c>
      <c r="AC511" s="6">
        <v>0.5806262741064161</v>
      </c>
      <c r="AD511" s="6">
        <v>-4.0107508734480994</v>
      </c>
      <c r="AE511" s="6">
        <v>315000</v>
      </c>
      <c r="AF511" s="6">
        <v>263000</v>
      </c>
    </row>
    <row r="512" spans="1:32" s="4" customFormat="1" ht="12.75" x14ac:dyDescent="0.2">
      <c r="A512" s="7" t="s">
        <v>1694</v>
      </c>
      <c r="B512" s="7" t="s">
        <v>1695</v>
      </c>
      <c r="C512" s="7" t="s">
        <v>1696</v>
      </c>
      <c r="D512" s="6">
        <v>-0.178632497787476</v>
      </c>
      <c r="E512" s="6">
        <v>-0.63492769002914407</v>
      </c>
      <c r="F512" s="6">
        <v>4.0768980979919003E-2</v>
      </c>
      <c r="G512" s="6">
        <v>-0.92739850282669112</v>
      </c>
      <c r="H512" s="6">
        <v>0.63296908140182506</v>
      </c>
      <c r="I512" s="6">
        <v>-0.91611176729202304</v>
      </c>
      <c r="J512" s="6">
        <v>2.3463823795318599</v>
      </c>
      <c r="K512" s="6">
        <v>-0.82568252086639404</v>
      </c>
      <c r="L512" s="6">
        <v>2.4184832572937012</v>
      </c>
      <c r="M512" s="6">
        <v>-0.77505195140838601</v>
      </c>
      <c r="N512" s="6">
        <v>0.325758741008493</v>
      </c>
      <c r="O512" s="6">
        <v>0.31084791719874705</v>
      </c>
      <c r="P512" s="6">
        <v>0.90866700369666409</v>
      </c>
      <c r="Q512" s="6">
        <v>0.85692420554013704</v>
      </c>
      <c r="R512" s="6">
        <v>10.528005092883459</v>
      </c>
      <c r="S512" s="6">
        <v>9.5419928776365293</v>
      </c>
      <c r="T512" s="6">
        <v>8.8346662521362305</v>
      </c>
      <c r="U512" s="6">
        <f>_xll.BDP($A512,"TRAILING_12M_R&amp;D_%_SALES",$A$1,$A$2)</f>
        <v>0</v>
      </c>
      <c r="V512" s="6">
        <v>10</v>
      </c>
      <c r="W512" s="6">
        <v>101020</v>
      </c>
      <c r="X512" s="6">
        <v>10102010</v>
      </c>
      <c r="Y512" s="7" t="s">
        <v>387</v>
      </c>
      <c r="Z512" s="7" t="s">
        <v>516</v>
      </c>
      <c r="AA512" s="7" t="s">
        <v>693</v>
      </c>
      <c r="AB512" s="6">
        <v>73.936225891113281</v>
      </c>
      <c r="AC512" s="6">
        <v>0.32751373200985301</v>
      </c>
      <c r="AD512" s="6"/>
      <c r="AE512" s="6"/>
      <c r="AF512" s="6"/>
    </row>
    <row r="513" spans="1:32" s="4" customFormat="1" ht="12.75" x14ac:dyDescent="0.2">
      <c r="A513" s="7" t="s">
        <v>1697</v>
      </c>
      <c r="B513" s="7" t="s">
        <v>1698</v>
      </c>
      <c r="C513" s="7" t="s">
        <v>1699</v>
      </c>
      <c r="D513" s="6">
        <v>0.59745597839355502</v>
      </c>
      <c r="E513" s="6">
        <v>-6.7364171147346011E-2</v>
      </c>
      <c r="F513" s="6">
        <v>0.67074251174926802</v>
      </c>
      <c r="G513" s="6">
        <v>-0.48294702172279402</v>
      </c>
      <c r="H513" s="6">
        <v>0.11989197134971601</v>
      </c>
      <c r="I513" s="6">
        <v>-1.4593255519866941</v>
      </c>
      <c r="J513" s="6">
        <v>0.68761718273162808</v>
      </c>
      <c r="K513" s="6">
        <v>-0.52555930614471402</v>
      </c>
      <c r="L513" s="6">
        <v>1.509505987167358</v>
      </c>
      <c r="M513" s="6">
        <v>-6.8879157304764002E-2</v>
      </c>
      <c r="N513" s="6">
        <v>2.365680140002858</v>
      </c>
      <c r="O513" s="6">
        <v>2.6951340298737541</v>
      </c>
      <c r="P513" s="6">
        <v>1.6768970789660469</v>
      </c>
      <c r="Q513" s="6">
        <v>1.89563792036394</v>
      </c>
      <c r="R513" s="6">
        <v>12.506081663188297</v>
      </c>
      <c r="S513" s="6">
        <v>12.480385104486547</v>
      </c>
      <c r="T513" s="6">
        <v>11.060000419616699</v>
      </c>
      <c r="U513" s="6">
        <f>_xll.BDP($A513,"TRAILING_12M_R&amp;D_%_SALES",$A$1,$A$2)</f>
        <v>17.00850267968001</v>
      </c>
      <c r="V513" s="6">
        <v>35</v>
      </c>
      <c r="W513" s="6">
        <v>352020</v>
      </c>
      <c r="X513" s="6">
        <v>35202010</v>
      </c>
      <c r="Y513" s="7" t="s">
        <v>72</v>
      </c>
      <c r="Z513" s="7" t="s">
        <v>325</v>
      </c>
      <c r="AA513" s="7" t="s">
        <v>325</v>
      </c>
      <c r="AB513" s="6">
        <v>66.210639953613281</v>
      </c>
      <c r="AC513" s="6">
        <v>0.64058107359819405</v>
      </c>
      <c r="AD513" s="6">
        <v>-41.32706524776988</v>
      </c>
      <c r="AE513" s="6">
        <v>83000</v>
      </c>
      <c r="AF513" s="6">
        <v>90200</v>
      </c>
    </row>
    <row r="514" spans="1:32" s="4" customFormat="1" ht="12.75" x14ac:dyDescent="0.2">
      <c r="A514" s="7" t="s">
        <v>1700</v>
      </c>
      <c r="B514" s="7" t="s">
        <v>1701</v>
      </c>
      <c r="C514" s="7" t="s">
        <v>1702</v>
      </c>
      <c r="D514" s="6">
        <v>-0.52049851417541504</v>
      </c>
      <c r="E514" s="6">
        <v>-0.92129182815551802</v>
      </c>
      <c r="F514" s="6">
        <v>-0.19559274613857303</v>
      </c>
      <c r="G514" s="6">
        <v>-0.18662345409393302</v>
      </c>
      <c r="H514" s="6">
        <v>-0.590387582778931</v>
      </c>
      <c r="I514" s="6">
        <v>-0.42038640379905701</v>
      </c>
      <c r="J514" s="6">
        <v>0.73391687870025601</v>
      </c>
      <c r="K514" s="6">
        <v>-0.89136630296707209</v>
      </c>
      <c r="L514" s="6">
        <v>1.001415610313416</v>
      </c>
      <c r="M514" s="6">
        <v>-1.043885231018066</v>
      </c>
      <c r="N514" s="6">
        <v>1.3547149487721111</v>
      </c>
      <c r="O514" s="6">
        <v>1.279574944173175</v>
      </c>
      <c r="P514" s="6">
        <v>1.7667343963448929</v>
      </c>
      <c r="Q514" s="6">
        <v>1.6895570076552011</v>
      </c>
      <c r="R514" s="6">
        <v>19.517875090490232</v>
      </c>
      <c r="S514" s="6">
        <v>10.63586716839627</v>
      </c>
      <c r="T514" s="6">
        <v>14.767022132873535</v>
      </c>
      <c r="U514" s="6" t="str">
        <f>_xll.BDP($A514,"TRAILING_12M_R&amp;D_%_SALES",$A$1,$A$2)</f>
        <v>#N/A N/A</v>
      </c>
      <c r="V514" s="6">
        <v>40</v>
      </c>
      <c r="W514" s="6">
        <v>403010</v>
      </c>
      <c r="X514" s="6">
        <v>40301020</v>
      </c>
      <c r="Y514" s="7" t="s">
        <v>43</v>
      </c>
      <c r="Z514" s="7" t="s">
        <v>44</v>
      </c>
      <c r="AA514" s="7" t="s">
        <v>45</v>
      </c>
      <c r="AB514" s="6">
        <v>54.521678924560547</v>
      </c>
      <c r="AC514" s="6">
        <v>1.1342322668793221</v>
      </c>
      <c r="AD514" s="6">
        <v>-4.6320724998811569</v>
      </c>
      <c r="AE514" s="6">
        <v>19300</v>
      </c>
      <c r="AF514" s="6">
        <v>14895</v>
      </c>
    </row>
    <row r="515" spans="1:32" s="4" customFormat="1" ht="12.75" x14ac:dyDescent="0.2">
      <c r="A515" s="7" t="s">
        <v>1703</v>
      </c>
      <c r="B515" s="7" t="s">
        <v>1704</v>
      </c>
      <c r="C515" s="7" t="s">
        <v>1705</v>
      </c>
      <c r="D515" s="6">
        <v>0.6442652344703671</v>
      </c>
      <c r="E515" s="6">
        <v>1.122245669364929</v>
      </c>
      <c r="F515" s="6">
        <v>0.30736032128334001</v>
      </c>
      <c r="G515" s="6">
        <v>-0.81759023666381803</v>
      </c>
      <c r="H515" s="6">
        <v>-0.29322412610054005</v>
      </c>
      <c r="I515" s="6">
        <v>-0.202638030052185</v>
      </c>
      <c r="J515" s="6">
        <v>-0.18968357145786302</v>
      </c>
      <c r="K515" s="6">
        <v>-0.67657423019409202</v>
      </c>
      <c r="L515" s="6">
        <v>0.44597220420837402</v>
      </c>
      <c r="M515" s="6">
        <v>-0.61800944805145308</v>
      </c>
      <c r="N515" s="6">
        <v>4.1800270216701652</v>
      </c>
      <c r="O515" s="6">
        <v>3.988696902791518</v>
      </c>
      <c r="P515" s="6">
        <v>7.3671221010038401</v>
      </c>
      <c r="Q515" s="6">
        <v>6.8170922956389894</v>
      </c>
      <c r="R515" s="6">
        <v>23.840790465984444</v>
      </c>
      <c r="S515" s="6">
        <v>21.996777020944069</v>
      </c>
      <c r="T515" s="6">
        <v>33.345909118652344</v>
      </c>
      <c r="U515" s="6" t="str">
        <f>_xll.BDP($A515,"TRAILING_12M_R&amp;D_%_SALES",$A$1,$A$2)</f>
        <v>#N/A N/A</v>
      </c>
      <c r="V515" s="6">
        <v>30</v>
      </c>
      <c r="W515" s="6">
        <v>303010</v>
      </c>
      <c r="X515" s="6">
        <v>30301010</v>
      </c>
      <c r="Y515" s="7" t="s">
        <v>106</v>
      </c>
      <c r="Z515" s="7" t="s">
        <v>569</v>
      </c>
      <c r="AA515" s="7" t="s">
        <v>569</v>
      </c>
      <c r="AB515" s="6">
        <v>49.160045623779297</v>
      </c>
      <c r="AC515" s="6">
        <v>0.59587264016091501</v>
      </c>
      <c r="AD515" s="6">
        <v>-1.5177027550015709</v>
      </c>
      <c r="AE515" s="6">
        <v>107000</v>
      </c>
      <c r="AF515" s="6">
        <v>92000</v>
      </c>
    </row>
    <row r="516" spans="1:32" s="4" customFormat="1" ht="12.75" x14ac:dyDescent="0.2">
      <c r="A516" s="7" t="s">
        <v>1706</v>
      </c>
      <c r="B516" s="7" t="s">
        <v>1707</v>
      </c>
      <c r="C516" s="7" t="s">
        <v>1708</v>
      </c>
      <c r="D516" s="6">
        <v>-2.5789234787226001E-2</v>
      </c>
      <c r="E516" s="6">
        <v>-0.92977893352508512</v>
      </c>
      <c r="F516" s="6">
        <v>-0.44790118932724005</v>
      </c>
      <c r="G516" s="6">
        <v>-0.47276157140731806</v>
      </c>
      <c r="H516" s="6">
        <v>-0.66379004716873202</v>
      </c>
      <c r="I516" s="6">
        <v>-0.18632520735263802</v>
      </c>
      <c r="J516" s="6">
        <v>-3.7717565894127003E-2</v>
      </c>
      <c r="K516" s="6">
        <v>1.5521296299990002E-3</v>
      </c>
      <c r="L516" s="6">
        <v>-0.59523600339889504</v>
      </c>
      <c r="M516" s="6">
        <v>-0.53913110494613603</v>
      </c>
      <c r="N516" s="6">
        <v>1.5878246798281319</v>
      </c>
      <c r="O516" s="6">
        <v>1.331971967744835</v>
      </c>
      <c r="P516" s="6">
        <v>5.5130818904848855</v>
      </c>
      <c r="Q516" s="6">
        <v>4.2633831953194399</v>
      </c>
      <c r="R516" s="6">
        <v>34.15466328222643</v>
      </c>
      <c r="S516" s="6">
        <v>19.931974991644648</v>
      </c>
      <c r="T516" s="6">
        <v>17.36163330078125</v>
      </c>
      <c r="U516" s="6" t="str">
        <f>_xll.BDP($A516,"TRAILING_12M_R&amp;D_%_SALES",$A$1,$A$2)</f>
        <v>#N/A N/A</v>
      </c>
      <c r="V516" s="6">
        <v>40</v>
      </c>
      <c r="W516" s="6">
        <v>403010</v>
      </c>
      <c r="X516" s="6">
        <v>40301040</v>
      </c>
      <c r="Y516" s="7" t="s">
        <v>43</v>
      </c>
      <c r="Z516" s="7" t="s">
        <v>44</v>
      </c>
      <c r="AA516" s="7" t="s">
        <v>102</v>
      </c>
      <c r="AB516" s="6">
        <v>47.570667266845703</v>
      </c>
      <c r="AC516" s="6">
        <v>0.55131477931900108</v>
      </c>
      <c r="AD516" s="6">
        <v>22.352479775384548</v>
      </c>
      <c r="AE516" s="6">
        <v>55100</v>
      </c>
      <c r="AF516" s="6">
        <v>33656</v>
      </c>
    </row>
    <row r="517" spans="1:32" s="4" customFormat="1" ht="12.75" x14ac:dyDescent="0.2">
      <c r="A517" s="7" t="s">
        <v>1709</v>
      </c>
      <c r="B517" s="7" t="s">
        <v>1710</v>
      </c>
      <c r="C517" s="7" t="s">
        <v>1711</v>
      </c>
      <c r="D517" s="6">
        <v>-0.72826498746871904</v>
      </c>
      <c r="E517" s="6">
        <v>0.20552451908588401</v>
      </c>
      <c r="F517" s="6">
        <v>0.10470232367515601</v>
      </c>
      <c r="G517" s="6">
        <v>-0.131708204746246</v>
      </c>
      <c r="H517" s="6">
        <v>0.50649029016494806</v>
      </c>
      <c r="I517" s="6">
        <v>0.7270289659500121</v>
      </c>
      <c r="J517" s="6">
        <v>-2.4283606559038003E-2</v>
      </c>
      <c r="K517" s="6">
        <v>-0.32863050699234003</v>
      </c>
      <c r="L517" s="6">
        <v>-2.4884192273021001E-2</v>
      </c>
      <c r="M517" s="6">
        <v>-0.50686138868331909</v>
      </c>
      <c r="N517" s="6">
        <v>3.0053346108873522</v>
      </c>
      <c r="O517" s="6">
        <v>2.905683711482375</v>
      </c>
      <c r="P517" s="6">
        <v>5.6021461223900584</v>
      </c>
      <c r="Q517" s="6">
        <v>4.5961574810208319</v>
      </c>
      <c r="R517" s="6">
        <v>24.361409958168515</v>
      </c>
      <c r="S517" s="6">
        <v>18.977607557383376</v>
      </c>
      <c r="T517" s="6">
        <v>24.27484130859375</v>
      </c>
      <c r="U517" s="6" t="str">
        <f>_xll.BDP($A517,"TRAILING_12M_R&amp;D_%_SALES",$A$1,$A$2)</f>
        <v>#N/A N/A</v>
      </c>
      <c r="V517" s="6">
        <v>20</v>
      </c>
      <c r="W517" s="6">
        <v>201060</v>
      </c>
      <c r="X517" s="6">
        <v>20106020</v>
      </c>
      <c r="Y517" s="7" t="s">
        <v>38</v>
      </c>
      <c r="Z517" s="7" t="s">
        <v>493</v>
      </c>
      <c r="AA517" s="7" t="s">
        <v>1201</v>
      </c>
      <c r="AB517" s="6">
        <v>49.180164337158203</v>
      </c>
      <c r="AC517" s="6">
        <v>1.155344987418063</v>
      </c>
      <c r="AD517" s="6">
        <v>60.240233750355983</v>
      </c>
      <c r="AE517" s="6">
        <v>62730</v>
      </c>
      <c r="AF517" s="6">
        <v>57170</v>
      </c>
    </row>
    <row r="518" spans="1:32" s="4" customFormat="1" ht="12.75" x14ac:dyDescent="0.2">
      <c r="A518" s="7" t="s">
        <v>1712</v>
      </c>
      <c r="B518" s="7" t="s">
        <v>1713</v>
      </c>
      <c r="C518" s="7" t="s">
        <v>1714</v>
      </c>
      <c r="D518" s="6">
        <v>1.1311453580856321</v>
      </c>
      <c r="E518" s="6">
        <v>-0.93822842836380005</v>
      </c>
      <c r="F518" s="6">
        <v>2.2102162837982182</v>
      </c>
      <c r="G518" s="6">
        <v>-0.56100988388061501</v>
      </c>
      <c r="H518" s="6">
        <v>1.3659014701843259</v>
      </c>
      <c r="I518" s="6">
        <v>-7.7320806682109999E-2</v>
      </c>
      <c r="J518" s="6">
        <v>2.730253934860229</v>
      </c>
      <c r="K518" s="6">
        <v>-0.57340884208679199</v>
      </c>
      <c r="L518" s="6">
        <v>2.109754085540771</v>
      </c>
      <c r="M518" s="6">
        <v>-0.97210258245468106</v>
      </c>
      <c r="N518" s="6">
        <v>0.49166758944089506</v>
      </c>
      <c r="O518" s="6">
        <v>0.56573082681735509</v>
      </c>
      <c r="P518" s="6">
        <v>0.64805968179187501</v>
      </c>
      <c r="Q518" s="6">
        <v>0.55234079575582806</v>
      </c>
      <c r="R518" s="6">
        <v>5.9607705261681687</v>
      </c>
      <c r="S518" s="6">
        <v>4.082755456070128</v>
      </c>
      <c r="T518" s="6">
        <v>12.147871017456055</v>
      </c>
      <c r="U518" s="6" t="str">
        <f>_xll.BDP($A518,"TRAILING_12M_R&amp;D_%_SALES",$A$1,$A$2)</f>
        <v>#N/A N/A</v>
      </c>
      <c r="V518" s="6">
        <v>40</v>
      </c>
      <c r="W518" s="6">
        <v>403010</v>
      </c>
      <c r="X518" s="6">
        <v>40301020</v>
      </c>
      <c r="Y518" s="7" t="s">
        <v>43</v>
      </c>
      <c r="Z518" s="7" t="s">
        <v>44</v>
      </c>
      <c r="AA518" s="7" t="s">
        <v>45</v>
      </c>
      <c r="AB518" s="6">
        <v>58.515239715576172</v>
      </c>
      <c r="AC518" s="6">
        <v>0.76015301691522408</v>
      </c>
      <c r="AD518" s="6">
        <v>-25.549093329180515</v>
      </c>
      <c r="AE518" s="6">
        <v>344223</v>
      </c>
      <c r="AF518" s="6">
        <v>342550</v>
      </c>
    </row>
    <row r="519" spans="1:32" s="4" customFormat="1" ht="12.75" x14ac:dyDescent="0.2">
      <c r="A519" s="7" t="s">
        <v>1715</v>
      </c>
      <c r="B519" s="7" t="s">
        <v>1716</v>
      </c>
      <c r="C519" s="7" t="s">
        <v>1717</v>
      </c>
      <c r="D519" s="6">
        <v>-7.7642239630220005E-3</v>
      </c>
      <c r="E519" s="6">
        <v>-0.67670470476150502</v>
      </c>
      <c r="F519" s="6">
        <v>0.52048325538635309</v>
      </c>
      <c r="G519" s="6">
        <v>-0.71458703279495206</v>
      </c>
      <c r="H519" s="6">
        <v>-0.36974188685417203</v>
      </c>
      <c r="I519" s="6">
        <v>3.4057840704918005E-2</v>
      </c>
      <c r="J519" s="6">
        <v>2.5638382434844971</v>
      </c>
      <c r="K519" s="6">
        <v>-0.45775926113128701</v>
      </c>
      <c r="L519" s="6">
        <v>2.5173263549804692</v>
      </c>
      <c r="M519" s="6">
        <v>-0.91671735048294112</v>
      </c>
      <c r="N519" s="6">
        <v>0.18683564333894701</v>
      </c>
      <c r="O519" s="6">
        <v>0.30015308932148105</v>
      </c>
      <c r="P519" s="6">
        <v>0.40133764113939602</v>
      </c>
      <c r="Q519" s="6"/>
      <c r="R519" s="6">
        <v>4.4605654855071313</v>
      </c>
      <c r="S519" s="6"/>
      <c r="T519" s="6">
        <v>9.3652963638305664</v>
      </c>
      <c r="U519" s="6" t="str">
        <f>_xll.BDP($A519,"TRAILING_12M_R&amp;D_%_SALES",$A$1,$A$2)</f>
        <v>#N/A N/A</v>
      </c>
      <c r="V519" s="6">
        <v>40</v>
      </c>
      <c r="W519" s="6">
        <v>403010</v>
      </c>
      <c r="X519" s="6">
        <v>40301040</v>
      </c>
      <c r="Y519" s="7" t="s">
        <v>43</v>
      </c>
      <c r="Z519" s="7" t="s">
        <v>44</v>
      </c>
      <c r="AA519" s="7" t="s">
        <v>102</v>
      </c>
      <c r="AB519" s="6">
        <v>53.495624542236328</v>
      </c>
      <c r="AC519" s="6"/>
      <c r="AD519" s="6"/>
      <c r="AE519" s="6">
        <v>177852</v>
      </c>
      <c r="AF519" s="6">
        <v>215362</v>
      </c>
    </row>
    <row r="520" spans="1:32" s="4" customFormat="1" ht="12.75" x14ac:dyDescent="0.2">
      <c r="A520" s="7" t="s">
        <v>1718</v>
      </c>
      <c r="B520" s="7" t="s">
        <v>1719</v>
      </c>
      <c r="C520" s="7" t="s">
        <v>1720</v>
      </c>
      <c r="D520" s="6">
        <v>-1.1493605561554002E-2</v>
      </c>
      <c r="E520" s="6">
        <v>-0.78911405801773105</v>
      </c>
      <c r="F520" s="6">
        <v>0.72747033834457409</v>
      </c>
      <c r="G520" s="6">
        <v>-0.74223327636718806</v>
      </c>
      <c r="H520" s="6">
        <v>-0.23538012802600902</v>
      </c>
      <c r="I520" s="6">
        <v>9.6993133425713002E-2</v>
      </c>
      <c r="J520" s="6">
        <v>2.9154510498046879</v>
      </c>
      <c r="K520" s="6">
        <v>-0.6649090051651001</v>
      </c>
      <c r="L520" s="6">
        <v>2.237727165222168</v>
      </c>
      <c r="M520" s="6">
        <v>-0.60272425413131703</v>
      </c>
      <c r="N520" s="6">
        <v>0.18683564333894701</v>
      </c>
      <c r="O520" s="6"/>
      <c r="P520" s="6">
        <v>0.40133764113939602</v>
      </c>
      <c r="Q520" s="6"/>
      <c r="R520" s="6">
        <v>4.4605654855071313</v>
      </c>
      <c r="S520" s="6"/>
      <c r="T520" s="6">
        <v>9.3652963638305664</v>
      </c>
      <c r="U520" s="6" t="str">
        <f>_xll.BDP($A520,"TRAILING_12M_R&amp;D_%_SALES",$A$1,$A$2)</f>
        <v>#N/A N/A</v>
      </c>
      <c r="V520" s="6">
        <v>40</v>
      </c>
      <c r="W520" s="6">
        <v>403010</v>
      </c>
      <c r="X520" s="6">
        <v>40301040</v>
      </c>
      <c r="Y520" s="7" t="s">
        <v>43</v>
      </c>
      <c r="Z520" s="7" t="s">
        <v>44</v>
      </c>
      <c r="AA520" s="7" t="s">
        <v>102</v>
      </c>
      <c r="AB520" s="6">
        <v>53.495624542236328</v>
      </c>
      <c r="AC520" s="6">
        <v>0.31011434958945</v>
      </c>
      <c r="AD520" s="6">
        <v>-0.55646620689235904</v>
      </c>
      <c r="AE520" s="6">
        <v>177852</v>
      </c>
      <c r="AF520" s="6">
        <v>215362</v>
      </c>
    </row>
    <row r="521" spans="1:32" s="4" customFormat="1" ht="12.75" x14ac:dyDescent="0.2">
      <c r="A521" s="7" t="s">
        <v>1721</v>
      </c>
      <c r="B521" s="7" t="s">
        <v>1722</v>
      </c>
      <c r="C521" s="7" t="s">
        <v>1723</v>
      </c>
      <c r="D521" s="6">
        <v>-0.34660279750824002</v>
      </c>
      <c r="E521" s="6">
        <v>-1.155129075050354</v>
      </c>
      <c r="F521" s="6">
        <v>2.6059834957122803</v>
      </c>
      <c r="G521" s="6">
        <v>0.38893133401870705</v>
      </c>
      <c r="H521" s="6">
        <v>-0.17845797538757302</v>
      </c>
      <c r="I521" s="6">
        <v>2.760837316513062</v>
      </c>
      <c r="J521" s="6">
        <v>1.057059526443481</v>
      </c>
      <c r="K521" s="6">
        <v>-0.64117580652236905</v>
      </c>
      <c r="L521" s="6">
        <v>7.5749538838863012E-2</v>
      </c>
      <c r="M521" s="6">
        <v>-0.49473947286605802</v>
      </c>
      <c r="N521" s="6">
        <v>0.48762254342106504</v>
      </c>
      <c r="O521" s="6"/>
      <c r="P521" s="6">
        <v>0.69278244992735405</v>
      </c>
      <c r="Q521" s="6"/>
      <c r="R521" s="6">
        <v>30.603550274615721</v>
      </c>
      <c r="S521" s="6"/>
      <c r="T521" s="6">
        <v>2.2689518928527832</v>
      </c>
      <c r="U521" s="6">
        <f>_xll.BDP($A521,"TRAILING_12M_R&amp;D_%_SALES",$A$1,$A$2)</f>
        <v>0.84797886568387004</v>
      </c>
      <c r="V521" s="6">
        <v>15</v>
      </c>
      <c r="W521" s="6">
        <v>151040</v>
      </c>
      <c r="X521" s="6">
        <v>15104050</v>
      </c>
      <c r="Y521" s="7" t="s">
        <v>61</v>
      </c>
      <c r="Z521" s="7" t="s">
        <v>62</v>
      </c>
      <c r="AA521" s="7" t="s">
        <v>217</v>
      </c>
      <c r="AB521" s="6">
        <v>66.864501953125</v>
      </c>
      <c r="AC521" s="6">
        <v>1.203442332576534</v>
      </c>
      <c r="AD521" s="6">
        <v>76.238879180117408</v>
      </c>
      <c r="AE521" s="6"/>
      <c r="AF521" s="6"/>
    </row>
    <row r="522" spans="1:32" s="4" customFormat="1" ht="12.75" x14ac:dyDescent="0.2">
      <c r="A522" s="7" t="s">
        <v>1724</v>
      </c>
      <c r="B522" s="7" t="s">
        <v>1725</v>
      </c>
      <c r="C522" s="7" t="s">
        <v>1726</v>
      </c>
      <c r="D522" s="6">
        <v>-0.37792038917541504</v>
      </c>
      <c r="E522" s="6">
        <v>-0.18473298847675301</v>
      </c>
      <c r="F522" s="6">
        <v>0.14091746509075201</v>
      </c>
      <c r="G522" s="6">
        <v>-0.63720762729644809</v>
      </c>
      <c r="H522" s="6">
        <v>3.8105435669422004E-2</v>
      </c>
      <c r="I522" s="6">
        <v>-0.45816180109977706</v>
      </c>
      <c r="J522" s="6">
        <v>-0.22079358994960802</v>
      </c>
      <c r="K522" s="6">
        <v>-0.317723959684372</v>
      </c>
      <c r="L522" s="6">
        <v>0.73250186443328902</v>
      </c>
      <c r="M522" s="6">
        <v>-0.75257271528244007</v>
      </c>
      <c r="N522" s="6">
        <v>15.604194857538438</v>
      </c>
      <c r="O522" s="6">
        <v>15.627381963452045</v>
      </c>
      <c r="P522" s="6">
        <v>2.299074311905358</v>
      </c>
      <c r="Q522" s="6">
        <v>2.2359507453212659</v>
      </c>
      <c r="R522" s="6">
        <v>52.091456629196884</v>
      </c>
      <c r="S522" s="6">
        <v>42.510309629906843</v>
      </c>
      <c r="T522" s="6">
        <v>6.7784137725830078</v>
      </c>
      <c r="U522" s="6" t="str">
        <f>_xll.BDP($A522,"TRAILING_12M_R&amp;D_%_SALES",$A$1,$A$2)</f>
        <v>#N/A N/A</v>
      </c>
      <c r="V522" s="6">
        <v>60</v>
      </c>
      <c r="W522" s="6">
        <v>601025</v>
      </c>
      <c r="X522" s="6">
        <v>60102510</v>
      </c>
      <c r="Y522" s="7" t="s">
        <v>221</v>
      </c>
      <c r="Z522" s="7" t="s">
        <v>1727</v>
      </c>
      <c r="AA522" s="7" t="s">
        <v>1727</v>
      </c>
      <c r="AB522" s="6">
        <v>57.257820129394531</v>
      </c>
      <c r="AC522" s="6">
        <v>1.164578283150034</v>
      </c>
      <c r="AD522" s="6">
        <v>20.262257502049131</v>
      </c>
      <c r="AE522" s="6">
        <v>2466</v>
      </c>
      <c r="AF522" s="6">
        <v>1565</v>
      </c>
    </row>
    <row r="523" spans="1:32" s="4" customFormat="1" ht="12.75" x14ac:dyDescent="0.2">
      <c r="A523" s="7" t="s">
        <v>1728</v>
      </c>
      <c r="B523" s="7" t="s">
        <v>1729</v>
      </c>
      <c r="C523" s="7" t="s">
        <v>1730</v>
      </c>
      <c r="D523" s="6">
        <v>-4.5515790581703006E-2</v>
      </c>
      <c r="E523" s="6">
        <v>1.7487479448318481</v>
      </c>
      <c r="F523" s="6">
        <v>0.44398656487464905</v>
      </c>
      <c r="G523" s="6">
        <v>-0.77713137865066506</v>
      </c>
      <c r="H523" s="6">
        <v>1.7596498727798462</v>
      </c>
      <c r="I523" s="6">
        <v>-0.29306370019912703</v>
      </c>
      <c r="J523" s="6">
        <v>-5.0895731896162005E-2</v>
      </c>
      <c r="K523" s="6">
        <v>-0.52395325899124101</v>
      </c>
      <c r="L523" s="6">
        <v>1.858715295791626</v>
      </c>
      <c r="M523" s="6">
        <v>-0.47690674662590005</v>
      </c>
      <c r="N523" s="6">
        <v>4.2582155151884438</v>
      </c>
      <c r="O523" s="6">
        <v>3.981711084492042</v>
      </c>
      <c r="P523" s="6"/>
      <c r="Q523" s="6"/>
      <c r="R523" s="6">
        <v>17.011698945018495</v>
      </c>
      <c r="S523" s="6">
        <v>14.561213795228957</v>
      </c>
      <c r="T523" s="6"/>
      <c r="U523" s="6" t="str">
        <f>_xll.BDP($A523,"TRAILING_12M_R&amp;D_%_SALES",$A$1,$A$2)</f>
        <v>#N/A N/A</v>
      </c>
      <c r="V523" s="6">
        <v>30</v>
      </c>
      <c r="W523" s="6">
        <v>302030</v>
      </c>
      <c r="X523" s="6">
        <v>30203010</v>
      </c>
      <c r="Y523" s="7" t="s">
        <v>106</v>
      </c>
      <c r="Z523" s="7" t="s">
        <v>1208</v>
      </c>
      <c r="AA523" s="7" t="s">
        <v>1208</v>
      </c>
      <c r="AB523" s="6">
        <v>78.151092529296875</v>
      </c>
      <c r="AC523" s="6">
        <v>0.73094245897977506</v>
      </c>
      <c r="AD523" s="6">
        <v>-1.7649912649040371</v>
      </c>
      <c r="AE523" s="6">
        <v>79800</v>
      </c>
      <c r="AF523" s="6">
        <v>80600</v>
      </c>
    </row>
    <row r="524" spans="1:32" s="4" customFormat="1" ht="12.75" x14ac:dyDescent="0.2">
      <c r="A524" s="7" t="s">
        <v>1731</v>
      </c>
      <c r="B524" s="7" t="s">
        <v>1732</v>
      </c>
      <c r="C524" s="7" t="s">
        <v>1733</v>
      </c>
      <c r="D524" s="6">
        <v>0.17292258143425002</v>
      </c>
      <c r="E524" s="6">
        <v>-0.89916694164276112</v>
      </c>
      <c r="F524" s="6">
        <v>-6.4140625298023002E-2</v>
      </c>
      <c r="G524" s="6">
        <v>-0.13588552176952401</v>
      </c>
      <c r="H524" s="6">
        <v>0.72783976793289207</v>
      </c>
      <c r="I524" s="6">
        <v>-1.1956385374069209</v>
      </c>
      <c r="J524" s="6">
        <v>1.492797374725342</v>
      </c>
      <c r="K524" s="6">
        <v>-1.053777813911438</v>
      </c>
      <c r="L524" s="6">
        <v>1.6178327798843379</v>
      </c>
      <c r="M524" s="6">
        <v>-1.072488069534302</v>
      </c>
      <c r="N524" s="6">
        <v>2.030791914293407</v>
      </c>
      <c r="O524" s="6">
        <v>2.8725496685267831</v>
      </c>
      <c r="P524" s="6">
        <v>1.461164828377115</v>
      </c>
      <c r="Q524" s="6">
        <v>1.321617915842439</v>
      </c>
      <c r="R524" s="6">
        <v>10.731263623442173</v>
      </c>
      <c r="S524" s="6">
        <v>12.406163167191714</v>
      </c>
      <c r="T524" s="6">
        <v>14.244603157043457</v>
      </c>
      <c r="U524" s="6" t="str">
        <f>_xll.BDP($A524,"TRAILING_12M_R&amp;D_%_SALES",$A$1,$A$2)</f>
        <v>#N/A N/A</v>
      </c>
      <c r="V524" s="6">
        <v>40</v>
      </c>
      <c r="W524" s="6">
        <v>401010</v>
      </c>
      <c r="X524" s="6">
        <v>40101010</v>
      </c>
      <c r="Y524" s="7" t="s">
        <v>43</v>
      </c>
      <c r="Z524" s="7" t="s">
        <v>67</v>
      </c>
      <c r="AA524" s="7" t="s">
        <v>68</v>
      </c>
      <c r="AB524" s="6">
        <v>56.040641784667969</v>
      </c>
      <c r="AC524" s="6">
        <v>1.240869366234733</v>
      </c>
      <c r="AD524" s="6">
        <v>2.7620415604904469</v>
      </c>
      <c r="AE524" s="6">
        <v>61545</v>
      </c>
      <c r="AF524" s="6">
        <v>50358</v>
      </c>
    </row>
    <row r="525" spans="1:32" s="4" customFormat="1" ht="12.75" x14ac:dyDescent="0.2">
      <c r="A525" s="7" t="s">
        <v>1734</v>
      </c>
      <c r="B525" s="7" t="s">
        <v>1735</v>
      </c>
      <c r="C525" s="7" t="s">
        <v>1736</v>
      </c>
      <c r="D525" s="6">
        <v>1.1311453580856321</v>
      </c>
      <c r="E525" s="6">
        <v>-0.93822842836380005</v>
      </c>
      <c r="F525" s="6">
        <v>2.2102162837982182</v>
      </c>
      <c r="G525" s="6">
        <v>-0.56100988388061501</v>
      </c>
      <c r="H525" s="6">
        <v>1.3659014701843259</v>
      </c>
      <c r="I525" s="6">
        <v>-7.7320806682109999E-2</v>
      </c>
      <c r="J525" s="6">
        <v>2.730253934860229</v>
      </c>
      <c r="K525" s="6">
        <v>-0.57340884208679199</v>
      </c>
      <c r="L525" s="6">
        <v>2.109754085540771</v>
      </c>
      <c r="M525" s="6">
        <v>-0.97210258245468106</v>
      </c>
      <c r="N525" s="6">
        <v>0.49166758944089506</v>
      </c>
      <c r="O525" s="6"/>
      <c r="P525" s="6">
        <v>0.64805968179187501</v>
      </c>
      <c r="Q525" s="6"/>
      <c r="R525" s="6">
        <v>5.9607705261681687</v>
      </c>
      <c r="S525" s="6"/>
      <c r="T525" s="6">
        <v>12.147871017456055</v>
      </c>
      <c r="U525" s="6" t="str">
        <f>_xll.BDP($A525,"TRAILING_12M_R&amp;D_%_SALES",$A$1,$A$2)</f>
        <v>#N/A N/A</v>
      </c>
      <c r="V525" s="6">
        <v>40</v>
      </c>
      <c r="W525" s="6">
        <v>403010</v>
      </c>
      <c r="X525" s="6">
        <v>40301020</v>
      </c>
      <c r="Y525" s="7" t="s">
        <v>43</v>
      </c>
      <c r="Z525" s="7" t="s">
        <v>44</v>
      </c>
      <c r="AA525" s="7" t="s">
        <v>45</v>
      </c>
      <c r="AB525" s="6">
        <v>58.515239715576172</v>
      </c>
      <c r="AC525" s="6">
        <v>1.1618606177262161</v>
      </c>
      <c r="AD525" s="6">
        <v>-27.693471244027144</v>
      </c>
      <c r="AE525" s="6">
        <v>344223</v>
      </c>
      <c r="AF525" s="6">
        <v>342550</v>
      </c>
    </row>
    <row r="526" spans="1:32" s="4" customFormat="1" ht="12.75" x14ac:dyDescent="0.2">
      <c r="A526" s="7" t="s">
        <v>1737</v>
      </c>
      <c r="B526" s="7" t="s">
        <v>1738</v>
      </c>
      <c r="C526" s="7" t="s">
        <v>1739</v>
      </c>
      <c r="D526" s="6">
        <v>-0.30584821105003401</v>
      </c>
      <c r="E526" s="6">
        <v>-0.76424223184585605</v>
      </c>
      <c r="F526" s="6">
        <v>0.90362775325775102</v>
      </c>
      <c r="G526" s="6">
        <v>-0.52423840761184703</v>
      </c>
      <c r="H526" s="6">
        <v>-0.99780762195587203</v>
      </c>
      <c r="I526" s="6">
        <v>-1.2524056248367001E-2</v>
      </c>
      <c r="J526" s="6">
        <v>2.2714898586273189</v>
      </c>
      <c r="K526" s="6">
        <v>-0.55971503257751509</v>
      </c>
      <c r="L526" s="6">
        <v>1.598330974578857</v>
      </c>
      <c r="M526" s="6">
        <v>-0.71220630407333407</v>
      </c>
      <c r="N526" s="6">
        <v>0.41532156754200905</v>
      </c>
      <c r="O526" s="6">
        <v>0.34997371420030204</v>
      </c>
      <c r="P526" s="6">
        <v>0.82430480194986111</v>
      </c>
      <c r="Q526" s="6"/>
      <c r="R526" s="6">
        <v>6.7185497490138797</v>
      </c>
      <c r="S526" s="6"/>
      <c r="T526" s="6">
        <v>13.896417617797852</v>
      </c>
      <c r="U526" s="6" t="str">
        <f>_xll.BDP($A526,"TRAILING_12M_R&amp;D_%_SALES",$A$1,$A$2)</f>
        <v>#N/A N/A</v>
      </c>
      <c r="V526" s="6">
        <v>40</v>
      </c>
      <c r="W526" s="6">
        <v>403010</v>
      </c>
      <c r="X526" s="6">
        <v>40301040</v>
      </c>
      <c r="Y526" s="7" t="s">
        <v>43</v>
      </c>
      <c r="Z526" s="7" t="s">
        <v>44</v>
      </c>
      <c r="AA526" s="7" t="s">
        <v>102</v>
      </c>
      <c r="AB526" s="6">
        <v>51.373100280761719</v>
      </c>
      <c r="AC526" s="6">
        <v>0.25769943466746603</v>
      </c>
      <c r="AD526" s="6">
        <v>20.127885674008404</v>
      </c>
      <c r="AE526" s="6">
        <v>166358</v>
      </c>
      <c r="AF526" s="6">
        <v>180078</v>
      </c>
    </row>
    <row r="527" spans="1:32" s="4" customFormat="1" ht="12.75" x14ac:dyDescent="0.2">
      <c r="A527" s="7" t="s">
        <v>1740</v>
      </c>
      <c r="B527" s="7" t="s">
        <v>1741</v>
      </c>
      <c r="C527" s="7" t="s">
        <v>1742</v>
      </c>
      <c r="D527" s="6">
        <v>-0.30584821105003401</v>
      </c>
      <c r="E527" s="6">
        <v>-0.76424223184585605</v>
      </c>
      <c r="F527" s="6">
        <v>0.90362775325775102</v>
      </c>
      <c r="G527" s="6">
        <v>-0.52423840761184703</v>
      </c>
      <c r="H527" s="6">
        <v>-0.99780762195587203</v>
      </c>
      <c r="I527" s="6">
        <v>-1.2524056248367001E-2</v>
      </c>
      <c r="J527" s="6">
        <v>2.2714898586273189</v>
      </c>
      <c r="K527" s="6">
        <v>-0.55971503257751509</v>
      </c>
      <c r="L527" s="6">
        <v>1.598330974578857</v>
      </c>
      <c r="M527" s="6">
        <v>-0.71220630407333407</v>
      </c>
      <c r="N527" s="6">
        <v>0.41532156754200905</v>
      </c>
      <c r="O527" s="6"/>
      <c r="P527" s="6">
        <v>0.82430480194986111</v>
      </c>
      <c r="Q527" s="6"/>
      <c r="R527" s="6">
        <v>6.7185497490138797</v>
      </c>
      <c r="S527" s="6"/>
      <c r="T527" s="6">
        <v>13.896417617797852</v>
      </c>
      <c r="U527" s="6" t="str">
        <f>_xll.BDP($A527,"TRAILING_12M_R&amp;D_%_SALES",$A$1,$A$2)</f>
        <v>#N/A N/A</v>
      </c>
      <c r="V527" s="6">
        <v>40</v>
      </c>
      <c r="W527" s="6">
        <v>403010</v>
      </c>
      <c r="X527" s="6">
        <v>40301040</v>
      </c>
      <c r="Y527" s="7" t="s">
        <v>43</v>
      </c>
      <c r="Z527" s="7" t="s">
        <v>44</v>
      </c>
      <c r="AA527" s="7" t="s">
        <v>102</v>
      </c>
      <c r="AB527" s="6">
        <v>51.373100280761719</v>
      </c>
      <c r="AC527" s="6">
        <v>0.64812792250123508</v>
      </c>
      <c r="AD527" s="6">
        <v>31.021985000261765</v>
      </c>
      <c r="AE527" s="6">
        <v>166358</v>
      </c>
      <c r="AF527" s="6">
        <v>180078</v>
      </c>
    </row>
    <row r="528" spans="1:32" s="4" customFormat="1" ht="12.75" x14ac:dyDescent="0.2">
      <c r="A528" s="7" t="s">
        <v>1743</v>
      </c>
      <c r="B528" s="7" t="s">
        <v>1744</v>
      </c>
      <c r="C528" s="7" t="s">
        <v>1745</v>
      </c>
      <c r="D528" s="6">
        <v>-0.97933804988861106</v>
      </c>
      <c r="E528" s="6">
        <v>-0.59225887060165405</v>
      </c>
      <c r="F528" s="6">
        <v>-7.9087361693382E-2</v>
      </c>
      <c r="G528" s="6">
        <v>-0.161689668893814</v>
      </c>
      <c r="H528" s="6">
        <v>0.15591159462928803</v>
      </c>
      <c r="I528" s="6">
        <v>-0.19400666654110002</v>
      </c>
      <c r="J528" s="6">
        <v>2.4073626846075002E-2</v>
      </c>
      <c r="K528" s="6">
        <v>-0.69461768865585305</v>
      </c>
      <c r="L528" s="6">
        <v>0.162080869078636</v>
      </c>
      <c r="M528" s="6">
        <v>-0.62274390459060702</v>
      </c>
      <c r="N528" s="6">
        <v>1.951047434895492</v>
      </c>
      <c r="O528" s="6">
        <v>1.8956227614379551</v>
      </c>
      <c r="P528" s="6">
        <v>4.5495922225899728</v>
      </c>
      <c r="Q528" s="6">
        <v>4.4685812077340774</v>
      </c>
      <c r="R528" s="6">
        <v>23.72081301672338</v>
      </c>
      <c r="S528" s="6">
        <v>17.776927506790429</v>
      </c>
      <c r="T528" s="6">
        <v>20.573087692260742</v>
      </c>
      <c r="U528" s="6">
        <f>_xll.BDP($A528,"TRAILING_12M_R&amp;D_%_SALES",$A$1,$A$2)</f>
        <v>2.4757309437647192</v>
      </c>
      <c r="V528" s="6">
        <v>15</v>
      </c>
      <c r="W528" s="6">
        <v>151010</v>
      </c>
      <c r="X528" s="6">
        <v>15101050</v>
      </c>
      <c r="Y528" s="7" t="s">
        <v>61</v>
      </c>
      <c r="Z528" s="7" t="s">
        <v>250</v>
      </c>
      <c r="AA528" s="7" t="s">
        <v>727</v>
      </c>
      <c r="AB528" s="6">
        <v>71.340911865234375</v>
      </c>
      <c r="AC528" s="6">
        <v>1.165817729999566</v>
      </c>
      <c r="AD528" s="6">
        <v>20.589267553969613</v>
      </c>
      <c r="AE528" s="6">
        <v>52000</v>
      </c>
      <c r="AF528" s="6">
        <v>47200</v>
      </c>
    </row>
    <row r="529" spans="1:32" s="4" customFormat="1" ht="12.75" x14ac:dyDescent="0.2">
      <c r="A529" s="7" t="s">
        <v>1746</v>
      </c>
      <c r="B529" s="7" t="s">
        <v>1747</v>
      </c>
      <c r="C529" s="7" t="s">
        <v>1748</v>
      </c>
      <c r="D529" s="6">
        <v>0.289625734090805</v>
      </c>
      <c r="E529" s="6">
        <v>-1.2121596336364751</v>
      </c>
      <c r="F529" s="6">
        <v>-0.132935225963593</v>
      </c>
      <c r="G529" s="6">
        <v>-0.34458419680595404</v>
      </c>
      <c r="H529" s="6">
        <v>-0.10843866318464301</v>
      </c>
      <c r="I529" s="6">
        <v>-0.19914196431636802</v>
      </c>
      <c r="J529" s="6">
        <v>1.221481561660767</v>
      </c>
      <c r="K529" s="6">
        <v>-1.5371919870376591</v>
      </c>
      <c r="L529" s="6">
        <v>1.7632367610931401</v>
      </c>
      <c r="M529" s="6">
        <v>-0.99010020494461104</v>
      </c>
      <c r="N529" s="6">
        <v>0.72975728395942208</v>
      </c>
      <c r="O529" s="6">
        <v>0.7042733695345651</v>
      </c>
      <c r="P529" s="6">
        <v>1.451608759195175</v>
      </c>
      <c r="Q529" s="6">
        <v>1.315010287154194</v>
      </c>
      <c r="R529" s="6">
        <v>9.1096301928945334</v>
      </c>
      <c r="S529" s="6">
        <v>7.7730223318591811</v>
      </c>
      <c r="T529" s="6">
        <v>5.1233577728271484</v>
      </c>
      <c r="U529" s="6" t="str">
        <f>_xll.BDP($A529,"TRAILING_12M_R&amp;D_%_SALES",$A$1,$A$2)</f>
        <v>#N/A N/A</v>
      </c>
      <c r="V529" s="6">
        <v>40</v>
      </c>
      <c r="W529" s="6">
        <v>403010</v>
      </c>
      <c r="X529" s="6">
        <v>40301020</v>
      </c>
      <c r="Y529" s="7" t="s">
        <v>43</v>
      </c>
      <c r="Z529" s="7" t="s">
        <v>44</v>
      </c>
      <c r="AA529" s="7" t="s">
        <v>45</v>
      </c>
      <c r="AB529" s="6">
        <v>49.713310241699219</v>
      </c>
      <c r="AC529" s="6">
        <v>1.0933378202698201</v>
      </c>
      <c r="AD529" s="6">
        <v>9.6120676934182256</v>
      </c>
      <c r="AE529" s="6">
        <v>39854</v>
      </c>
      <c r="AF529" s="6">
        <v>49705</v>
      </c>
    </row>
    <row r="530" spans="1:32" s="4" customFormat="1" ht="12.75" x14ac:dyDescent="0.2">
      <c r="A530" s="7" t="s">
        <v>1749</v>
      </c>
      <c r="B530" s="7" t="s">
        <v>1750</v>
      </c>
      <c r="C530" s="7" t="s">
        <v>1751</v>
      </c>
      <c r="D530" s="6">
        <v>0.80419623851776101</v>
      </c>
      <c r="E530" s="6">
        <v>-1.093941807746887</v>
      </c>
      <c r="F530" s="6">
        <v>-0.22654135525226601</v>
      </c>
      <c r="G530" s="6">
        <v>-0.88735634088516202</v>
      </c>
      <c r="H530" s="6">
        <v>-0.69173812866210904</v>
      </c>
      <c r="I530" s="6">
        <v>-0.93864071369171109</v>
      </c>
      <c r="J530" s="6">
        <v>2.9751429557800293</v>
      </c>
      <c r="K530" s="6">
        <v>-0.626836717128754</v>
      </c>
      <c r="L530" s="6">
        <v>2.5965912342071533</v>
      </c>
      <c r="M530" s="6">
        <v>-0.96002936363220204</v>
      </c>
      <c r="N530" s="6">
        <v>0.55884896831618303</v>
      </c>
      <c r="O530" s="6">
        <v>1.126621396933011</v>
      </c>
      <c r="P530" s="6">
        <v>0.45787312847879802</v>
      </c>
      <c r="Q530" s="6">
        <v>0.40140648000340701</v>
      </c>
      <c r="R530" s="6">
        <v>3.7840264864016433</v>
      </c>
      <c r="S530" s="6">
        <v>3.755157713432502</v>
      </c>
      <c r="T530" s="6">
        <v>12.540033340454102</v>
      </c>
      <c r="U530" s="6" t="str">
        <f>_xll.BDP($A530,"TRAILING_12M_R&amp;D_%_SALES",$A$1,$A$2)</f>
        <v>#N/A N/A</v>
      </c>
      <c r="V530" s="6">
        <v>40</v>
      </c>
      <c r="W530" s="6">
        <v>401010</v>
      </c>
      <c r="X530" s="6">
        <v>40101010</v>
      </c>
      <c r="Y530" s="7" t="s">
        <v>43</v>
      </c>
      <c r="Z530" s="7" t="s">
        <v>67</v>
      </c>
      <c r="AA530" s="7" t="s">
        <v>68</v>
      </c>
      <c r="AB530" s="6">
        <v>53.72698974609375</v>
      </c>
      <c r="AC530" s="6">
        <v>0.34694396690017204</v>
      </c>
      <c r="AD530" s="6"/>
      <c r="AE530" s="6">
        <v>195102</v>
      </c>
      <c r="AF530" s="6">
        <v>171551</v>
      </c>
    </row>
    <row r="531" spans="1:32" s="4" customFormat="1" ht="12.75" x14ac:dyDescent="0.2">
      <c r="A531" s="7" t="s">
        <v>1752</v>
      </c>
      <c r="B531" s="7" t="s">
        <v>1753</v>
      </c>
      <c r="C531" s="7" t="s">
        <v>1754</v>
      </c>
      <c r="D531" s="6">
        <v>0.80419623851776101</v>
      </c>
      <c r="E531" s="6">
        <v>-1.093941807746887</v>
      </c>
      <c r="F531" s="6">
        <v>-0.22654135525226601</v>
      </c>
      <c r="G531" s="6">
        <v>-0.88735634088516202</v>
      </c>
      <c r="H531" s="6">
        <v>-0.69173812866210904</v>
      </c>
      <c r="I531" s="6">
        <v>-0.93864071369171109</v>
      </c>
      <c r="J531" s="6">
        <v>2.9751429557800293</v>
      </c>
      <c r="K531" s="6">
        <v>-0.626836717128754</v>
      </c>
      <c r="L531" s="6">
        <v>2.5965912342071533</v>
      </c>
      <c r="M531" s="6">
        <v>-0.96002936363220204</v>
      </c>
      <c r="N531" s="6">
        <v>0.55884896831618303</v>
      </c>
      <c r="O531" s="6"/>
      <c r="P531" s="6">
        <v>0.45787312847879802</v>
      </c>
      <c r="Q531" s="6"/>
      <c r="R531" s="6">
        <v>3.7840264864016433</v>
      </c>
      <c r="S531" s="6"/>
      <c r="T531" s="6">
        <v>12.540033340454102</v>
      </c>
      <c r="U531" s="6" t="str">
        <f>_xll.BDP($A531,"TRAILING_12M_R&amp;D_%_SALES",$A$1,$A$2)</f>
        <v>#N/A N/A</v>
      </c>
      <c r="V531" s="6">
        <v>40</v>
      </c>
      <c r="W531" s="6">
        <v>401010</v>
      </c>
      <c r="X531" s="6">
        <v>40101010</v>
      </c>
      <c r="Y531" s="7" t="s">
        <v>43</v>
      </c>
      <c r="Z531" s="7" t="s">
        <v>67</v>
      </c>
      <c r="AA531" s="7" t="s">
        <v>68</v>
      </c>
      <c r="AB531" s="6">
        <v>53.72698974609375</v>
      </c>
      <c r="AC531" s="6">
        <v>0.60206831866949106</v>
      </c>
      <c r="AD531" s="6">
        <v>-19.190242145933233</v>
      </c>
      <c r="AE531" s="6">
        <v>195102</v>
      </c>
      <c r="AF531" s="6">
        <v>171551</v>
      </c>
    </row>
    <row r="532" spans="1:32" s="4" customFormat="1" ht="12.75" x14ac:dyDescent="0.2">
      <c r="A532" s="7" t="s">
        <v>1755</v>
      </c>
      <c r="B532" s="7" t="s">
        <v>1756</v>
      </c>
      <c r="C532" s="7" t="s">
        <v>1757</v>
      </c>
      <c r="D532" s="6">
        <v>-2.408277709037E-3</v>
      </c>
      <c r="E532" s="6">
        <v>2.1229911595583E-2</v>
      </c>
      <c r="F532" s="6">
        <v>1.0370742529631001E-2</v>
      </c>
      <c r="G532" s="6">
        <v>0.115709722042084</v>
      </c>
      <c r="H532" s="6">
        <v>0.14857535064220401</v>
      </c>
      <c r="I532" s="6">
        <v>0.71968632936477706</v>
      </c>
      <c r="J532" s="6">
        <v>1.9018359184265141</v>
      </c>
      <c r="K532" s="6">
        <v>0.41874724626541104</v>
      </c>
      <c r="L532" s="6">
        <v>1.0006953477859499</v>
      </c>
      <c r="M532" s="6">
        <v>1.5442191362380981</v>
      </c>
      <c r="N532" s="6">
        <v>0.40864824273719602</v>
      </c>
      <c r="O532" s="6">
        <v>0.41320317361399406</v>
      </c>
      <c r="P532" s="6">
        <v>1.9005121091047341</v>
      </c>
      <c r="Q532" s="6">
        <v>1.7873060888597341</v>
      </c>
      <c r="R532" s="6">
        <v>7.7696101148277421</v>
      </c>
      <c r="S532" s="6">
        <v>9.8923385211030084</v>
      </c>
      <c r="T532" s="6">
        <v>25.844142913818359</v>
      </c>
      <c r="U532" s="6" t="str">
        <f>_xll.BDP($A532,"TRAILING_12M_R&amp;D_%_SALES",$A$1,$A$2)</f>
        <v>#N/A N/A</v>
      </c>
      <c r="V532" s="6">
        <v>10</v>
      </c>
      <c r="W532" s="6">
        <v>101020</v>
      </c>
      <c r="X532" s="6">
        <v>10102030</v>
      </c>
      <c r="Y532" s="7" t="s">
        <v>387</v>
      </c>
      <c r="Z532" s="7" t="s">
        <v>516</v>
      </c>
      <c r="AA532" s="7" t="s">
        <v>1248</v>
      </c>
      <c r="AB532" s="6">
        <v>65.979278564453125</v>
      </c>
      <c r="AC532" s="6">
        <v>0.68229325366054305</v>
      </c>
      <c r="AD532" s="6">
        <v>33.089656180165015</v>
      </c>
      <c r="AE532" s="6">
        <v>13000</v>
      </c>
      <c r="AF532" s="6">
        <v>14600</v>
      </c>
    </row>
    <row r="533" spans="1:32" s="4" customFormat="1" ht="12.75" x14ac:dyDescent="0.2">
      <c r="A533" s="7" t="s">
        <v>1758</v>
      </c>
      <c r="B533" s="7" t="s">
        <v>1759</v>
      </c>
      <c r="C533" s="7" t="s">
        <v>1760</v>
      </c>
      <c r="D533" s="6">
        <v>-0.96372371912002608</v>
      </c>
      <c r="E533" s="6">
        <v>-1.1609330177307129</v>
      </c>
      <c r="F533" s="6">
        <v>-2.4012845009565003E-2</v>
      </c>
      <c r="G533" s="6">
        <v>-0.94841134548187311</v>
      </c>
      <c r="H533" s="6">
        <v>0.17857092618942302</v>
      </c>
      <c r="I533" s="6">
        <v>0.40582507848739602</v>
      </c>
      <c r="J533" s="6">
        <v>0.46465590596199002</v>
      </c>
      <c r="K533" s="6">
        <v>-0.63944101333618208</v>
      </c>
      <c r="L533" s="6">
        <v>-0.77816373109817505</v>
      </c>
      <c r="M533" s="6">
        <v>-1.016572952270508</v>
      </c>
      <c r="N533" s="6">
        <v>1.6681695027349832</v>
      </c>
      <c r="O533" s="6"/>
      <c r="P533" s="6">
        <v>1.384822004658246</v>
      </c>
      <c r="Q533" s="6"/>
      <c r="R533" s="6">
        <v>9.6111238506736516</v>
      </c>
      <c r="S533" s="6"/>
      <c r="T533" s="6">
        <v>16.959260940551758</v>
      </c>
      <c r="U533" s="6" t="str">
        <f>_xll.BDP($A533,"TRAILING_12M_R&amp;D_%_SALES",$A$1,$A$2)</f>
        <v>#N/A N/A</v>
      </c>
      <c r="V533" s="6">
        <v>40</v>
      </c>
      <c r="W533" s="6">
        <v>401010</v>
      </c>
      <c r="X533" s="6">
        <v>40101010</v>
      </c>
      <c r="Y533" s="7" t="s">
        <v>43</v>
      </c>
      <c r="Z533" s="7" t="s">
        <v>67</v>
      </c>
      <c r="AA533" s="7" t="s">
        <v>68</v>
      </c>
      <c r="AB533" s="6">
        <v>46.041645050048828</v>
      </c>
      <c r="AC533" s="6">
        <v>0.27869034648186403</v>
      </c>
      <c r="AD533" s="6"/>
      <c r="AE533" s="6">
        <v>25100</v>
      </c>
      <c r="AF533" s="6">
        <v>28443</v>
      </c>
    </row>
    <row r="534" spans="1:32" s="4" customFormat="1" ht="12.75" x14ac:dyDescent="0.2">
      <c r="A534" s="7" t="s">
        <v>1761</v>
      </c>
      <c r="B534" s="7" t="s">
        <v>1762</v>
      </c>
      <c r="C534" s="7" t="s">
        <v>1763</v>
      </c>
      <c r="D534" s="6">
        <v>-0.16638760268688202</v>
      </c>
      <c r="E534" s="6">
        <v>-0.93802940845489502</v>
      </c>
      <c r="F534" s="6">
        <v>-0.82478815317153908</v>
      </c>
      <c r="G534" s="6">
        <v>-0.17570811510086101</v>
      </c>
      <c r="H534" s="6">
        <v>5.6745894253254006E-2</v>
      </c>
      <c r="I534" s="6">
        <v>1.645808853209E-2</v>
      </c>
      <c r="J534" s="6">
        <v>1.532837986946106</v>
      </c>
      <c r="K534" s="6">
        <v>-0.76413911581039407</v>
      </c>
      <c r="L534" s="6">
        <v>2.0900437831878662</v>
      </c>
      <c r="M534" s="6">
        <v>-1.063539981842041</v>
      </c>
      <c r="N534" s="6">
        <v>0.658182114625526</v>
      </c>
      <c r="O534" s="6">
        <v>0.340487069059624</v>
      </c>
      <c r="P534" s="6">
        <v>1.1694708071351521</v>
      </c>
      <c r="Q534" s="6">
        <v>1.0587788611143689</v>
      </c>
      <c r="R534" s="6">
        <v>9.400314825198727</v>
      </c>
      <c r="S534" s="6">
        <v>8.33544022908786</v>
      </c>
      <c r="T534" s="6">
        <v>8.6022491455078125</v>
      </c>
      <c r="U534" s="6" t="str">
        <f>_xll.BDP($A534,"TRAILING_12M_R&amp;D_%_SALES",$A$1,$A$2)</f>
        <v>#N/A N/A</v>
      </c>
      <c r="V534" s="6">
        <v>40</v>
      </c>
      <c r="W534" s="6">
        <v>403010</v>
      </c>
      <c r="X534" s="6">
        <v>40301020</v>
      </c>
      <c r="Y534" s="7" t="s">
        <v>43</v>
      </c>
      <c r="Z534" s="7" t="s">
        <v>44</v>
      </c>
      <c r="AA534" s="7" t="s">
        <v>45</v>
      </c>
      <c r="AB534" s="6">
        <v>54.179660797119141</v>
      </c>
      <c r="AC534" s="6">
        <v>0.84176089921142205</v>
      </c>
      <c r="AD534" s="6">
        <v>29.334061239782883</v>
      </c>
      <c r="AE534" s="6">
        <v>37300</v>
      </c>
      <c r="AF534" s="6"/>
    </row>
    <row r="535" spans="1:32" s="4" customFormat="1" ht="12.75" x14ac:dyDescent="0.2">
      <c r="A535" s="7" t="s">
        <v>1764</v>
      </c>
      <c r="B535" s="7" t="s">
        <v>1765</v>
      </c>
      <c r="C535" s="7" t="s">
        <v>1766</v>
      </c>
      <c r="D535" s="6">
        <v>-0.66356527805328402</v>
      </c>
      <c r="E535" s="6">
        <v>0.17773415148258201</v>
      </c>
      <c r="F535" s="6">
        <v>-0.49234548211097706</v>
      </c>
      <c r="G535" s="6">
        <v>0.47295045852661105</v>
      </c>
      <c r="H535" s="6">
        <v>-0.62253445386886608</v>
      </c>
      <c r="I535" s="6">
        <v>-0.54370701313018799</v>
      </c>
      <c r="J535" s="6">
        <v>1.1595801115036011</v>
      </c>
      <c r="K535" s="6">
        <v>1.010713934898376</v>
      </c>
      <c r="L535" s="6">
        <v>0.8270045518875121</v>
      </c>
      <c r="M535" s="6">
        <v>1.0284920930862429</v>
      </c>
      <c r="N535" s="6">
        <v>2.7385130103183153</v>
      </c>
      <c r="O535" s="6">
        <v>3.5806224310287318</v>
      </c>
      <c r="P535" s="6">
        <v>2.3093679233892881</v>
      </c>
      <c r="Q535" s="6">
        <v>2.0672348695383529</v>
      </c>
      <c r="R535" s="6">
        <v>10.48485595081303</v>
      </c>
      <c r="S535" s="6">
        <v>9.8776711488569688</v>
      </c>
      <c r="T535" s="6">
        <v>22.308837890625</v>
      </c>
      <c r="U535" s="6">
        <f>_xll.BDP($A535,"TRAILING_12M_R&amp;D_%_SALES",$A$1,$A$2)</f>
        <v>0</v>
      </c>
      <c r="V535" s="6">
        <v>10</v>
      </c>
      <c r="W535" s="6">
        <v>101020</v>
      </c>
      <c r="X535" s="6">
        <v>10102020</v>
      </c>
      <c r="Y535" s="7" t="s">
        <v>387</v>
      </c>
      <c r="Z535" s="7" t="s">
        <v>516</v>
      </c>
      <c r="AA535" s="7" t="s">
        <v>603</v>
      </c>
      <c r="AB535" s="6">
        <v>65.717735290527344</v>
      </c>
      <c r="AC535" s="6">
        <v>0.79751852861893302</v>
      </c>
      <c r="AD535" s="6">
        <v>5.7860280266934794</v>
      </c>
      <c r="AE535" s="6">
        <v>2076</v>
      </c>
      <c r="AF535" s="6">
        <v>3836</v>
      </c>
    </row>
    <row r="536" spans="1:32" s="4" customFormat="1" ht="12.75" x14ac:dyDescent="0.2">
      <c r="A536" s="7" t="s">
        <v>1767</v>
      </c>
      <c r="B536" s="7" t="s">
        <v>1768</v>
      </c>
      <c r="C536" s="7" t="s">
        <v>1769</v>
      </c>
      <c r="D536" s="6">
        <v>-0.29320564866066001</v>
      </c>
      <c r="E536" s="6">
        <v>-0.45436730980873102</v>
      </c>
      <c r="F536" s="6">
        <v>-0.172016397118568</v>
      </c>
      <c r="G536" s="6">
        <v>1.345312714576721</v>
      </c>
      <c r="H536" s="6">
        <v>-0.32807579636573803</v>
      </c>
      <c r="I536" s="6">
        <v>-1.9381895065307622</v>
      </c>
      <c r="J536" s="6">
        <v>0.30806142091751104</v>
      </c>
      <c r="K536" s="6">
        <v>-0.28130945563316301</v>
      </c>
      <c r="L536" s="6">
        <v>-0.72281217575073209</v>
      </c>
      <c r="M536" s="6">
        <v>-0.67839723825454701</v>
      </c>
      <c r="N536" s="6">
        <v>2.3567394154238368</v>
      </c>
      <c r="O536" s="6">
        <v>2.064244904886511</v>
      </c>
      <c r="P536" s="6">
        <v>3.359817465005082</v>
      </c>
      <c r="Q536" s="6">
        <v>2.6523560735622178</v>
      </c>
      <c r="R536" s="6">
        <v>17.579839399780273</v>
      </c>
      <c r="S536" s="6">
        <v>11.175390384708335</v>
      </c>
      <c r="T536" s="6">
        <v>18.823118209838867</v>
      </c>
      <c r="U536" s="6">
        <f>_xll.BDP($A536,"TRAILING_12M_R&amp;D_%_SALES",$A$1,$A$2)</f>
        <v>9.3688083781488825</v>
      </c>
      <c r="V536" s="6">
        <v>40</v>
      </c>
      <c r="W536" s="6">
        <v>402010</v>
      </c>
      <c r="X536" s="6">
        <v>40201060</v>
      </c>
      <c r="Y536" s="7" t="s">
        <v>43</v>
      </c>
      <c r="Z536" s="7" t="s">
        <v>255</v>
      </c>
      <c r="AA536" s="7" t="s">
        <v>445</v>
      </c>
      <c r="AB536" s="6">
        <v>54.099185943603516</v>
      </c>
      <c r="AC536" s="6">
        <v>1.375818865519199</v>
      </c>
      <c r="AD536" s="6">
        <v>-12.967684279727177</v>
      </c>
      <c r="AE536" s="6">
        <v>29900</v>
      </c>
      <c r="AF536" s="6">
        <v>18700</v>
      </c>
    </row>
    <row r="537" spans="1:32" s="4" customFormat="1" ht="12.75" x14ac:dyDescent="0.2">
      <c r="A537" s="7" t="s">
        <v>1770</v>
      </c>
      <c r="B537" s="7" t="s">
        <v>1771</v>
      </c>
      <c r="C537" s="7" t="s">
        <v>1772</v>
      </c>
      <c r="D537" s="6">
        <v>-0.125831574201584</v>
      </c>
      <c r="E537" s="6">
        <v>0.532451272010803</v>
      </c>
      <c r="F537" s="6">
        <v>-0.16820287704467801</v>
      </c>
      <c r="G537" s="6">
        <v>0.15411691367626201</v>
      </c>
      <c r="H537" s="6">
        <v>-7.0195823907852006E-2</v>
      </c>
      <c r="I537" s="6">
        <v>-0.85932999849319502</v>
      </c>
      <c r="J537" s="6">
        <v>0.23383589088916801</v>
      </c>
      <c r="K537" s="6">
        <v>0.62693178653717008</v>
      </c>
      <c r="L537" s="6">
        <v>0.59798705577850308</v>
      </c>
      <c r="M537" s="6">
        <v>0.96563804149627708</v>
      </c>
      <c r="N537" s="6">
        <v>4.5114794579318973</v>
      </c>
      <c r="O537" s="6">
        <v>4.1658669506261639</v>
      </c>
      <c r="P537" s="6">
        <v>7.465725476543466</v>
      </c>
      <c r="Q537" s="6">
        <v>6.3581589369079952</v>
      </c>
      <c r="R537" s="6">
        <v>21.051403382454254</v>
      </c>
      <c r="S537" s="6">
        <v>15.07692195366341</v>
      </c>
      <c r="T537" s="6">
        <v>36.525737762451172</v>
      </c>
      <c r="U537" s="6">
        <f>_xll.BDP($A537,"TRAILING_12M_R&amp;D_%_SALES",$A$1,$A$2)</f>
        <v>22.182086251382234</v>
      </c>
      <c r="V537" s="6">
        <v>45</v>
      </c>
      <c r="W537" s="6">
        <v>453010</v>
      </c>
      <c r="X537" s="6">
        <v>45301020</v>
      </c>
      <c r="Y537" s="7" t="s">
        <v>56</v>
      </c>
      <c r="Z537" s="7" t="s">
        <v>130</v>
      </c>
      <c r="AA537" s="7" t="s">
        <v>131</v>
      </c>
      <c r="AB537" s="6">
        <v>69.65093994140625</v>
      </c>
      <c r="AC537" s="6">
        <v>1.326326806644182</v>
      </c>
      <c r="AD537" s="6">
        <v>35.188770277751445</v>
      </c>
      <c r="AE537" s="6">
        <v>50000</v>
      </c>
      <c r="AF537" s="6">
        <v>35400</v>
      </c>
    </row>
    <row r="538" spans="1:32" s="4" customFormat="1" ht="12.75" x14ac:dyDescent="0.2">
      <c r="A538" s="7" t="s">
        <v>1773</v>
      </c>
      <c r="B538" s="7" t="s">
        <v>1774</v>
      </c>
      <c r="C538" s="7" t="s">
        <v>1775</v>
      </c>
      <c r="D538" s="6">
        <v>-0.9218919873237611</v>
      </c>
      <c r="E538" s="6">
        <v>-0.72667413949966408</v>
      </c>
      <c r="F538" s="6">
        <v>-0.66128093004226707</v>
      </c>
      <c r="G538" s="6">
        <v>-0.97519683837890603</v>
      </c>
      <c r="H538" s="6">
        <v>-0.82494103908538807</v>
      </c>
      <c r="I538" s="6">
        <v>0.153122514486313</v>
      </c>
      <c r="J538" s="6">
        <v>0.49413245916366605</v>
      </c>
      <c r="K538" s="6">
        <v>-5.8270469307899003E-2</v>
      </c>
      <c r="L538" s="6">
        <v>2.3826243877410889</v>
      </c>
      <c r="M538" s="6">
        <v>-2.7206474915147001E-2</v>
      </c>
      <c r="N538" s="6">
        <v>0.7699979659951971</v>
      </c>
      <c r="O538" s="6"/>
      <c r="P538" s="6">
        <v>4.7682282579166806</v>
      </c>
      <c r="Q538" s="6"/>
      <c r="R538" s="6">
        <v>22.53699514700839</v>
      </c>
      <c r="S538" s="6"/>
      <c r="T538" s="6">
        <v>22.225812911987305</v>
      </c>
      <c r="U538" s="6">
        <f>_xll.BDP($A538,"TRAILING_12M_R&amp;D_%_SALES",$A$1,$A$2)</f>
        <v>2.0459268630869265</v>
      </c>
      <c r="V538" s="6">
        <v>45</v>
      </c>
      <c r="W538" s="6">
        <v>452020</v>
      </c>
      <c r="X538" s="6">
        <v>45202030</v>
      </c>
      <c r="Y538" s="7" t="s">
        <v>56</v>
      </c>
      <c r="Z538" s="7" t="s">
        <v>57</v>
      </c>
      <c r="AA538" s="7" t="s">
        <v>57</v>
      </c>
      <c r="AB538" s="6">
        <v>61.875064849853516</v>
      </c>
      <c r="AC538" s="6">
        <v>0.68162664807584505</v>
      </c>
      <c r="AD538" s="6"/>
      <c r="AE538" s="6">
        <v>67979</v>
      </c>
      <c r="AF538" s="6">
        <v>109624</v>
      </c>
    </row>
    <row r="539" spans="1:32" s="4" customFormat="1" ht="12.75" x14ac:dyDescent="0.2">
      <c r="A539" s="7" t="s">
        <v>1776</v>
      </c>
      <c r="B539" s="7" t="s">
        <v>1777</v>
      </c>
      <c r="C539" s="7" t="s">
        <v>1778</v>
      </c>
      <c r="D539" s="6">
        <v>-0.97253286838531505</v>
      </c>
      <c r="E539" s="6">
        <v>-0.70440554618835405</v>
      </c>
      <c r="F539" s="6">
        <v>-1.2399288415908809</v>
      </c>
      <c r="G539" s="6">
        <v>-0.30883285403251604</v>
      </c>
      <c r="H539" s="6">
        <v>2.116286993026733</v>
      </c>
      <c r="I539" s="6">
        <v>-0.24173086881637601</v>
      </c>
      <c r="J539" s="6">
        <v>0.60731148719787609</v>
      </c>
      <c r="K539" s="6">
        <v>-0.31701385974884</v>
      </c>
      <c r="L539" s="6">
        <v>1.0462303161621089</v>
      </c>
      <c r="M539" s="6">
        <v>-0.94977444410324108</v>
      </c>
      <c r="N539" s="6">
        <v>1.784465004826298</v>
      </c>
      <c r="O539" s="6">
        <v>1.5786785591053749</v>
      </c>
      <c r="P539" s="6">
        <v>3.0137027907685652</v>
      </c>
      <c r="Q539" s="6">
        <v>2.6249806846869488</v>
      </c>
      <c r="R539" s="6">
        <v>19.722671299386295</v>
      </c>
      <c r="S539" s="6">
        <v>12.225825645950449</v>
      </c>
      <c r="T539" s="6">
        <v>9.9762468338012695</v>
      </c>
      <c r="U539" s="6" t="str">
        <f>_xll.BDP($A539,"TRAILING_12M_R&amp;D_%_SALES",$A$1,$A$2)</f>
        <v>#N/A N/A</v>
      </c>
      <c r="V539" s="6">
        <v>50</v>
      </c>
      <c r="W539" s="6">
        <v>501020</v>
      </c>
      <c r="X539" s="6">
        <v>50102010</v>
      </c>
      <c r="Y539" s="7" t="s">
        <v>311</v>
      </c>
      <c r="Z539" s="7" t="s">
        <v>1264</v>
      </c>
      <c r="AA539" s="7" t="s">
        <v>1264</v>
      </c>
      <c r="AB539" s="6">
        <v>59.098682403564453</v>
      </c>
      <c r="AC539" s="6">
        <v>0.73714309105641507</v>
      </c>
      <c r="AD539" s="6">
        <v>7.5038843359307661</v>
      </c>
      <c r="AE539" s="6">
        <v>22000</v>
      </c>
      <c r="AF539" s="6">
        <v>24500</v>
      </c>
    </row>
    <row r="540" spans="1:32" s="4" customFormat="1" ht="12.75" x14ac:dyDescent="0.2">
      <c r="A540" s="7" t="s">
        <v>1779</v>
      </c>
      <c r="B540" s="7" t="s">
        <v>1780</v>
      </c>
      <c r="C540" s="7" t="s">
        <v>1781</v>
      </c>
      <c r="D540" s="6">
        <v>-0.97253286838531505</v>
      </c>
      <c r="E540" s="6">
        <v>-0.70440554618835405</v>
      </c>
      <c r="F540" s="6">
        <v>-1.2399288415908809</v>
      </c>
      <c r="G540" s="6">
        <v>-0.30883285403251604</v>
      </c>
      <c r="H540" s="6">
        <v>2.116286993026733</v>
      </c>
      <c r="I540" s="6">
        <v>-0.24173086881637601</v>
      </c>
      <c r="J540" s="6">
        <v>0.60731148719787609</v>
      </c>
      <c r="K540" s="6">
        <v>-0.31701385974884</v>
      </c>
      <c r="L540" s="6">
        <v>1.0462303161621089</v>
      </c>
      <c r="M540" s="6">
        <v>-0.94977444410324108</v>
      </c>
      <c r="N540" s="6">
        <v>1.784465004826298</v>
      </c>
      <c r="O540" s="6">
        <v>1.5786785591053749</v>
      </c>
      <c r="P540" s="6">
        <v>3.0137027907685652</v>
      </c>
      <c r="Q540" s="6">
        <v>2.616165451165219</v>
      </c>
      <c r="R540" s="6">
        <v>19.722671299386295</v>
      </c>
      <c r="S540" s="6">
        <v>12.184768769344188</v>
      </c>
      <c r="T540" s="6">
        <v>9.9762468338012695</v>
      </c>
      <c r="U540" s="6" t="str">
        <f>_xll.BDP($A540,"TRAILING_12M_R&amp;D_%_SALES",$A$1,$A$2)</f>
        <v>#N/A N/A</v>
      </c>
      <c r="V540" s="6">
        <v>50</v>
      </c>
      <c r="W540" s="6">
        <v>501020</v>
      </c>
      <c r="X540" s="6">
        <v>50102010</v>
      </c>
      <c r="Y540" s="7" t="s">
        <v>311</v>
      </c>
      <c r="Z540" s="7" t="s">
        <v>1264</v>
      </c>
      <c r="AA540" s="7" t="s">
        <v>1264</v>
      </c>
      <c r="AB540" s="6">
        <v>59.098682403564453</v>
      </c>
      <c r="AC540" s="6">
        <v>0.37464294599244502</v>
      </c>
      <c r="AD540" s="6">
        <v>10.917179868728311</v>
      </c>
      <c r="AE540" s="6">
        <v>22000</v>
      </c>
      <c r="AF540" s="6">
        <v>24500</v>
      </c>
    </row>
    <row r="541" spans="1:32" s="4" customFormat="1" ht="12.75" x14ac:dyDescent="0.2">
      <c r="A541" s="7" t="s">
        <v>1782</v>
      </c>
      <c r="B541" s="7" t="s">
        <v>1783</v>
      </c>
      <c r="C541" s="7" t="s">
        <v>1784</v>
      </c>
      <c r="D541" s="6">
        <v>-0.75030338764190707</v>
      </c>
      <c r="E541" s="6">
        <v>-0.41380599141120905</v>
      </c>
      <c r="F541" s="6">
        <v>1.0353080034255979</v>
      </c>
      <c r="G541" s="6">
        <v>-0.79449146986007702</v>
      </c>
      <c r="H541" s="6">
        <v>-1.1083081960678101</v>
      </c>
      <c r="I541" s="6">
        <v>1.7218362540007002E-2</v>
      </c>
      <c r="J541" s="6">
        <v>-9.7808383405209004E-2</v>
      </c>
      <c r="K541" s="6">
        <v>-0.52907997369766202</v>
      </c>
      <c r="L541" s="6">
        <v>-0.49854701757431003</v>
      </c>
      <c r="M541" s="6">
        <v>-0.38688799738884005</v>
      </c>
      <c r="N541" s="6">
        <v>2.763330002743027</v>
      </c>
      <c r="O541" s="6">
        <v>2.7914148069019733</v>
      </c>
      <c r="P541" s="6">
        <v>4.7283408540012157</v>
      </c>
      <c r="Q541" s="6">
        <v>4.0446628531950264</v>
      </c>
      <c r="R541" s="6">
        <v>30.094882643934469</v>
      </c>
      <c r="S541" s="6">
        <v>28.413094795961761</v>
      </c>
      <c r="T541" s="6">
        <v>16.947628021240234</v>
      </c>
      <c r="U541" s="6">
        <f>_xll.BDP($A541,"TRAILING_12M_R&amp;D_%_SALES",$A$1,$A$2)</f>
        <v>4.9103258105710443</v>
      </c>
      <c r="V541" s="6">
        <v>20</v>
      </c>
      <c r="W541" s="6">
        <v>202020</v>
      </c>
      <c r="X541" s="6">
        <v>20202010</v>
      </c>
      <c r="Y541" s="7" t="s">
        <v>38</v>
      </c>
      <c r="Z541" s="7" t="s">
        <v>140</v>
      </c>
      <c r="AA541" s="7" t="s">
        <v>141</v>
      </c>
      <c r="AB541" s="6">
        <v>49.461826324462891</v>
      </c>
      <c r="AC541" s="6">
        <v>0.53506035604369606</v>
      </c>
      <c r="AD541" s="6">
        <v>31.188981962215756</v>
      </c>
      <c r="AE541" s="6">
        <v>58493</v>
      </c>
      <c r="AF541" s="6">
        <v>40152</v>
      </c>
    </row>
    <row r="542" spans="1:32" s="4" customFormat="1" ht="12.75" x14ac:dyDescent="0.2">
      <c r="A542" s="7" t="s">
        <v>1785</v>
      </c>
      <c r="B542" s="7" t="s">
        <v>1786</v>
      </c>
      <c r="C542" s="7" t="s">
        <v>1787</v>
      </c>
      <c r="D542" s="6">
        <v>-0.75030338764190707</v>
      </c>
      <c r="E542" s="6">
        <v>-0.41380599141120905</v>
      </c>
      <c r="F542" s="6">
        <v>1.0353080034255979</v>
      </c>
      <c r="G542" s="6">
        <v>-0.79449146986007702</v>
      </c>
      <c r="H542" s="6">
        <v>-1.1083081960678101</v>
      </c>
      <c r="I542" s="6">
        <v>1.7218362540007002E-2</v>
      </c>
      <c r="J542" s="6">
        <v>-9.7808383405209004E-2</v>
      </c>
      <c r="K542" s="6">
        <v>-0.52907997369766202</v>
      </c>
      <c r="L542" s="6">
        <v>-0.49854701757431003</v>
      </c>
      <c r="M542" s="6">
        <v>-0.38688799738884005</v>
      </c>
      <c r="N542" s="6">
        <v>2.763330002743027</v>
      </c>
      <c r="O542" s="6"/>
      <c r="P542" s="6">
        <v>4.7283408540012157</v>
      </c>
      <c r="Q542" s="6"/>
      <c r="R542" s="6">
        <v>30.094882643934469</v>
      </c>
      <c r="S542" s="6"/>
      <c r="T542" s="6">
        <v>16.947628021240234</v>
      </c>
      <c r="U542" s="6">
        <f>_xll.BDP($A542,"TRAILING_12M_R&amp;D_%_SALES",$A$1,$A$2)</f>
        <v>4.9103258105710443</v>
      </c>
      <c r="V542" s="6">
        <v>20</v>
      </c>
      <c r="W542" s="6">
        <v>202020</v>
      </c>
      <c r="X542" s="6">
        <v>20202010</v>
      </c>
      <c r="Y542" s="7" t="s">
        <v>38</v>
      </c>
      <c r="Z542" s="7" t="s">
        <v>140</v>
      </c>
      <c r="AA542" s="7" t="s">
        <v>141</v>
      </c>
      <c r="AB542" s="6">
        <v>49.461826324462891</v>
      </c>
      <c r="AC542" s="6">
        <v>0.95232660557328508</v>
      </c>
      <c r="AD542" s="6">
        <v>30.762697397966264</v>
      </c>
      <c r="AE542" s="6">
        <v>58493</v>
      </c>
      <c r="AF542" s="6">
        <v>40152</v>
      </c>
    </row>
    <row r="543" spans="1:32" s="4" customFormat="1" ht="12.75" x14ac:dyDescent="0.2">
      <c r="A543" s="7" t="s">
        <v>1788</v>
      </c>
      <c r="B543" s="7" t="s">
        <v>1789</v>
      </c>
      <c r="C543" s="7" t="s">
        <v>1790</v>
      </c>
      <c r="D543" s="6">
        <v>-0.61750459671020508</v>
      </c>
      <c r="E543" s="6">
        <v>-6.5605245530605011E-2</v>
      </c>
      <c r="F543" s="6">
        <v>-1.42519211769104</v>
      </c>
      <c r="G543" s="6">
        <v>-0.21581235527992201</v>
      </c>
      <c r="H543" s="6">
        <v>-1.0262330770492549</v>
      </c>
      <c r="I543" s="6">
        <v>-5.1097027026120005E-3</v>
      </c>
      <c r="J543" s="6">
        <v>-0.10392113775014901</v>
      </c>
      <c r="K543" s="6">
        <v>0.52594137191772505</v>
      </c>
      <c r="L543" s="6">
        <v>-0.72281217575073209</v>
      </c>
      <c r="M543" s="6">
        <v>1.155375480651855</v>
      </c>
      <c r="N543" s="6">
        <v>7.1647993375876791</v>
      </c>
      <c r="O543" s="6">
        <v>6.9954857876424672</v>
      </c>
      <c r="P543" s="6">
        <v>3.836990531248786</v>
      </c>
      <c r="Q543" s="6">
        <v>3.2414725214647642</v>
      </c>
      <c r="R543" s="6">
        <v>22.209009564484791</v>
      </c>
      <c r="S543" s="6">
        <v>20.009522316364638</v>
      </c>
      <c r="T543" s="6">
        <v>17.224102020263672</v>
      </c>
      <c r="U543" s="6">
        <f>_xll.BDP($A543,"TRAILING_12M_R&amp;D_%_SALES",$A$1,$A$2)</f>
        <v>36.135755527390508</v>
      </c>
      <c r="V543" s="6">
        <v>35</v>
      </c>
      <c r="W543" s="6">
        <v>352010</v>
      </c>
      <c r="X543" s="6">
        <v>35201010</v>
      </c>
      <c r="Y543" s="7" t="s">
        <v>72</v>
      </c>
      <c r="Z543" s="7" t="s">
        <v>73</v>
      </c>
      <c r="AA543" s="7" t="s">
        <v>73</v>
      </c>
      <c r="AB543" s="6">
        <v>61.351978302001953</v>
      </c>
      <c r="AC543" s="6">
        <v>0.67104453195412406</v>
      </c>
      <c r="AD543" s="6">
        <v>21.766557803753116</v>
      </c>
      <c r="AE543" s="6">
        <v>11851</v>
      </c>
      <c r="AF543" s="6">
        <v>6200</v>
      </c>
    </row>
    <row r="544" spans="1:32" s="4" customFormat="1" ht="12.75" x14ac:dyDescent="0.2">
      <c r="A544" s="7" t="s">
        <v>1791</v>
      </c>
      <c r="B544" s="7" t="s">
        <v>1792</v>
      </c>
      <c r="C544" s="7" t="s">
        <v>1793</v>
      </c>
      <c r="D544" s="6">
        <v>-0.54214841127395608</v>
      </c>
      <c r="E544" s="6">
        <v>-0.79277044534683205</v>
      </c>
      <c r="F544" s="6">
        <v>0.76944684982299805</v>
      </c>
      <c r="G544" s="6">
        <v>-0.44402828812599204</v>
      </c>
      <c r="H544" s="6">
        <v>2.5842376053333001E-2</v>
      </c>
      <c r="I544" s="6">
        <v>0.27973693609237704</v>
      </c>
      <c r="J544" s="6">
        <v>2.903307199478149</v>
      </c>
      <c r="K544" s="6">
        <v>-1.046760559082031</v>
      </c>
      <c r="L544" s="6">
        <v>1.1255906820297241</v>
      </c>
      <c r="M544" s="6">
        <v>0.32279834151268</v>
      </c>
      <c r="N544" s="6">
        <v>0.29546229640434601</v>
      </c>
      <c r="O544" s="6">
        <v>0.277525241314316</v>
      </c>
      <c r="P544" s="6">
        <v>0.70215279739494407</v>
      </c>
      <c r="Q544" s="6">
        <v>0.56571423839784507</v>
      </c>
      <c r="R544" s="6">
        <v>4.637930840023496</v>
      </c>
      <c r="S544" s="6">
        <v>4.6472341950435121</v>
      </c>
      <c r="T544" s="6">
        <v>15.623144149780273</v>
      </c>
      <c r="U544" s="6" t="str">
        <f>_xll.BDP($A544,"TRAILING_12M_R&amp;D_%_SALES",$A$1,$A$2)</f>
        <v>#N/A N/A</v>
      </c>
      <c r="V544" s="6">
        <v>10</v>
      </c>
      <c r="W544" s="6">
        <v>101020</v>
      </c>
      <c r="X544" s="6">
        <v>10102010</v>
      </c>
      <c r="Y544" s="7" t="s">
        <v>387</v>
      </c>
      <c r="Z544" s="7" t="s">
        <v>516</v>
      </c>
      <c r="AA544" s="7" t="s">
        <v>693</v>
      </c>
      <c r="AB544" s="6">
        <v>77.788955688476563</v>
      </c>
      <c r="AC544" s="6">
        <v>0.39559140610068305</v>
      </c>
      <c r="AD544" s="6">
        <v>-2.6875888281317262</v>
      </c>
      <c r="AE544" s="6">
        <v>23770</v>
      </c>
      <c r="AF544" s="6">
        <v>24226</v>
      </c>
    </row>
    <row r="545" spans="1:32" s="4" customFormat="1" ht="12.75" x14ac:dyDescent="0.2">
      <c r="A545" s="7" t="s">
        <v>1794</v>
      </c>
      <c r="B545" s="7" t="s">
        <v>1795</v>
      </c>
      <c r="C545" s="7" t="s">
        <v>1796</v>
      </c>
      <c r="D545" s="6">
        <v>-0.54214841127395608</v>
      </c>
      <c r="E545" s="6">
        <v>-0.79277044534683205</v>
      </c>
      <c r="F545" s="6">
        <v>0.76944684982299805</v>
      </c>
      <c r="G545" s="6">
        <v>-0.44402828812599204</v>
      </c>
      <c r="H545" s="6">
        <v>2.5842376053333001E-2</v>
      </c>
      <c r="I545" s="6">
        <v>0.27973693609237704</v>
      </c>
      <c r="J545" s="6">
        <v>2.903307199478149</v>
      </c>
      <c r="K545" s="6">
        <v>-1.046760559082031</v>
      </c>
      <c r="L545" s="6">
        <v>1.1255906820297241</v>
      </c>
      <c r="M545" s="6">
        <v>0.32279834151268</v>
      </c>
      <c r="N545" s="6">
        <v>0.29546229640434601</v>
      </c>
      <c r="O545" s="6">
        <v>0.27694562117011901</v>
      </c>
      <c r="P545" s="6">
        <v>0.70215279739494407</v>
      </c>
      <c r="Q545" s="6">
        <v>0.56571423839784507</v>
      </c>
      <c r="R545" s="6">
        <v>4.637930840023496</v>
      </c>
      <c r="S545" s="6">
        <v>4.6472341950435121</v>
      </c>
      <c r="T545" s="6">
        <v>15.623144149780273</v>
      </c>
      <c r="U545" s="6" t="str">
        <f>_xll.BDP($A545,"TRAILING_12M_R&amp;D_%_SALES",$A$1,$A$2)</f>
        <v>#N/A N/A</v>
      </c>
      <c r="V545" s="6">
        <v>10</v>
      </c>
      <c r="W545" s="6">
        <v>101020</v>
      </c>
      <c r="X545" s="6">
        <v>10102010</v>
      </c>
      <c r="Y545" s="7" t="s">
        <v>387</v>
      </c>
      <c r="Z545" s="7" t="s">
        <v>516</v>
      </c>
      <c r="AA545" s="7" t="s">
        <v>693</v>
      </c>
      <c r="AB545" s="6">
        <v>77.788955688476563</v>
      </c>
      <c r="AC545" s="6">
        <v>0.671567450415821</v>
      </c>
      <c r="AD545" s="6">
        <v>-2.083441674631259</v>
      </c>
      <c r="AE545" s="6">
        <v>23770</v>
      </c>
      <c r="AF545" s="6">
        <v>24226</v>
      </c>
    </row>
    <row r="546" spans="1:32" s="4" customFormat="1" ht="12.75" x14ac:dyDescent="0.2">
      <c r="A546" s="7" t="s">
        <v>1797</v>
      </c>
      <c r="B546" s="7" t="s">
        <v>1798</v>
      </c>
      <c r="C546" s="7" t="s">
        <v>1799</v>
      </c>
      <c r="D546" s="6">
        <v>-0.83859390020370506</v>
      </c>
      <c r="E546" s="6">
        <v>-0.86861711740493808</v>
      </c>
      <c r="F546" s="6">
        <v>-0.29454761743545504</v>
      </c>
      <c r="G546" s="6">
        <v>0.48750689625740101</v>
      </c>
      <c r="H546" s="6">
        <v>-0.60002040863037109</v>
      </c>
      <c r="I546" s="6">
        <v>-1.024427056312561</v>
      </c>
      <c r="J546" s="6">
        <v>1.4730877876281741</v>
      </c>
      <c r="K546" s="6">
        <v>-1.222863435745239</v>
      </c>
      <c r="L546" s="6">
        <v>1.9280365705490112</v>
      </c>
      <c r="M546" s="6">
        <v>-1.077858090400696</v>
      </c>
      <c r="N546" s="6">
        <v>1.9530703424912752</v>
      </c>
      <c r="O546" s="6">
        <v>2.4931130717365702</v>
      </c>
      <c r="P546" s="6">
        <v>1.267300909506303</v>
      </c>
      <c r="Q546" s="6">
        <v>1.139584284556995</v>
      </c>
      <c r="R546" s="6">
        <v>8.0412265462115737</v>
      </c>
      <c r="S546" s="6">
        <v>9.8452595009192656</v>
      </c>
      <c r="T546" s="6">
        <v>16.339609146118164</v>
      </c>
      <c r="U546" s="6" t="str">
        <f>_xll.BDP($A546,"TRAILING_12M_R&amp;D_%_SALES",$A$1,$A$2)</f>
        <v>#N/A N/A</v>
      </c>
      <c r="V546" s="6">
        <v>40</v>
      </c>
      <c r="W546" s="6">
        <v>401010</v>
      </c>
      <c r="X546" s="6">
        <v>40101015</v>
      </c>
      <c r="Y546" s="7" t="s">
        <v>43</v>
      </c>
      <c r="Z546" s="7" t="s">
        <v>67</v>
      </c>
      <c r="AA546" s="7" t="s">
        <v>527</v>
      </c>
      <c r="AB546" s="6">
        <v>57.579719543457031</v>
      </c>
      <c r="AC546" s="6">
        <v>1.377313011629264</v>
      </c>
      <c r="AD546" s="6">
        <v>-5.9618829463552352</v>
      </c>
      <c r="AE546" s="6">
        <v>20073</v>
      </c>
      <c r="AF546" s="6">
        <v>21714</v>
      </c>
    </row>
    <row r="547" spans="1:32" s="4" customFormat="1" ht="12.75" x14ac:dyDescent="0.2">
      <c r="A547" s="7" t="s">
        <v>1800</v>
      </c>
      <c r="B547" s="7" t="s">
        <v>1801</v>
      </c>
      <c r="C547" s="7" t="s">
        <v>1802</v>
      </c>
      <c r="D547" s="6">
        <v>-0.85601335763931308</v>
      </c>
      <c r="E547" s="6">
        <v>-0.55113410949707009</v>
      </c>
      <c r="F547" s="6">
        <v>-0.24262173473835003</v>
      </c>
      <c r="G547" s="6">
        <v>-0.26801598072052002</v>
      </c>
      <c r="H547" s="6">
        <v>-0.62234747409820601</v>
      </c>
      <c r="I547" s="6">
        <v>-0.45155462622642506</v>
      </c>
      <c r="J547" s="6">
        <v>-2.6928082108498001E-2</v>
      </c>
      <c r="K547" s="6">
        <v>-0.25437614321708701</v>
      </c>
      <c r="L547" s="6">
        <v>5.9322927147150005E-2</v>
      </c>
      <c r="M547" s="6">
        <v>5.9655472636223006E-2</v>
      </c>
      <c r="N547" s="6">
        <v>1.8165936020372111</v>
      </c>
      <c r="O547" s="6">
        <v>1.8467693848365472</v>
      </c>
      <c r="P547" s="6">
        <v>2.29676894756102</v>
      </c>
      <c r="Q547" s="6">
        <v>1.9835485847883829</v>
      </c>
      <c r="R547" s="6">
        <v>13.538506930747872</v>
      </c>
      <c r="S547" s="6">
        <v>11.760361762834018</v>
      </c>
      <c r="T547" s="6">
        <v>17.799003601074219</v>
      </c>
      <c r="U547" s="6" t="str">
        <f>_xll.BDP($A547,"TRAILING_12M_R&amp;D_%_SALES",$A$1,$A$2)</f>
        <v>#N/A N/A</v>
      </c>
      <c r="V547" s="6">
        <v>40</v>
      </c>
      <c r="W547" s="6">
        <v>402030</v>
      </c>
      <c r="X547" s="6">
        <v>40203020</v>
      </c>
      <c r="Y547" s="7" t="s">
        <v>43</v>
      </c>
      <c r="Z547" s="7" t="s">
        <v>212</v>
      </c>
      <c r="AA547" s="7" t="s">
        <v>1026</v>
      </c>
      <c r="AB547" s="6">
        <v>42.561111450195313</v>
      </c>
      <c r="AC547" s="6">
        <v>1.063122344802975</v>
      </c>
      <c r="AD547" s="6">
        <v>5.4052535559645074</v>
      </c>
      <c r="AE547" s="6">
        <v>8712</v>
      </c>
      <c r="AF547" s="6">
        <v>13900</v>
      </c>
    </row>
    <row r="548" spans="1:32" s="4" customFormat="1" ht="12.75" x14ac:dyDescent="0.2">
      <c r="A548" s="7" t="s">
        <v>1803</v>
      </c>
      <c r="B548" s="7" t="s">
        <v>1804</v>
      </c>
      <c r="C548" s="7" t="s">
        <v>1805</v>
      </c>
      <c r="D548" s="6">
        <v>-0.94817900657653809</v>
      </c>
      <c r="E548" s="6">
        <v>-2.473050594329834</v>
      </c>
      <c r="F548" s="6">
        <v>-1.1193686723709111</v>
      </c>
      <c r="G548" s="6">
        <v>0.40095856785774203</v>
      </c>
      <c r="H548" s="6">
        <v>0.93532359600067105</v>
      </c>
      <c r="I548" s="6">
        <v>-0.49263635277748102</v>
      </c>
      <c r="J548" s="6">
        <v>-1.148473739624023</v>
      </c>
      <c r="K548" s="6">
        <v>-1.199387907981873</v>
      </c>
      <c r="L548" s="6">
        <v>-0.39051163196563704</v>
      </c>
      <c r="M548" s="6">
        <v>-0.80576533079147306</v>
      </c>
      <c r="N548" s="6">
        <v>0.53460652568058908</v>
      </c>
      <c r="O548" s="6">
        <v>0.57674229324196502</v>
      </c>
      <c r="P548" s="6">
        <v>2.0412001301793889</v>
      </c>
      <c r="Q548" s="6">
        <v>1.5042631270390381</v>
      </c>
      <c r="R548" s="6"/>
      <c r="S548" s="6"/>
      <c r="T548" s="6">
        <v>-48.760021209716797</v>
      </c>
      <c r="U548" s="6" t="str">
        <f>_xll.BDP($A548,"TRAILING_12M_R&amp;D_%_SALES",$A$1,$A$2)</f>
        <v>#N/A N/A</v>
      </c>
      <c r="V548" s="6">
        <v>25</v>
      </c>
      <c r="W548" s="6">
        <v>255030</v>
      </c>
      <c r="X548" s="6">
        <v>25503030</v>
      </c>
      <c r="Y548" s="7" t="s">
        <v>85</v>
      </c>
      <c r="Z548" s="7" t="s">
        <v>227</v>
      </c>
      <c r="AA548" s="7" t="s">
        <v>227</v>
      </c>
      <c r="AB548" s="6">
        <v>41.102504730224609</v>
      </c>
      <c r="AC548" s="6">
        <v>0.46447537762471502</v>
      </c>
      <c r="AD548" s="6">
        <v>-9.1453746087811011E-2</v>
      </c>
      <c r="AE548" s="6">
        <v>32079</v>
      </c>
      <c r="AF548" s="6">
        <v>14845</v>
      </c>
    </row>
    <row r="549" spans="1:32" s="4" customFormat="1" ht="12.75" x14ac:dyDescent="0.2">
      <c r="A549" s="7" t="s">
        <v>1806</v>
      </c>
      <c r="B549" s="7" t="s">
        <v>1807</v>
      </c>
      <c r="C549" s="7" t="s">
        <v>1808</v>
      </c>
      <c r="D549" s="6">
        <v>-0.94817900657653809</v>
      </c>
      <c r="E549" s="6">
        <v>-2.473050594329834</v>
      </c>
      <c r="F549" s="6">
        <v>-1.1193686723709111</v>
      </c>
      <c r="G549" s="6">
        <v>0.40095856785774203</v>
      </c>
      <c r="H549" s="6">
        <v>0.93532359600067105</v>
      </c>
      <c r="I549" s="6">
        <v>-0.49263635277748102</v>
      </c>
      <c r="J549" s="6">
        <v>-1.148473739624023</v>
      </c>
      <c r="K549" s="6">
        <v>-1.199387907981873</v>
      </c>
      <c r="L549" s="6">
        <v>-0.39051163196563704</v>
      </c>
      <c r="M549" s="6">
        <v>-0.80576533079147306</v>
      </c>
      <c r="N549" s="6">
        <v>0.53460652568058908</v>
      </c>
      <c r="O549" s="6"/>
      <c r="P549" s="6">
        <v>2.0412001301793889</v>
      </c>
      <c r="Q549" s="6"/>
      <c r="R549" s="6"/>
      <c r="S549" s="6"/>
      <c r="T549" s="6">
        <v>-48.760021209716797</v>
      </c>
      <c r="U549" s="6" t="str">
        <f>_xll.BDP($A549,"TRAILING_12M_R&amp;D_%_SALES",$A$1,$A$2)</f>
        <v>#N/A N/A</v>
      </c>
      <c r="V549" s="6">
        <v>25</v>
      </c>
      <c r="W549" s="6">
        <v>255030</v>
      </c>
      <c r="X549" s="6">
        <v>25503030</v>
      </c>
      <c r="Y549" s="7" t="s">
        <v>85</v>
      </c>
      <c r="Z549" s="7" t="s">
        <v>227</v>
      </c>
      <c r="AA549" s="7" t="s">
        <v>227</v>
      </c>
      <c r="AB549" s="6">
        <v>41.102504730224609</v>
      </c>
      <c r="AC549" s="6">
        <v>0.60010383304215709</v>
      </c>
      <c r="AD549" s="6">
        <v>0.22320875004695501</v>
      </c>
      <c r="AE549" s="6">
        <v>32079</v>
      </c>
      <c r="AF549" s="6">
        <v>14845</v>
      </c>
    </row>
    <row r="550" spans="1:32" s="4" customFormat="1" ht="12.75" x14ac:dyDescent="0.2">
      <c r="A550" s="7" t="s">
        <v>1809</v>
      </c>
      <c r="B550" s="7" t="s">
        <v>1810</v>
      </c>
      <c r="C550" s="7" t="s">
        <v>1811</v>
      </c>
      <c r="D550" s="6">
        <v>-0.94820654392242409</v>
      </c>
      <c r="E550" s="6">
        <v>-0.6055328845977781</v>
      </c>
      <c r="F550" s="6">
        <v>3.0000524520874019</v>
      </c>
      <c r="G550" s="6">
        <v>-0.75199812650680509</v>
      </c>
      <c r="H550" s="6">
        <v>0.76641100645065308</v>
      </c>
      <c r="I550" s="6">
        <v>3.0000865459442139</v>
      </c>
      <c r="J550" s="6">
        <v>0.13931366801261902</v>
      </c>
      <c r="K550" s="6">
        <v>-0.61096203327178999</v>
      </c>
      <c r="L550" s="6">
        <v>-0.72281217575073209</v>
      </c>
      <c r="M550" s="6">
        <v>0.33470827341079701</v>
      </c>
      <c r="N550" s="6">
        <v>1.6216215972154759</v>
      </c>
      <c r="O550" s="6"/>
      <c r="P550" s="6"/>
      <c r="Q550" s="6"/>
      <c r="R550" s="6">
        <v>15.182293931957407</v>
      </c>
      <c r="S550" s="6"/>
      <c r="T550" s="6"/>
      <c r="U550" s="6">
        <f>_xll.BDP($A550,"TRAILING_12M_R&amp;D_%_SALES",$A$1,$A$2)</f>
        <v>1.0735628536675657</v>
      </c>
      <c r="V550" s="6">
        <v>20</v>
      </c>
      <c r="W550" s="6">
        <v>201010</v>
      </c>
      <c r="X550" s="6">
        <v>20101010</v>
      </c>
      <c r="Y550" s="7" t="s">
        <v>38</v>
      </c>
      <c r="Z550" s="7" t="s">
        <v>292</v>
      </c>
      <c r="AA550" s="7" t="s">
        <v>292</v>
      </c>
      <c r="AB550" s="6">
        <v>52.871944427490234</v>
      </c>
      <c r="AC550" s="6">
        <v>0.47470920599996103</v>
      </c>
      <c r="AD550" s="6">
        <v>-15.25424237148183</v>
      </c>
      <c r="AE550" s="6">
        <v>41800</v>
      </c>
      <c r="AF550" s="6">
        <v>50000</v>
      </c>
    </row>
    <row r="551" spans="1:32" s="4" customFormat="1" ht="12.75" x14ac:dyDescent="0.2">
      <c r="A551" s="7" t="s">
        <v>1812</v>
      </c>
      <c r="B551" s="7" t="s">
        <v>1813</v>
      </c>
      <c r="C551" s="7" t="s">
        <v>1814</v>
      </c>
      <c r="D551" s="6">
        <v>-0.58216822147369407</v>
      </c>
      <c r="E551" s="6">
        <v>-0.88440138101577803</v>
      </c>
      <c r="F551" s="6">
        <v>8.8415995240211001E-2</v>
      </c>
      <c r="G551" s="6">
        <v>-0.42771479487419101</v>
      </c>
      <c r="H551" s="6">
        <v>1.513946413993835</v>
      </c>
      <c r="I551" s="6">
        <v>0.39051207900047302</v>
      </c>
      <c r="J551" s="6">
        <v>2.9744329452514648</v>
      </c>
      <c r="K551" s="6">
        <v>-1.1127603054046631</v>
      </c>
      <c r="L551" s="6">
        <v>-0.40454345941543601</v>
      </c>
      <c r="M551" s="6">
        <v>-0.5626557469367981</v>
      </c>
      <c r="N551" s="6">
        <v>0.19248218314651003</v>
      </c>
      <c r="O551" s="6"/>
      <c r="P551" s="6">
        <v>0.36232687702676403</v>
      </c>
      <c r="Q551" s="6"/>
      <c r="R551" s="6">
        <v>3.231881106463208</v>
      </c>
      <c r="S551" s="6"/>
      <c r="T551" s="6">
        <v>10.888312339782715</v>
      </c>
      <c r="U551" s="6">
        <f>_xll.BDP($A551,"TRAILING_12M_R&amp;D_%_SALES",$A$1,$A$2)</f>
        <v>4.7446293925167167</v>
      </c>
      <c r="V551" s="6">
        <v>25</v>
      </c>
      <c r="W551" s="6">
        <v>251020</v>
      </c>
      <c r="X551" s="6">
        <v>25102010</v>
      </c>
      <c r="Y551" s="7" t="s">
        <v>85</v>
      </c>
      <c r="Z551" s="7" t="s">
        <v>316</v>
      </c>
      <c r="AA551" s="7" t="s">
        <v>317</v>
      </c>
      <c r="AB551" s="6">
        <v>64.550849914550781</v>
      </c>
      <c r="AC551" s="6">
        <v>1.275925049315715</v>
      </c>
      <c r="AD551" s="6">
        <v>22.596335123179024</v>
      </c>
      <c r="AE551" s="6">
        <v>105812</v>
      </c>
      <c r="AF551" s="6">
        <v>181344</v>
      </c>
    </row>
    <row r="552" spans="1:32" s="4" customFormat="1" ht="12.75" x14ac:dyDescent="0.2">
      <c r="A552" s="7" t="s">
        <v>1815</v>
      </c>
      <c r="B552" s="7" t="s">
        <v>1816</v>
      </c>
      <c r="C552" s="7" t="s">
        <v>1817</v>
      </c>
      <c r="D552" s="6">
        <v>-0.58216822147369407</v>
      </c>
      <c r="E552" s="6">
        <v>-0.88440138101577803</v>
      </c>
      <c r="F552" s="6">
        <v>8.8415995240211001E-2</v>
      </c>
      <c r="G552" s="6">
        <v>-0.42771479487419101</v>
      </c>
      <c r="H552" s="6">
        <v>1.513946413993835</v>
      </c>
      <c r="I552" s="6">
        <v>0.39051207900047302</v>
      </c>
      <c r="J552" s="6">
        <v>2.9744329452514648</v>
      </c>
      <c r="K552" s="6">
        <v>-1.1127603054046631</v>
      </c>
      <c r="L552" s="6">
        <v>-0.40454345941543601</v>
      </c>
      <c r="M552" s="6">
        <v>-0.5626557469367981</v>
      </c>
      <c r="N552" s="6">
        <v>0.19248218314651003</v>
      </c>
      <c r="O552" s="6">
        <v>0.20154448492318203</v>
      </c>
      <c r="P552" s="6">
        <v>0.36232687702676403</v>
      </c>
      <c r="Q552" s="6">
        <v>0.30044544276518004</v>
      </c>
      <c r="R552" s="6">
        <v>3.231881106463208</v>
      </c>
      <c r="S552" s="6">
        <v>2.8805724661697489</v>
      </c>
      <c r="T552" s="6">
        <v>10.888312339782715</v>
      </c>
      <c r="U552" s="6">
        <f>_xll.BDP($A552,"TRAILING_12M_R&amp;D_%_SALES",$A$1,$A$2)</f>
        <v>4.7446293925167167</v>
      </c>
      <c r="V552" s="6">
        <v>25</v>
      </c>
      <c r="W552" s="6">
        <v>251020</v>
      </c>
      <c r="X552" s="6">
        <v>25102010</v>
      </c>
      <c r="Y552" s="7" t="s">
        <v>85</v>
      </c>
      <c r="Z552" s="7" t="s">
        <v>316</v>
      </c>
      <c r="AA552" s="7" t="s">
        <v>317</v>
      </c>
      <c r="AB552" s="6">
        <v>64.550849914550781</v>
      </c>
      <c r="AC552" s="6">
        <v>0.45917322665029903</v>
      </c>
      <c r="AD552" s="6">
        <v>22.550187591252314</v>
      </c>
      <c r="AE552" s="6">
        <v>105812</v>
      </c>
      <c r="AF552" s="6">
        <v>181344</v>
      </c>
    </row>
    <row r="553" spans="1:32" s="4" customFormat="1" ht="12.75" x14ac:dyDescent="0.2">
      <c r="A553" s="7" t="s">
        <v>1818</v>
      </c>
      <c r="B553" s="7" t="s">
        <v>1819</v>
      </c>
      <c r="C553" s="7" t="s">
        <v>1820</v>
      </c>
      <c r="D553" s="6">
        <v>-0.82158803939819303</v>
      </c>
      <c r="E553" s="6">
        <v>-0.57195073366165206</v>
      </c>
      <c r="F553" s="6">
        <v>-0.76281595230102506</v>
      </c>
      <c r="G553" s="6">
        <v>-0.61269104480743408</v>
      </c>
      <c r="H553" s="6">
        <v>0.51443904638290405</v>
      </c>
      <c r="I553" s="6">
        <v>-0.48136276006698603</v>
      </c>
      <c r="J553" s="6">
        <v>-7.9598113894463002E-2</v>
      </c>
      <c r="K553" s="6">
        <v>-0.46585953235626204</v>
      </c>
      <c r="L553" s="6">
        <v>-4.50947470963E-2</v>
      </c>
      <c r="M553" s="6">
        <v>-0.69632637500762906</v>
      </c>
      <c r="N553" s="6">
        <v>3.5599001411952358</v>
      </c>
      <c r="O553" s="6">
        <v>3.2782007908992501</v>
      </c>
      <c r="P553" s="6">
        <v>5.0296809358730394</v>
      </c>
      <c r="Q553" s="6">
        <v>4.4812501924193464</v>
      </c>
      <c r="R553" s="6">
        <v>30.993308557781674</v>
      </c>
      <c r="S553" s="6">
        <v>27.793836179825036</v>
      </c>
      <c r="T553" s="6">
        <v>16.530784606933594</v>
      </c>
      <c r="U553" s="6" t="str">
        <f>_xll.BDP($A553,"TRAILING_12M_R&amp;D_%_SALES",$A$1,$A$2)</f>
        <v>#N/A N/A</v>
      </c>
      <c r="V553" s="6">
        <v>20</v>
      </c>
      <c r="W553" s="6">
        <v>202010</v>
      </c>
      <c r="X553" s="6">
        <v>20201050</v>
      </c>
      <c r="Y553" s="7" t="s">
        <v>38</v>
      </c>
      <c r="Z553" s="7" t="s">
        <v>1821</v>
      </c>
      <c r="AA553" s="7" t="s">
        <v>1822</v>
      </c>
      <c r="AB553" s="6">
        <v>69.439697265625</v>
      </c>
      <c r="AC553" s="6">
        <v>0.53666764618014007</v>
      </c>
      <c r="AD553" s="6">
        <v>28.378079488024397</v>
      </c>
      <c r="AE553" s="6">
        <v>40000</v>
      </c>
      <c r="AF553" s="6">
        <v>35000</v>
      </c>
    </row>
    <row r="554" spans="1:32" s="4" customFormat="1" ht="12.75" x14ac:dyDescent="0.2">
      <c r="A554" s="7" t="s">
        <v>1823</v>
      </c>
      <c r="B554" s="7" t="s">
        <v>1824</v>
      </c>
      <c r="C554" s="7" t="s">
        <v>1825</v>
      </c>
      <c r="D554" s="6">
        <v>0.28347182273864702</v>
      </c>
      <c r="E554" s="6">
        <v>-0.74069714546203602</v>
      </c>
      <c r="F554" s="6">
        <v>0.40681201219558705</v>
      </c>
      <c r="G554" s="6">
        <v>-0.61976909637451205</v>
      </c>
      <c r="H554" s="6">
        <v>-7.5325153768063008E-2</v>
      </c>
      <c r="I554" s="6">
        <v>-0.96662414073944103</v>
      </c>
      <c r="J554" s="6">
        <v>0.36424118280410805</v>
      </c>
      <c r="K554" s="6">
        <v>-0.63863992691040006</v>
      </c>
      <c r="L554" s="6">
        <v>0.80319631099700906</v>
      </c>
      <c r="M554" s="6">
        <v>-0.81790280342102106</v>
      </c>
      <c r="N554" s="6">
        <v>1.8298318991795361</v>
      </c>
      <c r="O554" s="6">
        <v>1.5283314580190202</v>
      </c>
      <c r="P554" s="6">
        <v>1.7383903618970189</v>
      </c>
      <c r="Q554" s="6">
        <v>1.7601037127782941</v>
      </c>
      <c r="R554" s="6">
        <v>16.798974683372276</v>
      </c>
      <c r="S554" s="6">
        <v>15.81965554975999</v>
      </c>
      <c r="T554" s="6">
        <v>4.565648078918457</v>
      </c>
      <c r="U554" s="6">
        <f>_xll.BDP($A554,"TRAILING_12M_R&amp;D_%_SALES",$A$1,$A$2)</f>
        <v>3.6339765661770169</v>
      </c>
      <c r="V554" s="6">
        <v>20</v>
      </c>
      <c r="W554" s="6">
        <v>201010</v>
      </c>
      <c r="X554" s="6">
        <v>20101010</v>
      </c>
      <c r="Y554" s="7" t="s">
        <v>38</v>
      </c>
      <c r="Z554" s="7" t="s">
        <v>292</v>
      </c>
      <c r="AA554" s="7" t="s">
        <v>292</v>
      </c>
      <c r="AB554" s="6">
        <v>60.295745849609375</v>
      </c>
      <c r="AC554" s="6">
        <v>0.68520125133796006</v>
      </c>
      <c r="AD554" s="6">
        <v>-13.940154045310571</v>
      </c>
      <c r="AE554" s="6">
        <v>182000</v>
      </c>
      <c r="AF554" s="6">
        <v>205000</v>
      </c>
    </row>
    <row r="555" spans="1:32" s="4" customFormat="1" ht="12.75" x14ac:dyDescent="0.2">
      <c r="A555" s="7" t="s">
        <v>1826</v>
      </c>
      <c r="B555" s="7" t="s">
        <v>1827</v>
      </c>
      <c r="C555" s="7" t="s">
        <v>1828</v>
      </c>
      <c r="D555" s="6">
        <v>-0.38929390907287603</v>
      </c>
      <c r="E555" s="6">
        <v>-1.0804967880249019</v>
      </c>
      <c r="F555" s="6">
        <v>-3.5926359705630005E-3</v>
      </c>
      <c r="G555" s="6">
        <v>-0.79950284957885709</v>
      </c>
      <c r="H555" s="6">
        <v>-0.11682798713445701</v>
      </c>
      <c r="I555" s="6">
        <v>-0.84404605627059903</v>
      </c>
      <c r="J555" s="6">
        <v>0.82176834344863903</v>
      </c>
      <c r="K555" s="6">
        <v>-0.94800752401351907</v>
      </c>
      <c r="L555" s="6">
        <v>0.51337397098541304</v>
      </c>
      <c r="M555" s="6">
        <v>-0.251072287559509</v>
      </c>
      <c r="N555" s="6">
        <v>0.94566107684450607</v>
      </c>
      <c r="O555" s="6"/>
      <c r="P555" s="6">
        <v>0.90116125701722904</v>
      </c>
      <c r="Q555" s="6"/>
      <c r="R555" s="6">
        <v>6.9149347904405776</v>
      </c>
      <c r="S555" s="6"/>
      <c r="T555" s="6"/>
      <c r="U555" s="6" t="str">
        <f>_xll.BDP($A555,"TRAILING_12M_R&amp;D_%_SALES",$A$1,$A$2)</f>
        <v>#N/A N/A</v>
      </c>
      <c r="V555" s="6">
        <v>55</v>
      </c>
      <c r="W555" s="6">
        <v>551050</v>
      </c>
      <c r="X555" s="6">
        <v>55105010</v>
      </c>
      <c r="Y555" s="7" t="s">
        <v>154</v>
      </c>
      <c r="Z555" s="7" t="s">
        <v>1829</v>
      </c>
      <c r="AA555" s="7" t="s">
        <v>1830</v>
      </c>
      <c r="AB555" s="6">
        <v>66.05975341796875</v>
      </c>
      <c r="AC555" s="6">
        <v>0.7324757758594711</v>
      </c>
      <c r="AD555" s="6">
        <v>4.6391361112656071</v>
      </c>
      <c r="AE555" s="6">
        <v>18310</v>
      </c>
      <c r="AF555" s="6">
        <v>19106</v>
      </c>
    </row>
    <row r="556" spans="1:32" s="4" customFormat="1" ht="12.75" x14ac:dyDescent="0.2">
      <c r="A556" s="7" t="s">
        <v>1831</v>
      </c>
      <c r="B556" s="7" t="s">
        <v>1832</v>
      </c>
      <c r="C556" s="7" t="s">
        <v>1833</v>
      </c>
      <c r="D556" s="6">
        <v>-0.38929390907287603</v>
      </c>
      <c r="E556" s="6">
        <v>-1.0804967880249019</v>
      </c>
      <c r="F556" s="6">
        <v>-3.5926359705630005E-3</v>
      </c>
      <c r="G556" s="6">
        <v>-0.79950284957885709</v>
      </c>
      <c r="H556" s="6">
        <v>-0.11682798713445701</v>
      </c>
      <c r="I556" s="6">
        <v>-0.84404605627059903</v>
      </c>
      <c r="J556" s="6">
        <v>0.82176834344863903</v>
      </c>
      <c r="K556" s="6">
        <v>-0.94800752401351907</v>
      </c>
      <c r="L556" s="6">
        <v>0.51337397098541304</v>
      </c>
      <c r="M556" s="6">
        <v>-0.251072287559509</v>
      </c>
      <c r="N556" s="6">
        <v>0.94566107684450607</v>
      </c>
      <c r="O556" s="6">
        <v>0.88780604514302208</v>
      </c>
      <c r="P556" s="6">
        <v>0.90116125701722904</v>
      </c>
      <c r="Q556" s="6">
        <v>0.88293134941213303</v>
      </c>
      <c r="R556" s="6">
        <v>6.9149347904405776</v>
      </c>
      <c r="S556" s="6">
        <v>12.409070931485989</v>
      </c>
      <c r="T556" s="6"/>
      <c r="U556" s="6" t="str">
        <f>_xll.BDP($A556,"TRAILING_12M_R&amp;D_%_SALES",$A$1,$A$2)</f>
        <v>#N/A N/A</v>
      </c>
      <c r="V556" s="6">
        <v>55</v>
      </c>
      <c r="W556" s="6">
        <v>551050</v>
      </c>
      <c r="X556" s="6">
        <v>55105010</v>
      </c>
      <c r="Y556" s="7" t="s">
        <v>154</v>
      </c>
      <c r="Z556" s="7" t="s">
        <v>1829</v>
      </c>
      <c r="AA556" s="7" t="s">
        <v>1830</v>
      </c>
      <c r="AB556" s="6">
        <v>66.05975341796875</v>
      </c>
      <c r="AC556" s="6">
        <v>0.35235875262824001</v>
      </c>
      <c r="AD556" s="6">
        <v>2.3605376084321561</v>
      </c>
      <c r="AE556" s="6">
        <v>18310</v>
      </c>
      <c r="AF556" s="6">
        <v>19106</v>
      </c>
    </row>
    <row r="557" spans="1:32" s="4" customFormat="1" ht="12.75" x14ac:dyDescent="0.2">
      <c r="A557" s="7" t="s">
        <v>1834</v>
      </c>
      <c r="B557" s="7" t="s">
        <v>1835</v>
      </c>
      <c r="C557" s="7" t="s">
        <v>1836</v>
      </c>
      <c r="D557" s="6">
        <v>0.97904694080352805</v>
      </c>
      <c r="E557" s="6">
        <v>-0.96026831865310702</v>
      </c>
      <c r="F557" s="6">
        <v>-1.319731593132019</v>
      </c>
      <c r="G557" s="6">
        <v>-0.62691777944564808</v>
      </c>
      <c r="H557" s="6">
        <v>-1.104497909545898</v>
      </c>
      <c r="I557" s="6">
        <v>-0.48347923159599304</v>
      </c>
      <c r="J557" s="6">
        <v>1.01213550567627</v>
      </c>
      <c r="K557" s="6">
        <v>-0.75846129655838002</v>
      </c>
      <c r="L557" s="6">
        <v>1.421325087547302</v>
      </c>
      <c r="M557" s="6">
        <v>-0.99553978443145807</v>
      </c>
      <c r="N557" s="6">
        <v>1.577093328841886</v>
      </c>
      <c r="O557" s="6">
        <v>3.236580059521005</v>
      </c>
      <c r="P557" s="6">
        <v>1.7007120591461491</v>
      </c>
      <c r="Q557" s="6">
        <v>1.575518309306728</v>
      </c>
      <c r="R557" s="6">
        <v>12.608629275386365</v>
      </c>
      <c r="S557" s="6">
        <v>11.485220056360657</v>
      </c>
      <c r="T557" s="6">
        <v>13.795815467834473</v>
      </c>
      <c r="U557" s="6" t="str">
        <f>_xll.BDP($A557,"TRAILING_12M_R&amp;D_%_SALES",$A$1,$A$2)</f>
        <v>#N/A N/A</v>
      </c>
      <c r="V557" s="6">
        <v>40</v>
      </c>
      <c r="W557" s="6">
        <v>401010</v>
      </c>
      <c r="X557" s="6">
        <v>40101010</v>
      </c>
      <c r="Y557" s="7" t="s">
        <v>43</v>
      </c>
      <c r="Z557" s="7" t="s">
        <v>67</v>
      </c>
      <c r="AA557" s="7" t="s">
        <v>68</v>
      </c>
      <c r="AB557" s="6">
        <v>53.837642669677734</v>
      </c>
      <c r="AC557" s="6">
        <v>0.9085072179119571</v>
      </c>
      <c r="AD557" s="6">
        <v>11.016367641401835</v>
      </c>
      <c r="AE557" s="6">
        <v>91398</v>
      </c>
      <c r="AF557" s="6">
        <v>81870</v>
      </c>
    </row>
    <row r="558" spans="1:32" s="4" customFormat="1" ht="12.75" x14ac:dyDescent="0.2">
      <c r="A558" s="7" t="s">
        <v>1837</v>
      </c>
      <c r="B558" s="7" t="s">
        <v>1838</v>
      </c>
      <c r="C558" s="7" t="s">
        <v>1839</v>
      </c>
      <c r="D558" s="6">
        <v>-0.94820654392242409</v>
      </c>
      <c r="E558" s="6">
        <v>-0.6055328845977781</v>
      </c>
      <c r="F558" s="6">
        <v>3.0000524520874019</v>
      </c>
      <c r="G558" s="6">
        <v>-0.75199812650680509</v>
      </c>
      <c r="H558" s="6">
        <v>0.76641100645065308</v>
      </c>
      <c r="I558" s="6">
        <v>3.0000865459442139</v>
      </c>
      <c r="J558" s="6">
        <v>0.13931366801261902</v>
      </c>
      <c r="K558" s="6">
        <v>-0.61096203327178999</v>
      </c>
      <c r="L558" s="6">
        <v>-0.72281217575073209</v>
      </c>
      <c r="M558" s="6">
        <v>0.33470827341079701</v>
      </c>
      <c r="N558" s="6">
        <v>1.6216215972154759</v>
      </c>
      <c r="O558" s="6">
        <v>1.5783806281082331</v>
      </c>
      <c r="P558" s="6"/>
      <c r="Q558" s="6"/>
      <c r="R558" s="6">
        <v>15.182293931957407</v>
      </c>
      <c r="S558" s="6">
        <v>24.512987093634244</v>
      </c>
      <c r="T558" s="6"/>
      <c r="U558" s="6">
        <f>_xll.BDP($A558,"TRAILING_12M_R&amp;D_%_SALES",$A$1,$A$2)</f>
        <v>1.0735628536675657</v>
      </c>
      <c r="V558" s="6">
        <v>20</v>
      </c>
      <c r="W558" s="6">
        <v>201010</v>
      </c>
      <c r="X558" s="6">
        <v>20101010</v>
      </c>
      <c r="Y558" s="7" t="s">
        <v>38</v>
      </c>
      <c r="Z558" s="7" t="s">
        <v>292</v>
      </c>
      <c r="AA558" s="7" t="s">
        <v>292</v>
      </c>
      <c r="AB558" s="6">
        <v>52.871944427490234</v>
      </c>
      <c r="AC558" s="6">
        <v>0.90087095058960909</v>
      </c>
      <c r="AD558" s="6">
        <v>246.3636236545471</v>
      </c>
      <c r="AE558" s="6">
        <v>41800</v>
      </c>
      <c r="AF558" s="6">
        <v>50000</v>
      </c>
    </row>
    <row r="559" spans="1:32" s="4" customFormat="1" ht="12.75" x14ac:dyDescent="0.2">
      <c r="A559" s="7" t="s">
        <v>1840</v>
      </c>
      <c r="B559" s="7" t="s">
        <v>1841</v>
      </c>
      <c r="C559" s="7" t="s">
        <v>1842</v>
      </c>
      <c r="D559" s="6">
        <v>-0.94820654392242409</v>
      </c>
      <c r="E559" s="6">
        <v>-0.6055328845977781</v>
      </c>
      <c r="F559" s="6">
        <v>3.0000524520874019</v>
      </c>
      <c r="G559" s="6">
        <v>-0.75199812650680509</v>
      </c>
      <c r="H559" s="6">
        <v>0.76641100645065308</v>
      </c>
      <c r="I559" s="6">
        <v>3.0000865459442139</v>
      </c>
      <c r="J559" s="6">
        <v>0.13931366801261902</v>
      </c>
      <c r="K559" s="6">
        <v>-0.61096203327178999</v>
      </c>
      <c r="L559" s="6">
        <v>-0.72281217575073209</v>
      </c>
      <c r="M559" s="6">
        <v>0.33470827341079701</v>
      </c>
      <c r="N559" s="6">
        <v>1.6216215972154759</v>
      </c>
      <c r="O559" s="6">
        <v>1.5659525223200932</v>
      </c>
      <c r="P559" s="6"/>
      <c r="Q559" s="6"/>
      <c r="R559" s="6">
        <v>15.182293931957407</v>
      </c>
      <c r="S559" s="6">
        <v>8.3458342630725397</v>
      </c>
      <c r="T559" s="6"/>
      <c r="U559" s="6">
        <f>_xll.BDP($A559,"TRAILING_12M_R&amp;D_%_SALES",$A$1,$A$2)</f>
        <v>1.0735628536675657</v>
      </c>
      <c r="V559" s="6">
        <v>20</v>
      </c>
      <c r="W559" s="6">
        <v>201010</v>
      </c>
      <c r="X559" s="6">
        <v>20101010</v>
      </c>
      <c r="Y559" s="7" t="s">
        <v>38</v>
      </c>
      <c r="Z559" s="7" t="s">
        <v>292</v>
      </c>
      <c r="AA559" s="7" t="s">
        <v>292</v>
      </c>
      <c r="AB559" s="6">
        <v>52.871944427490234</v>
      </c>
      <c r="AC559" s="6">
        <v>1.046786953379053</v>
      </c>
      <c r="AD559" s="6">
        <v>249.99998344315492</v>
      </c>
      <c r="AE559" s="6">
        <v>41800</v>
      </c>
      <c r="AF559" s="6">
        <v>50000</v>
      </c>
    </row>
    <row r="560" spans="1:32" s="4" customFormat="1" ht="12.75" x14ac:dyDescent="0.2">
      <c r="A560" s="7" t="s">
        <v>1843</v>
      </c>
      <c r="B560" s="7" t="s">
        <v>1844</v>
      </c>
      <c r="C560" s="7" t="s">
        <v>1845</v>
      </c>
      <c r="D560" s="6">
        <v>-0.92526340484619107</v>
      </c>
      <c r="E560" s="6">
        <v>-2.5278666019439702</v>
      </c>
      <c r="F560" s="6">
        <v>6.1506196856499003E-2</v>
      </c>
      <c r="G560" s="6">
        <v>1.199790954589844</v>
      </c>
      <c r="H560" s="6">
        <v>1.213368892669678</v>
      </c>
      <c r="I560" s="6">
        <v>-2.2152073383331299</v>
      </c>
      <c r="J560" s="6">
        <v>-0.85780012607574507</v>
      </c>
      <c r="K560" s="6">
        <v>-0.77884888648986805</v>
      </c>
      <c r="L560" s="6">
        <v>-1.0281074047088621</v>
      </c>
      <c r="M560" s="6">
        <v>0.10586340725421901</v>
      </c>
      <c r="N560" s="6">
        <v>0.25958601230923101</v>
      </c>
      <c r="O560" s="6"/>
      <c r="P560" s="6">
        <v>1.303185706108984</v>
      </c>
      <c r="Q560" s="6"/>
      <c r="R560" s="6"/>
      <c r="S560" s="6"/>
      <c r="T560" s="6">
        <v>0.37798300385475203</v>
      </c>
      <c r="U560" s="6">
        <f>_xll.BDP($A560,"TRAILING_12M_R&amp;D_%_SALES",$A$1,$A$2)</f>
        <v>0.22681971269503057</v>
      </c>
      <c r="V560" s="6">
        <v>10</v>
      </c>
      <c r="W560" s="6">
        <v>101010</v>
      </c>
      <c r="X560" s="6">
        <v>10101020</v>
      </c>
      <c r="Y560" s="7" t="s">
        <v>387</v>
      </c>
      <c r="Z560" s="7" t="s">
        <v>388</v>
      </c>
      <c r="AA560" s="7" t="s">
        <v>389</v>
      </c>
      <c r="AB560" s="6">
        <v>80.847000122070313</v>
      </c>
      <c r="AC560" s="6"/>
      <c r="AD560" s="6"/>
      <c r="AE560" s="6">
        <v>29583</v>
      </c>
      <c r="AF560" s="6">
        <v>33936</v>
      </c>
    </row>
    <row r="561" spans="1:32" s="4" customFormat="1" ht="12.75" x14ac:dyDescent="0.2">
      <c r="A561" s="7" t="s">
        <v>1846</v>
      </c>
      <c r="B561" s="7" t="s">
        <v>1847</v>
      </c>
      <c r="C561" s="7" t="s">
        <v>1848</v>
      </c>
      <c r="D561" s="6">
        <v>0.90378218889236506</v>
      </c>
      <c r="E561" s="6">
        <v>-1.020632743835449</v>
      </c>
      <c r="F561" s="6">
        <v>0.19772115349769601</v>
      </c>
      <c r="G561" s="6">
        <v>-0.79982298612594604</v>
      </c>
      <c r="H561" s="6">
        <v>1.396833658218384</v>
      </c>
      <c r="I561" s="6">
        <v>0.7033195495605471</v>
      </c>
      <c r="J561" s="6">
        <v>2.8667666912078862</v>
      </c>
      <c r="K561" s="6">
        <v>-0.99885046482086204</v>
      </c>
      <c r="L561" s="6">
        <v>0.74205154180526711</v>
      </c>
      <c r="M561" s="6">
        <v>-0.78549301624298107</v>
      </c>
      <c r="N561" s="6">
        <v>0.536008670206781</v>
      </c>
      <c r="O561" s="6">
        <v>1.013578768663429</v>
      </c>
      <c r="P561" s="6">
        <v>0.64904232473873302</v>
      </c>
      <c r="Q561" s="6">
        <v>0.59179202583135104</v>
      </c>
      <c r="R561" s="6">
        <v>6.1959016579056394</v>
      </c>
      <c r="S561" s="6">
        <v>5.3697705366632746</v>
      </c>
      <c r="T561" s="6">
        <v>11.264442443847656</v>
      </c>
      <c r="U561" s="6" t="str">
        <f>_xll.BDP($A561,"TRAILING_12M_R&amp;D_%_SALES",$A$1,$A$2)</f>
        <v>#N/A N/A</v>
      </c>
      <c r="V561" s="6">
        <v>40</v>
      </c>
      <c r="W561" s="6">
        <v>401010</v>
      </c>
      <c r="X561" s="6">
        <v>40101010</v>
      </c>
      <c r="Y561" s="7" t="s">
        <v>43</v>
      </c>
      <c r="Z561" s="7" t="s">
        <v>67</v>
      </c>
      <c r="AA561" s="7" t="s">
        <v>68</v>
      </c>
      <c r="AB561" s="6">
        <v>61.341915130615234</v>
      </c>
      <c r="AC561" s="6">
        <v>1.189138208386789</v>
      </c>
      <c r="AD561" s="6">
        <v>44.774929761170476</v>
      </c>
      <c r="AE561" s="6">
        <v>206462</v>
      </c>
      <c r="AF561" s="6">
        <v>202251</v>
      </c>
    </row>
    <row r="562" spans="1:32" s="4" customFormat="1" ht="12.75" x14ac:dyDescent="0.2">
      <c r="A562" s="7" t="s">
        <v>1849</v>
      </c>
      <c r="B562" s="7" t="s">
        <v>1850</v>
      </c>
      <c r="C562" s="7" t="s">
        <v>1851</v>
      </c>
      <c r="D562" s="6">
        <v>-0.78298914432525601</v>
      </c>
      <c r="E562" s="6">
        <v>-0.73114252090454102</v>
      </c>
      <c r="F562" s="6">
        <v>-0.25562977790832503</v>
      </c>
      <c r="G562" s="6">
        <v>-0.93415218591690108</v>
      </c>
      <c r="H562" s="6">
        <v>-0.17499092221260101</v>
      </c>
      <c r="I562" s="6">
        <v>0.41568964719772306</v>
      </c>
      <c r="J562" s="6">
        <v>2.0671699047088619</v>
      </c>
      <c r="K562" s="6">
        <v>-0.89396470785141002</v>
      </c>
      <c r="L562" s="6">
        <v>2.7215638160705571</v>
      </c>
      <c r="M562" s="6">
        <v>-0.97932380437851008</v>
      </c>
      <c r="N562" s="6">
        <v>1.9175586592329981</v>
      </c>
      <c r="O562" s="6">
        <v>1.8981482966660219</v>
      </c>
      <c r="P562" s="6">
        <v>1.4941506122843391</v>
      </c>
      <c r="Q562" s="6">
        <v>1.277958777839435</v>
      </c>
      <c r="R562" s="6">
        <v>8.6889352598907763</v>
      </c>
      <c r="S562" s="6">
        <v>7.2515540257553983</v>
      </c>
      <c r="T562" s="6">
        <v>18.184541702270508</v>
      </c>
      <c r="U562" s="6" t="str">
        <f>_xll.BDP($A562,"TRAILING_12M_R&amp;D_%_SALES",$A$1,$A$2)</f>
        <v>#N/A N/A</v>
      </c>
      <c r="V562" s="6">
        <v>40</v>
      </c>
      <c r="W562" s="6">
        <v>401010</v>
      </c>
      <c r="X562" s="6">
        <v>40101010</v>
      </c>
      <c r="Y562" s="7" t="s">
        <v>43</v>
      </c>
      <c r="Z562" s="7" t="s">
        <v>67</v>
      </c>
      <c r="AA562" s="7" t="s">
        <v>68</v>
      </c>
      <c r="AB562" s="6">
        <v>63.172718048095703</v>
      </c>
      <c r="AC562" s="6">
        <v>0.32116690452940405</v>
      </c>
      <c r="AD562" s="6">
        <v>13.177688803906751</v>
      </c>
      <c r="AE562" s="6">
        <v>49325</v>
      </c>
      <c r="AF562" s="6">
        <v>54558</v>
      </c>
    </row>
    <row r="563" spans="1:32" s="4" customFormat="1" ht="12.75" x14ac:dyDescent="0.2">
      <c r="A563" s="7" t="s">
        <v>1852</v>
      </c>
      <c r="B563" s="7" t="s">
        <v>1853</v>
      </c>
      <c r="C563" s="7" t="s">
        <v>1854</v>
      </c>
      <c r="D563" s="6">
        <v>0.49834483861923201</v>
      </c>
      <c r="E563" s="6">
        <v>-0.76774340867996205</v>
      </c>
      <c r="F563" s="6">
        <v>-0.77552998065948509</v>
      </c>
      <c r="G563" s="6">
        <v>-0.99231576919555708</v>
      </c>
      <c r="H563" s="6">
        <v>0.44073405861854603</v>
      </c>
      <c r="I563" s="6">
        <v>-0.10761222243309</v>
      </c>
      <c r="J563" s="6">
        <v>1.028183221817017</v>
      </c>
      <c r="K563" s="6">
        <v>-0.36827284097671503</v>
      </c>
      <c r="L563" s="6">
        <v>0.254139363765717</v>
      </c>
      <c r="M563" s="6">
        <v>-0.82893937826156605</v>
      </c>
      <c r="N563" s="6">
        <v>1.0586684485307289</v>
      </c>
      <c r="O563" s="6"/>
      <c r="P563" s="6">
        <v>1.40131543545936</v>
      </c>
      <c r="Q563" s="6"/>
      <c r="R563" s="6">
        <v>8.3924359976229272</v>
      </c>
      <c r="S563" s="6"/>
      <c r="T563" s="6">
        <v>18.395118713378906</v>
      </c>
      <c r="U563" s="6" t="str">
        <f>_xll.BDP($A563,"TRAILING_12M_R&amp;D_%_SALES",$A$1,$A$2)</f>
        <v>#N/A N/A</v>
      </c>
      <c r="V563" s="6">
        <v>40</v>
      </c>
      <c r="W563" s="6">
        <v>401010</v>
      </c>
      <c r="X563" s="6">
        <v>40101010</v>
      </c>
      <c r="Y563" s="7" t="s">
        <v>43</v>
      </c>
      <c r="Z563" s="7" t="s">
        <v>67</v>
      </c>
      <c r="AA563" s="7" t="s">
        <v>68</v>
      </c>
      <c r="AB563" s="6"/>
      <c r="AC563" s="6">
        <v>0.35649884801150705</v>
      </c>
      <c r="AD563" s="6"/>
      <c r="AE563" s="6">
        <v>235858</v>
      </c>
      <c r="AF563" s="6">
        <v>209567</v>
      </c>
    </row>
    <row r="564" spans="1:32" s="4" customFormat="1" ht="12.75" x14ac:dyDescent="0.2">
      <c r="A564" s="7" t="s">
        <v>1855</v>
      </c>
      <c r="B564" s="7" t="s">
        <v>1853</v>
      </c>
      <c r="C564" s="7" t="s">
        <v>1856</v>
      </c>
      <c r="D564" s="6">
        <v>0.69825512170791604</v>
      </c>
      <c r="E564" s="6">
        <v>-0.75659847259521507</v>
      </c>
      <c r="F564" s="6">
        <v>2.1145820617675781</v>
      </c>
      <c r="G564" s="6">
        <v>-0.91143381595611606</v>
      </c>
      <c r="H564" s="6">
        <v>0.72250711917877208</v>
      </c>
      <c r="I564" s="6">
        <v>-0.44291520118713401</v>
      </c>
      <c r="J564" s="6">
        <v>2.5358893871307373</v>
      </c>
      <c r="K564" s="6">
        <v>-0.21478433907032002</v>
      </c>
      <c r="L564" s="6">
        <v>-0.26912662386894204</v>
      </c>
      <c r="M564" s="6">
        <v>-0.83933407068252608</v>
      </c>
      <c r="N564" s="6">
        <v>1.0586684485307289</v>
      </c>
      <c r="O564" s="6"/>
      <c r="P564" s="6">
        <v>1.40131543545936</v>
      </c>
      <c r="Q564" s="6"/>
      <c r="R564" s="6">
        <v>8.3924359976229272</v>
      </c>
      <c r="S564" s="6"/>
      <c r="T564" s="6">
        <v>18.395118713378906</v>
      </c>
      <c r="U564" s="6" t="str">
        <f>_xll.BDP($A564,"TRAILING_12M_R&amp;D_%_SALES",$A$1,$A$2)</f>
        <v>#N/A N/A</v>
      </c>
      <c r="V564" s="6">
        <v>40</v>
      </c>
      <c r="W564" s="6">
        <v>401010</v>
      </c>
      <c r="X564" s="6">
        <v>40101010</v>
      </c>
      <c r="Y564" s="7" t="s">
        <v>43</v>
      </c>
      <c r="Z564" s="7" t="s">
        <v>67</v>
      </c>
      <c r="AA564" s="7" t="s">
        <v>68</v>
      </c>
      <c r="AB564" s="6"/>
      <c r="AC564" s="6"/>
      <c r="AD564" s="6"/>
      <c r="AE564" s="6">
        <v>235858</v>
      </c>
      <c r="AF564" s="6">
        <v>209567</v>
      </c>
    </row>
    <row r="565" spans="1:32" s="4" customFormat="1" ht="12.75" x14ac:dyDescent="0.2">
      <c r="A565" s="7" t="s">
        <v>1857</v>
      </c>
      <c r="B565" s="7" t="s">
        <v>1858</v>
      </c>
      <c r="C565" s="7" t="s">
        <v>1859</v>
      </c>
      <c r="D565" s="6">
        <v>-0.35134458541870101</v>
      </c>
      <c r="E565" s="6">
        <v>-4.3566476553679005E-2</v>
      </c>
      <c r="F565" s="6">
        <v>0.12821513414382901</v>
      </c>
      <c r="G565" s="6">
        <v>-0.16035763919353502</v>
      </c>
      <c r="H565" s="6">
        <v>1.6657049655914311</v>
      </c>
      <c r="I565" s="6">
        <v>-0.41924089193344105</v>
      </c>
      <c r="J565" s="6">
        <v>-0.26100927591323902</v>
      </c>
      <c r="K565" s="6">
        <v>-2.1947307512164001E-2</v>
      </c>
      <c r="L565" s="6">
        <v>0.41132357716560403</v>
      </c>
      <c r="M565" s="6">
        <v>0.92822062969207808</v>
      </c>
      <c r="N565" s="6">
        <v>3.0639165050070418</v>
      </c>
      <c r="O565" s="6">
        <v>2.6891312268280081</v>
      </c>
      <c r="P565" s="6"/>
      <c r="Q565" s="6"/>
      <c r="R565" s="6">
        <v>27.067640208305718</v>
      </c>
      <c r="S565" s="6">
        <v>22.347443861045519</v>
      </c>
      <c r="T565" s="6"/>
      <c r="U565" s="6">
        <f>_xll.BDP($A565,"TRAILING_12M_R&amp;D_%_SALES",$A$1,$A$2)</f>
        <v>0</v>
      </c>
      <c r="V565" s="6">
        <v>25</v>
      </c>
      <c r="W565" s="6">
        <v>253010</v>
      </c>
      <c r="X565" s="6">
        <v>25301040</v>
      </c>
      <c r="Y565" s="7" t="s">
        <v>85</v>
      </c>
      <c r="Z565" s="7" t="s">
        <v>86</v>
      </c>
      <c r="AA565" s="7" t="s">
        <v>1406</v>
      </c>
      <c r="AB565" s="6">
        <v>53.053012847900391</v>
      </c>
      <c r="AC565" s="6">
        <v>0.9613862384157571</v>
      </c>
      <c r="AD565" s="6">
        <v>-1.7509782763738819</v>
      </c>
      <c r="AE565" s="6">
        <v>381000</v>
      </c>
      <c r="AF565" s="6">
        <v>291000</v>
      </c>
    </row>
    <row r="566" spans="1:32" s="4" customFormat="1" ht="12.75" x14ac:dyDescent="0.2">
      <c r="A566" s="7" t="s">
        <v>1860</v>
      </c>
      <c r="B566" s="7" t="s">
        <v>1861</v>
      </c>
      <c r="C566" s="7" t="s">
        <v>1862</v>
      </c>
      <c r="D566" s="6">
        <v>8.9927360415459012E-2</v>
      </c>
      <c r="E566" s="6">
        <v>-1.1238653659820561</v>
      </c>
      <c r="F566" s="6">
        <v>0.10330141335725801</v>
      </c>
      <c r="G566" s="6">
        <v>-0.98693972826004006</v>
      </c>
      <c r="H566" s="6">
        <v>1.171054482460022</v>
      </c>
      <c r="I566" s="6">
        <v>0.24364151060581202</v>
      </c>
      <c r="J566" s="6">
        <v>2.558430671691895</v>
      </c>
      <c r="K566" s="6">
        <v>-0.81126046180725109</v>
      </c>
      <c r="L566" s="6">
        <v>0.27632057666778603</v>
      </c>
      <c r="M566" s="6">
        <v>-0.97296655178070113</v>
      </c>
      <c r="N566" s="6">
        <v>0.68850514909156402</v>
      </c>
      <c r="O566" s="6">
        <v>1.178635574434723</v>
      </c>
      <c r="P566" s="6">
        <v>0.53802526057411504</v>
      </c>
      <c r="Q566" s="6">
        <v>0.47226331963004503</v>
      </c>
      <c r="R566" s="6">
        <v>13.244271385834333</v>
      </c>
      <c r="S566" s="6">
        <v>5.4715126480513847</v>
      </c>
      <c r="T566" s="6">
        <v>4.2526350021362305</v>
      </c>
      <c r="U566" s="6" t="str">
        <f>_xll.BDP($A566,"TRAILING_12M_R&amp;D_%_SALES",$A$1,$A$2)</f>
        <v>#N/A N/A</v>
      </c>
      <c r="V566" s="6">
        <v>40</v>
      </c>
      <c r="W566" s="6">
        <v>401010</v>
      </c>
      <c r="X566" s="6">
        <v>40101010</v>
      </c>
      <c r="Y566" s="7" t="s">
        <v>43</v>
      </c>
      <c r="Z566" s="7" t="s">
        <v>67</v>
      </c>
      <c r="AA566" s="7" t="s">
        <v>68</v>
      </c>
      <c r="AB566" s="6">
        <v>65.46624755859375</v>
      </c>
      <c r="AC566" s="6">
        <v>0.100186122483209</v>
      </c>
      <c r="AD566" s="6">
        <v>13.849948275435242</v>
      </c>
      <c r="AE566" s="6">
        <v>83266</v>
      </c>
      <c r="AF566" s="6">
        <v>86000</v>
      </c>
    </row>
    <row r="567" spans="1:32" s="4" customFormat="1" ht="12.75" x14ac:dyDescent="0.2">
      <c r="A567" s="7" t="s">
        <v>1863</v>
      </c>
      <c r="B567" s="7" t="s">
        <v>1864</v>
      </c>
      <c r="C567" s="7" t="s">
        <v>1865</v>
      </c>
      <c r="D567" s="6">
        <v>8.9927360415459012E-2</v>
      </c>
      <c r="E567" s="6">
        <v>-1.1238653659820561</v>
      </c>
      <c r="F567" s="6">
        <v>0.10330141335725801</v>
      </c>
      <c r="G567" s="6">
        <v>-0.98693972826004006</v>
      </c>
      <c r="H567" s="6">
        <v>1.171054482460022</v>
      </c>
      <c r="I567" s="6">
        <v>0.24364151060581202</v>
      </c>
      <c r="J567" s="6">
        <v>2.558430671691895</v>
      </c>
      <c r="K567" s="6">
        <v>-0.81126046180725109</v>
      </c>
      <c r="L567" s="6">
        <v>0.27632057666778603</v>
      </c>
      <c r="M567" s="6">
        <v>-0.97296655178070113</v>
      </c>
      <c r="N567" s="6">
        <v>0.68850514909156402</v>
      </c>
      <c r="O567" s="6"/>
      <c r="P567" s="6">
        <v>0.53802526057411504</v>
      </c>
      <c r="Q567" s="6"/>
      <c r="R567" s="6">
        <v>13.244271385834333</v>
      </c>
      <c r="S567" s="6"/>
      <c r="T567" s="6">
        <v>4.2526350021362305</v>
      </c>
      <c r="U567" s="6" t="str">
        <f>_xll.BDP($A567,"TRAILING_12M_R&amp;D_%_SALES",$A$1,$A$2)</f>
        <v>#N/A N/A</v>
      </c>
      <c r="V567" s="6">
        <v>40</v>
      </c>
      <c r="W567" s="6">
        <v>401010</v>
      </c>
      <c r="X567" s="6">
        <v>40101010</v>
      </c>
      <c r="Y567" s="7" t="s">
        <v>43</v>
      </c>
      <c r="Z567" s="7" t="s">
        <v>67</v>
      </c>
      <c r="AA567" s="7" t="s">
        <v>68</v>
      </c>
      <c r="AB567" s="6">
        <v>65.46624755859375</v>
      </c>
      <c r="AC567" s="6">
        <v>0.85783042068309512</v>
      </c>
      <c r="AD567" s="6">
        <v>12.7451355446206</v>
      </c>
      <c r="AE567" s="6">
        <v>83266</v>
      </c>
      <c r="AF567" s="6">
        <v>86000</v>
      </c>
    </row>
    <row r="568" spans="1:32" s="4" customFormat="1" ht="12.75" x14ac:dyDescent="0.2">
      <c r="A568" s="7" t="s">
        <v>1866</v>
      </c>
      <c r="B568" s="7" t="s">
        <v>1867</v>
      </c>
      <c r="C568" s="7" t="s">
        <v>1868</v>
      </c>
      <c r="D568" s="6">
        <v>0.17684110999107402</v>
      </c>
      <c r="E568" s="6">
        <v>-1.121479272842407</v>
      </c>
      <c r="F568" s="6">
        <v>3.5654529929161002E-2</v>
      </c>
      <c r="G568" s="6">
        <v>-0.36559426784515403</v>
      </c>
      <c r="H568" s="6">
        <v>1.2334563732147221</v>
      </c>
      <c r="I568" s="6">
        <v>-0.19600051641464203</v>
      </c>
      <c r="J568" s="6">
        <v>3.0000147819519039</v>
      </c>
      <c r="K568" s="6">
        <v>-0.91489750146865811</v>
      </c>
      <c r="L568" s="6">
        <v>2.713610172271729</v>
      </c>
      <c r="M568" s="6">
        <v>-1.030387163162231</v>
      </c>
      <c r="N568" s="6">
        <v>0.74432847421298809</v>
      </c>
      <c r="O568" s="6">
        <v>0.71139955453492709</v>
      </c>
      <c r="P568" s="6">
        <v>0.28100111829174401</v>
      </c>
      <c r="Q568" s="6">
        <v>0.32327001262456401</v>
      </c>
      <c r="R568" s="6">
        <v>6.7699168120382982</v>
      </c>
      <c r="S568" s="6">
        <v>5.07553699479526</v>
      </c>
      <c r="T568" s="6">
        <v>4.4200382232666016</v>
      </c>
      <c r="U568" s="6" t="str">
        <f>_xll.BDP($A568,"TRAILING_12M_R&amp;D_%_SALES",$A$1,$A$2)</f>
        <v>#N/A N/A</v>
      </c>
      <c r="V568" s="6">
        <v>40</v>
      </c>
      <c r="W568" s="6">
        <v>401010</v>
      </c>
      <c r="X568" s="6">
        <v>40101010</v>
      </c>
      <c r="Y568" s="7" t="s">
        <v>43</v>
      </c>
      <c r="Z568" s="7" t="s">
        <v>67</v>
      </c>
      <c r="AA568" s="7" t="s">
        <v>68</v>
      </c>
      <c r="AB568" s="6">
        <v>62.378028869628906</v>
      </c>
      <c r="AC568" s="6">
        <v>0.75387871703264109</v>
      </c>
      <c r="AD568" s="6">
        <v>12.790225027928482</v>
      </c>
      <c r="AE568" s="6">
        <v>117000</v>
      </c>
      <c r="AF568" s="6">
        <v>147125</v>
      </c>
    </row>
    <row r="569" spans="1:32" s="4" customFormat="1" ht="12.75" x14ac:dyDescent="0.2">
      <c r="A569" s="7" t="s">
        <v>1869</v>
      </c>
      <c r="B569" s="7" t="s">
        <v>1870</v>
      </c>
      <c r="C569" s="7" t="s">
        <v>1871</v>
      </c>
      <c r="D569" s="6">
        <v>0.17684110999107402</v>
      </c>
      <c r="E569" s="6">
        <v>-1.121479272842407</v>
      </c>
      <c r="F569" s="6">
        <v>3.5654529929161002E-2</v>
      </c>
      <c r="G569" s="6">
        <v>-0.36559426784515403</v>
      </c>
      <c r="H569" s="6">
        <v>1.2334563732147221</v>
      </c>
      <c r="I569" s="6">
        <v>-0.19600051641464203</v>
      </c>
      <c r="J569" s="6">
        <v>3.0000147819519039</v>
      </c>
      <c r="K569" s="6">
        <v>-0.91489750146865811</v>
      </c>
      <c r="L569" s="6">
        <v>2.713610172271729</v>
      </c>
      <c r="M569" s="6">
        <v>-1.030387163162231</v>
      </c>
      <c r="N569" s="6">
        <v>0.74432847421298809</v>
      </c>
      <c r="O569" s="6">
        <v>0.72079815244565704</v>
      </c>
      <c r="P569" s="6">
        <v>0.28100111829174401</v>
      </c>
      <c r="Q569" s="6">
        <v>0.32783598597867103</v>
      </c>
      <c r="R569" s="6">
        <v>6.7699168120382982</v>
      </c>
      <c r="S569" s="6">
        <v>5.1472283698257826</v>
      </c>
      <c r="T569" s="6">
        <v>4.4200382232666016</v>
      </c>
      <c r="U569" s="6" t="str">
        <f>_xll.BDP($A569,"TRAILING_12M_R&amp;D_%_SALES",$A$1,$A$2)</f>
        <v>#N/A N/A</v>
      </c>
      <c r="V569" s="6">
        <v>40</v>
      </c>
      <c r="W569" s="6">
        <v>401010</v>
      </c>
      <c r="X569" s="6">
        <v>40101010</v>
      </c>
      <c r="Y569" s="7" t="s">
        <v>43</v>
      </c>
      <c r="Z569" s="7" t="s">
        <v>67</v>
      </c>
      <c r="AA569" s="7" t="s">
        <v>68</v>
      </c>
      <c r="AB569" s="6">
        <v>62.378028869628906</v>
      </c>
      <c r="AC569" s="6">
        <v>1.00198620579546</v>
      </c>
      <c r="AD569" s="6">
        <v>15.728513672907042</v>
      </c>
      <c r="AE569" s="6">
        <v>117000</v>
      </c>
      <c r="AF569" s="6">
        <v>147125</v>
      </c>
    </row>
    <row r="570" spans="1:32" s="4" customFormat="1" ht="12.75" x14ac:dyDescent="0.2">
      <c r="A570" s="7" t="s">
        <v>1872</v>
      </c>
      <c r="B570" s="7" t="s">
        <v>1873</v>
      </c>
      <c r="C570" s="7" t="s">
        <v>1874</v>
      </c>
      <c r="D570" s="6">
        <v>0.34360346198082004</v>
      </c>
      <c r="E570" s="6">
        <v>-0.147653117775917</v>
      </c>
      <c r="F570" s="6">
        <v>0.96803396940231312</v>
      </c>
      <c r="G570" s="6">
        <v>-0.155538305640221</v>
      </c>
      <c r="H570" s="6">
        <v>0.59777945280075107</v>
      </c>
      <c r="I570" s="6">
        <v>-1.145180940628052</v>
      </c>
      <c r="J570" s="6">
        <v>0.37204709649086004</v>
      </c>
      <c r="K570" s="6">
        <v>-0.219823554158211</v>
      </c>
      <c r="L570" s="6">
        <v>0.159128338098526</v>
      </c>
      <c r="M570" s="6">
        <v>-1.033091187477112</v>
      </c>
      <c r="N570" s="6">
        <v>4.9420224071314376</v>
      </c>
      <c r="O570" s="6">
        <v>6.0706629219744066</v>
      </c>
      <c r="P570" s="6">
        <v>4.4036350757783573</v>
      </c>
      <c r="Q570" s="6">
        <v>2.8391623990569239</v>
      </c>
      <c r="R570" s="6">
        <v>20.640690118944921</v>
      </c>
      <c r="S570" s="6">
        <v>18.380978490733334</v>
      </c>
      <c r="T570" s="6">
        <v>20.143152236938477</v>
      </c>
      <c r="U570" s="6" t="str">
        <f>_xll.BDP($A570,"TRAILING_12M_R&amp;D_%_SALES",$A$1,$A$2)</f>
        <v>#N/A N/A</v>
      </c>
      <c r="V570" s="6">
        <v>40</v>
      </c>
      <c r="W570" s="6">
        <v>402030</v>
      </c>
      <c r="X570" s="6">
        <v>40203020</v>
      </c>
      <c r="Y570" s="7" t="s">
        <v>43</v>
      </c>
      <c r="Z570" s="7" t="s">
        <v>212</v>
      </c>
      <c r="AA570" s="7" t="s">
        <v>1026</v>
      </c>
      <c r="AB570" s="6">
        <v>42.691883087158203</v>
      </c>
      <c r="AC570" s="6">
        <v>1.2215970167260859</v>
      </c>
      <c r="AD570" s="6">
        <v>-15.354643494219589</v>
      </c>
      <c r="AE570" s="6">
        <v>35300</v>
      </c>
      <c r="AF570" s="6">
        <v>17600</v>
      </c>
    </row>
    <row r="571" spans="1:32" s="4" customFormat="1" ht="12.75" x14ac:dyDescent="0.2">
      <c r="A571" s="7" t="s">
        <v>1875</v>
      </c>
      <c r="B571" s="7" t="s">
        <v>1876</v>
      </c>
      <c r="C571" s="7" t="s">
        <v>1877</v>
      </c>
      <c r="D571" s="6">
        <v>0.20409613847732502</v>
      </c>
      <c r="E571" s="6">
        <v>0.306780725717545</v>
      </c>
      <c r="F571" s="6">
        <v>2.5559484958649001E-2</v>
      </c>
      <c r="G571" s="6">
        <v>0.31227847933769204</v>
      </c>
      <c r="H571" s="6">
        <v>1.303752064704895</v>
      </c>
      <c r="I571" s="6">
        <v>0.30570507049560502</v>
      </c>
      <c r="J571" s="6">
        <v>0.98252081871032704</v>
      </c>
      <c r="K571" s="6">
        <v>-1.4228225946426392</v>
      </c>
      <c r="L571" s="6">
        <v>-0.39436554908752403</v>
      </c>
      <c r="M571" s="6">
        <v>-0.11567430198192601</v>
      </c>
      <c r="N571" s="6">
        <v>1.401568393789173</v>
      </c>
      <c r="O571" s="6">
        <v>1.3029139599905641</v>
      </c>
      <c r="P571" s="6">
        <v>0.96386056847896906</v>
      </c>
      <c r="Q571" s="6">
        <v>0.87702527354864102</v>
      </c>
      <c r="R571" s="6"/>
      <c r="S571" s="6">
        <v>48.75924829479748</v>
      </c>
      <c r="T571" s="6">
        <v>-21.760099411010742</v>
      </c>
      <c r="U571" s="6" t="str">
        <f>_xll.BDP($A571,"TRAILING_12M_R&amp;D_%_SALES",$A$1,$A$2)</f>
        <v>#N/A N/A</v>
      </c>
      <c r="V571" s="6">
        <v>50</v>
      </c>
      <c r="W571" s="6">
        <v>501020</v>
      </c>
      <c r="X571" s="6">
        <v>50102010</v>
      </c>
      <c r="Y571" s="7" t="s">
        <v>311</v>
      </c>
      <c r="Z571" s="7" t="s">
        <v>1264</v>
      </c>
      <c r="AA571" s="7" t="s">
        <v>1264</v>
      </c>
      <c r="AB571" s="6">
        <v>52.057136535644531</v>
      </c>
      <c r="AC571" s="6">
        <v>0.77614693091517906</v>
      </c>
      <c r="AD571" s="6">
        <v>5.2215500466426867</v>
      </c>
      <c r="AE571" s="6">
        <v>63339</v>
      </c>
      <c r="AF571" s="6">
        <v>74952</v>
      </c>
    </row>
    <row r="572" spans="1:32" s="4" customFormat="1" ht="12.75" x14ac:dyDescent="0.2">
      <c r="A572" s="7" t="s">
        <v>1878</v>
      </c>
      <c r="B572" s="7" t="s">
        <v>1879</v>
      </c>
      <c r="C572" s="7" t="s">
        <v>1880</v>
      </c>
      <c r="D572" s="6">
        <v>0.20409613847732502</v>
      </c>
      <c r="E572" s="6">
        <v>0.306780725717545</v>
      </c>
      <c r="F572" s="6">
        <v>2.5559484958649001E-2</v>
      </c>
      <c r="G572" s="6">
        <v>0.31227847933769204</v>
      </c>
      <c r="H572" s="6">
        <v>1.303752064704895</v>
      </c>
      <c r="I572" s="6">
        <v>0.30570507049560502</v>
      </c>
      <c r="J572" s="6">
        <v>0.98252081871032704</v>
      </c>
      <c r="K572" s="6">
        <v>-1.4228225946426392</v>
      </c>
      <c r="L572" s="6">
        <v>-0.39436554908752403</v>
      </c>
      <c r="M572" s="6">
        <v>-0.11567430198192601</v>
      </c>
      <c r="N572" s="6">
        <v>1.401568393789173</v>
      </c>
      <c r="O572" s="6">
        <v>1.379978643246683</v>
      </c>
      <c r="P572" s="6">
        <v>0.96386056847896906</v>
      </c>
      <c r="Q572" s="6">
        <v>0.51752913312973003</v>
      </c>
      <c r="R572" s="6"/>
      <c r="S572" s="6">
        <v>5.3259309277077254</v>
      </c>
      <c r="T572" s="6">
        <v>-21.760099411010742</v>
      </c>
      <c r="U572" s="6" t="str">
        <f>_xll.BDP($A572,"TRAILING_12M_R&amp;D_%_SALES",$A$1,$A$2)</f>
        <v>#N/A N/A</v>
      </c>
      <c r="V572" s="6">
        <v>50</v>
      </c>
      <c r="W572" s="6">
        <v>501020</v>
      </c>
      <c r="X572" s="6">
        <v>50102010</v>
      </c>
      <c r="Y572" s="7" t="s">
        <v>311</v>
      </c>
      <c r="Z572" s="7" t="s">
        <v>1264</v>
      </c>
      <c r="AA572" s="7" t="s">
        <v>1264</v>
      </c>
      <c r="AB572" s="6">
        <v>52.057136535644531</v>
      </c>
      <c r="AC572" s="6">
        <v>1.1350807519897099</v>
      </c>
      <c r="AD572" s="6">
        <v>4.0606825999293106</v>
      </c>
      <c r="AE572" s="6">
        <v>63339</v>
      </c>
      <c r="AF572" s="6">
        <v>74952</v>
      </c>
    </row>
    <row r="573" spans="1:32" s="4" customFormat="1" ht="12.75" x14ac:dyDescent="0.2">
      <c r="A573" s="7" t="s">
        <v>1881</v>
      </c>
      <c r="B573" s="7" t="s">
        <v>1882</v>
      </c>
      <c r="C573" s="7" t="s">
        <v>1883</v>
      </c>
      <c r="D573" s="6">
        <v>-0.78298914432525601</v>
      </c>
      <c r="E573" s="6">
        <v>-0.73114252090454102</v>
      </c>
      <c r="F573" s="6">
        <v>-0.25562977790832503</v>
      </c>
      <c r="G573" s="6">
        <v>-0.93415218591690108</v>
      </c>
      <c r="H573" s="6">
        <v>-0.17499092221260101</v>
      </c>
      <c r="I573" s="6">
        <v>0.41568964719772306</v>
      </c>
      <c r="J573" s="6">
        <v>2.0671699047088619</v>
      </c>
      <c r="K573" s="6">
        <v>-0.89396470785141002</v>
      </c>
      <c r="L573" s="6">
        <v>2.7215638160705571</v>
      </c>
      <c r="M573" s="6">
        <v>-0.97932380437851008</v>
      </c>
      <c r="N573" s="6">
        <v>1.9175586592329981</v>
      </c>
      <c r="O573" s="6"/>
      <c r="P573" s="6">
        <v>1.4941506122843391</v>
      </c>
      <c r="Q573" s="6"/>
      <c r="R573" s="6">
        <v>8.6889352598907763</v>
      </c>
      <c r="S573" s="6"/>
      <c r="T573" s="6">
        <v>18.184541702270508</v>
      </c>
      <c r="U573" s="6" t="str">
        <f>_xll.BDP($A573,"TRAILING_12M_R&amp;D_%_SALES",$A$1,$A$2)</f>
        <v>#N/A N/A</v>
      </c>
      <c r="V573" s="6">
        <v>40</v>
      </c>
      <c r="W573" s="6">
        <v>401010</v>
      </c>
      <c r="X573" s="6">
        <v>40101010</v>
      </c>
      <c r="Y573" s="7" t="s">
        <v>43</v>
      </c>
      <c r="Z573" s="7" t="s">
        <v>67</v>
      </c>
      <c r="AA573" s="7" t="s">
        <v>68</v>
      </c>
      <c r="AB573" s="6">
        <v>63.172718048095703</v>
      </c>
      <c r="AC573" s="6">
        <v>0.87304699610528802</v>
      </c>
      <c r="AD573" s="6">
        <v>23.078245260650299</v>
      </c>
      <c r="AE573" s="6">
        <v>49325</v>
      </c>
      <c r="AF573" s="6">
        <v>54558</v>
      </c>
    </row>
    <row r="574" spans="1:32" s="4" customFormat="1" ht="12.75" x14ac:dyDescent="0.2">
      <c r="A574" s="7" t="s">
        <v>1884</v>
      </c>
      <c r="B574" s="7" t="s">
        <v>1885</v>
      </c>
      <c r="C574" s="7" t="s">
        <v>1886</v>
      </c>
      <c r="D574" s="6">
        <v>-0.6404168009758</v>
      </c>
      <c r="E574" s="6">
        <v>2.5482820346951002E-2</v>
      </c>
      <c r="F574" s="6">
        <v>0.89655011892318703</v>
      </c>
      <c r="G574" s="6">
        <v>-0.75386953353881803</v>
      </c>
      <c r="H574" s="6">
        <v>-1.3636994361877441</v>
      </c>
      <c r="I574" s="6">
        <v>0.81676471233367909</v>
      </c>
      <c r="J574" s="6">
        <v>0.6421676874160771</v>
      </c>
      <c r="K574" s="6">
        <v>-0.28787183761596702</v>
      </c>
      <c r="L574" s="6">
        <v>0.35237303376197804</v>
      </c>
      <c r="M574" s="6">
        <v>-0.29870343208313005</v>
      </c>
      <c r="N574" s="6">
        <v>4.599800342813352</v>
      </c>
      <c r="O574" s="6">
        <v>4.527920840165252</v>
      </c>
      <c r="P574" s="6">
        <v>2.8068554539679669</v>
      </c>
      <c r="Q574" s="6">
        <v>2.6403023799095759</v>
      </c>
      <c r="R574" s="6">
        <v>19.337486314209542</v>
      </c>
      <c r="S574" s="6">
        <v>18.991810990419186</v>
      </c>
      <c r="T574" s="6">
        <v>15.433833122253418</v>
      </c>
      <c r="U574" s="6">
        <f>_xll.BDP($A574,"TRAILING_12M_R&amp;D_%_SALES",$A$1,$A$2)</f>
        <v>2.7110555474466449</v>
      </c>
      <c r="V574" s="6">
        <v>15</v>
      </c>
      <c r="W574" s="6">
        <v>151010</v>
      </c>
      <c r="X574" s="6">
        <v>15101050</v>
      </c>
      <c r="Y574" s="7" t="s">
        <v>61</v>
      </c>
      <c r="Z574" s="7" t="s">
        <v>250</v>
      </c>
      <c r="AA574" s="7" t="s">
        <v>727</v>
      </c>
      <c r="AB574" s="6">
        <v>60.366161346435547</v>
      </c>
      <c r="AC574" s="6">
        <v>0.52192432201535099</v>
      </c>
      <c r="AD574" s="6">
        <v>78.409408647109174</v>
      </c>
      <c r="AE574" s="6">
        <v>25717</v>
      </c>
      <c r="AF574" s="6">
        <v>20155</v>
      </c>
    </row>
    <row r="575" spans="1:32" s="4" customFormat="1" ht="12.75" x14ac:dyDescent="0.2">
      <c r="A575" s="7" t="s">
        <v>1887</v>
      </c>
      <c r="B575" s="7" t="s">
        <v>1888</v>
      </c>
      <c r="C575" s="7" t="s">
        <v>1889</v>
      </c>
      <c r="D575" s="6">
        <v>-0.6404168009758</v>
      </c>
      <c r="E575" s="6">
        <v>2.5482820346951002E-2</v>
      </c>
      <c r="F575" s="6">
        <v>0.89655011892318703</v>
      </c>
      <c r="G575" s="6">
        <v>-0.75386953353881803</v>
      </c>
      <c r="H575" s="6">
        <v>-1.3636994361877441</v>
      </c>
      <c r="I575" s="6">
        <v>0.81676471233367909</v>
      </c>
      <c r="J575" s="6">
        <v>0.6421676874160771</v>
      </c>
      <c r="K575" s="6">
        <v>-0.28787183761596702</v>
      </c>
      <c r="L575" s="6">
        <v>0.35237303376197804</v>
      </c>
      <c r="M575" s="6">
        <v>-0.29870343208313005</v>
      </c>
      <c r="N575" s="6">
        <v>4.599800342813352</v>
      </c>
      <c r="O575" s="6"/>
      <c r="P575" s="6">
        <v>2.8068554539679669</v>
      </c>
      <c r="Q575" s="6"/>
      <c r="R575" s="6">
        <v>19.337486314209542</v>
      </c>
      <c r="S575" s="6"/>
      <c r="T575" s="6">
        <v>15.433833122253418</v>
      </c>
      <c r="U575" s="6">
        <f>_xll.BDP($A575,"TRAILING_12M_R&amp;D_%_SALES",$A$1,$A$2)</f>
        <v>2.7110555474466449</v>
      </c>
      <c r="V575" s="6">
        <v>15</v>
      </c>
      <c r="W575" s="6">
        <v>151010</v>
      </c>
      <c r="X575" s="6">
        <v>15101050</v>
      </c>
      <c r="Y575" s="7" t="s">
        <v>61</v>
      </c>
      <c r="Z575" s="7" t="s">
        <v>250</v>
      </c>
      <c r="AA575" s="7" t="s">
        <v>727</v>
      </c>
      <c r="AB575" s="6">
        <v>60.366161346435547</v>
      </c>
      <c r="AC575" s="6">
        <v>0.81285625997859501</v>
      </c>
      <c r="AD575" s="6">
        <v>73.743010913463664</v>
      </c>
      <c r="AE575" s="6">
        <v>25717</v>
      </c>
      <c r="AF575" s="6">
        <v>20155</v>
      </c>
    </row>
    <row r="576" spans="1:32" s="4" customFormat="1" ht="12.75" x14ac:dyDescent="0.2">
      <c r="A576" s="7" t="s">
        <v>1890</v>
      </c>
      <c r="B576" s="7" t="s">
        <v>1891</v>
      </c>
      <c r="C576" s="7" t="s">
        <v>1892</v>
      </c>
      <c r="D576" s="6">
        <v>-0.29333028197288502</v>
      </c>
      <c r="E576" s="6">
        <v>-0.47589418292045604</v>
      </c>
      <c r="F576" s="6">
        <v>-0.44325846433639504</v>
      </c>
      <c r="G576" s="6">
        <v>-0.89694148302078203</v>
      </c>
      <c r="H576" s="6">
        <v>1.3235276937484741</v>
      </c>
      <c r="I576" s="6">
        <v>-0.10376597940921801</v>
      </c>
      <c r="J576" s="6">
        <v>2.9266796112060551</v>
      </c>
      <c r="K576" s="6">
        <v>-1.067423939704895</v>
      </c>
      <c r="L576" s="6">
        <v>1.9937406778335571</v>
      </c>
      <c r="M576" s="6">
        <v>-0.97734999656677213</v>
      </c>
      <c r="N576" s="6">
        <v>0.565217159386741</v>
      </c>
      <c r="O576" s="6"/>
      <c r="P576" s="6">
        <v>0.38800881234211104</v>
      </c>
      <c r="Q576" s="6"/>
      <c r="R576" s="6">
        <v>5.2811244855788093</v>
      </c>
      <c r="S576" s="6"/>
      <c r="T576" s="6">
        <v>7.8601651191711426</v>
      </c>
      <c r="U576" s="6" t="str">
        <f>_xll.BDP($A576,"TRAILING_12M_R&amp;D_%_SALES",$A$1,$A$2)</f>
        <v>#N/A N/A</v>
      </c>
      <c r="V576" s="6">
        <v>40</v>
      </c>
      <c r="W576" s="6">
        <v>401010</v>
      </c>
      <c r="X576" s="6">
        <v>40101010</v>
      </c>
      <c r="Y576" s="7" t="s">
        <v>43</v>
      </c>
      <c r="Z576" s="7" t="s">
        <v>67</v>
      </c>
      <c r="AA576" s="7" t="s">
        <v>68</v>
      </c>
      <c r="AB576" s="6">
        <v>66.75384521484375</v>
      </c>
      <c r="AC576" s="6">
        <v>0.86245847025300004</v>
      </c>
      <c r="AD576" s="6">
        <v>14.419228426727049</v>
      </c>
      <c r="AE576" s="6"/>
      <c r="AF576" s="6"/>
    </row>
    <row r="577" spans="1:32" s="4" customFormat="1" ht="12.75" x14ac:dyDescent="0.2">
      <c r="A577" s="7" t="s">
        <v>1893</v>
      </c>
      <c r="B577" s="7" t="s">
        <v>1894</v>
      </c>
      <c r="C577" s="7" t="s">
        <v>1895</v>
      </c>
      <c r="D577" s="6">
        <v>-0.79383891820907604</v>
      </c>
      <c r="E577" s="6">
        <v>-0.78216975927352905</v>
      </c>
      <c r="F577" s="6">
        <v>0.57801848649978604</v>
      </c>
      <c r="G577" s="6">
        <v>-0.55089944601059004</v>
      </c>
      <c r="H577" s="6">
        <v>0.55612862110137906</v>
      </c>
      <c r="I577" s="6">
        <v>0.72383934259414706</v>
      </c>
      <c r="J577" s="6">
        <v>2.263619184494019</v>
      </c>
      <c r="K577" s="6">
        <v>0.28094530105590804</v>
      </c>
      <c r="L577" s="6">
        <v>1.1296150684356689</v>
      </c>
      <c r="M577" s="6">
        <v>-0.31666263937950101</v>
      </c>
      <c r="N577" s="6">
        <v>9.8009296711946012E-2</v>
      </c>
      <c r="O577" s="6">
        <v>8.6364564865828011E-2</v>
      </c>
      <c r="P577" s="6">
        <v>0.83358337698835605</v>
      </c>
      <c r="Q577" s="6">
        <v>0.64294650193217107</v>
      </c>
      <c r="R577" s="6">
        <v>6.4819604961968</v>
      </c>
      <c r="S577" s="6">
        <v>5.5364141144410999</v>
      </c>
      <c r="T577" s="6">
        <v>13.453754425048828</v>
      </c>
      <c r="U577" s="6" t="str">
        <f>_xll.BDP($A577,"TRAILING_12M_R&amp;D_%_SALES",$A$1,$A$2)</f>
        <v>#N/A N/A</v>
      </c>
      <c r="V577" s="6">
        <v>35</v>
      </c>
      <c r="W577" s="6">
        <v>351020</v>
      </c>
      <c r="X577" s="6">
        <v>35102010</v>
      </c>
      <c r="Y577" s="7" t="s">
        <v>72</v>
      </c>
      <c r="Z577" s="7" t="s">
        <v>467</v>
      </c>
      <c r="AA577" s="7" t="s">
        <v>468</v>
      </c>
      <c r="AB577" s="6">
        <v>54.662509918212891</v>
      </c>
      <c r="AC577" s="6">
        <v>0.46461938094895905</v>
      </c>
      <c r="AD577" s="6">
        <v>1.8692317146207</v>
      </c>
      <c r="AE577" s="6">
        <v>114766</v>
      </c>
      <c r="AF577" s="6">
        <v>61694</v>
      </c>
    </row>
    <row r="578" spans="1:32" s="4" customFormat="1" ht="12.75" x14ac:dyDescent="0.2">
      <c r="A578" s="7" t="s">
        <v>1896</v>
      </c>
      <c r="B578" s="7" t="s">
        <v>1897</v>
      </c>
      <c r="C578" s="7" t="s">
        <v>1898</v>
      </c>
      <c r="D578" s="6">
        <v>-0.79383891820907604</v>
      </c>
      <c r="E578" s="6">
        <v>-0.78216975927352905</v>
      </c>
      <c r="F578" s="6">
        <v>0.57801848649978604</v>
      </c>
      <c r="G578" s="6">
        <v>-0.55089944601059004</v>
      </c>
      <c r="H578" s="6">
        <v>0.55612862110137906</v>
      </c>
      <c r="I578" s="6">
        <v>0.72383934259414706</v>
      </c>
      <c r="J578" s="6">
        <v>2.263619184494019</v>
      </c>
      <c r="K578" s="6">
        <v>0.28094530105590804</v>
      </c>
      <c r="L578" s="6">
        <v>1.1296150684356689</v>
      </c>
      <c r="M578" s="6">
        <v>-0.31666263937950101</v>
      </c>
      <c r="N578" s="6">
        <v>9.8009296711946012E-2</v>
      </c>
      <c r="O578" s="6"/>
      <c r="P578" s="6">
        <v>0.83358337698835605</v>
      </c>
      <c r="Q578" s="6"/>
      <c r="R578" s="6">
        <v>6.4819604961968</v>
      </c>
      <c r="S578" s="6"/>
      <c r="T578" s="6">
        <v>13.453754425048828</v>
      </c>
      <c r="U578" s="6" t="str">
        <f>_xll.BDP($A578,"TRAILING_12M_R&amp;D_%_SALES",$A$1,$A$2)</f>
        <v>#N/A N/A</v>
      </c>
      <c r="V578" s="6">
        <v>35</v>
      </c>
      <c r="W578" s="6">
        <v>351020</v>
      </c>
      <c r="X578" s="6">
        <v>35102010</v>
      </c>
      <c r="Y578" s="7" t="s">
        <v>72</v>
      </c>
      <c r="Z578" s="7" t="s">
        <v>467</v>
      </c>
      <c r="AA578" s="7" t="s">
        <v>468</v>
      </c>
      <c r="AB578" s="6">
        <v>54.662509918212891</v>
      </c>
      <c r="AC578" s="6">
        <v>0.66461210116788405</v>
      </c>
      <c r="AD578" s="6">
        <v>5.1369112318388144</v>
      </c>
      <c r="AE578" s="6">
        <v>114766</v>
      </c>
      <c r="AF578" s="6">
        <v>61694</v>
      </c>
    </row>
    <row r="579" spans="1:32" s="4" customFormat="1" ht="12.75" x14ac:dyDescent="0.2">
      <c r="A579" s="7" t="s">
        <v>1899</v>
      </c>
      <c r="B579" s="7" t="s">
        <v>1900</v>
      </c>
      <c r="C579" s="7" t="s">
        <v>1901</v>
      </c>
      <c r="D579" s="6">
        <v>-0.66136759519577004</v>
      </c>
      <c r="E579" s="6">
        <v>0.44939517974853505</v>
      </c>
      <c r="F579" s="6">
        <v>-0.59911215305328402</v>
      </c>
      <c r="G579" s="6">
        <v>-0.23211114108562503</v>
      </c>
      <c r="H579" s="6">
        <v>0.93268626928329512</v>
      </c>
      <c r="I579" s="6">
        <v>-0.10151258856058101</v>
      </c>
      <c r="J579" s="6">
        <v>-0.28554227948188804</v>
      </c>
      <c r="K579" s="6">
        <v>-0.58857792615890503</v>
      </c>
      <c r="L579" s="6">
        <v>-0.29497092962265004</v>
      </c>
      <c r="M579" s="6">
        <v>-0.39290159940719604</v>
      </c>
      <c r="N579" s="6">
        <v>3.4706062853838029</v>
      </c>
      <c r="O579" s="6">
        <v>3.391683616818054</v>
      </c>
      <c r="P579" s="6">
        <v>21.123385830026454</v>
      </c>
      <c r="Q579" s="6">
        <v>19.05896720187814</v>
      </c>
      <c r="R579" s="6">
        <v>32.954432453507437</v>
      </c>
      <c r="S579" s="6">
        <v>27.74565449288405</v>
      </c>
      <c r="T579" s="6">
        <v>75.853744506835938</v>
      </c>
      <c r="U579" s="6" t="str">
        <f>_xll.BDP($A579,"TRAILING_12M_R&amp;D_%_SALES",$A$1,$A$2)</f>
        <v>#N/A N/A</v>
      </c>
      <c r="V579" s="6">
        <v>15</v>
      </c>
      <c r="W579" s="6">
        <v>151010</v>
      </c>
      <c r="X579" s="6">
        <v>15101050</v>
      </c>
      <c r="Y579" s="7" t="s">
        <v>61</v>
      </c>
      <c r="Z579" s="7" t="s">
        <v>250</v>
      </c>
      <c r="AA579" s="7" t="s">
        <v>727</v>
      </c>
      <c r="AB579" s="6">
        <v>65.697616577148438</v>
      </c>
      <c r="AC579" s="6">
        <v>1.0922910796023739</v>
      </c>
      <c r="AD579" s="6">
        <v>30.523739143550021</v>
      </c>
      <c r="AE579" s="6">
        <v>64366</v>
      </c>
      <c r="AF579" s="6">
        <v>52695</v>
      </c>
    </row>
    <row r="580" spans="1:32" s="4" customFormat="1" ht="12.75" x14ac:dyDescent="0.2">
      <c r="A580" s="7" t="s">
        <v>1902</v>
      </c>
      <c r="B580" s="7" t="s">
        <v>1903</v>
      </c>
      <c r="C580" s="7" t="s">
        <v>1904</v>
      </c>
      <c r="D580" s="6">
        <v>-0.34522750973701505</v>
      </c>
      <c r="E580" s="6">
        <v>-0.21568071842193601</v>
      </c>
      <c r="F580" s="6">
        <v>-0.55361986160278309</v>
      </c>
      <c r="G580" s="6">
        <v>0.16524638235569</v>
      </c>
      <c r="H580" s="6">
        <v>-0.15905503928661302</v>
      </c>
      <c r="I580" s="6">
        <v>0.95723110437393211</v>
      </c>
      <c r="J580" s="6">
        <v>8.8811039924622012E-2</v>
      </c>
      <c r="K580" s="6">
        <v>-0.45723345875740101</v>
      </c>
      <c r="L580" s="6">
        <v>8.9306049048901007E-2</v>
      </c>
      <c r="M580" s="6">
        <v>0.97753429412841808</v>
      </c>
      <c r="N580" s="6">
        <v>2.3136890085761381</v>
      </c>
      <c r="O580" s="6">
        <v>1.9759447149315861</v>
      </c>
      <c r="P580" s="6">
        <v>3.8199175112414352</v>
      </c>
      <c r="Q580" s="6">
        <v>3.2056180431382271</v>
      </c>
      <c r="R580" s="6">
        <v>18.210697754085864</v>
      </c>
      <c r="S580" s="6">
        <v>14.419507171814576</v>
      </c>
      <c r="T580" s="6">
        <v>22.708759307861328</v>
      </c>
      <c r="U580" s="6">
        <f>_xll.BDP($A580,"TRAILING_12M_R&amp;D_%_SALES",$A$1,$A$2)</f>
        <v>2.0639863319463196</v>
      </c>
      <c r="V580" s="6">
        <v>10</v>
      </c>
      <c r="W580" s="6">
        <v>101010</v>
      </c>
      <c r="X580" s="6">
        <v>10101020</v>
      </c>
      <c r="Y580" s="7" t="s">
        <v>387</v>
      </c>
      <c r="Z580" s="7" t="s">
        <v>388</v>
      </c>
      <c r="AA580" s="7" t="s">
        <v>389</v>
      </c>
      <c r="AB580" s="6">
        <v>68.997085571289063</v>
      </c>
      <c r="AC580" s="6">
        <v>0.84500781594031005</v>
      </c>
      <c r="AD580" s="6">
        <v>0.24334150595148901</v>
      </c>
      <c r="AE580" s="6">
        <v>99000</v>
      </c>
      <c r="AF580" s="6">
        <v>100000</v>
      </c>
    </row>
    <row r="581" spans="1:32" s="4" customFormat="1" ht="12.75" x14ac:dyDescent="0.2">
      <c r="A581" s="7" t="s">
        <v>1905</v>
      </c>
      <c r="B581" s="7" t="s">
        <v>1906</v>
      </c>
      <c r="C581" s="7" t="s">
        <v>1907</v>
      </c>
      <c r="D581" s="6">
        <v>-0.30043381452560403</v>
      </c>
      <c r="E581" s="6">
        <v>-0.87644600868225109</v>
      </c>
      <c r="F581" s="6">
        <v>-1.100835800170898</v>
      </c>
      <c r="G581" s="6">
        <v>-0.41534259915351901</v>
      </c>
      <c r="H581" s="6">
        <v>-0.68386924266815208</v>
      </c>
      <c r="I581" s="6">
        <v>0.13878883421421101</v>
      </c>
      <c r="J581" s="6">
        <v>0.71375507116317705</v>
      </c>
      <c r="K581" s="6">
        <v>-1.2321346998214719</v>
      </c>
      <c r="L581" s="6">
        <v>1.3746694326400761</v>
      </c>
      <c r="M581" s="6">
        <v>-1.065587997436523</v>
      </c>
      <c r="N581" s="6">
        <v>1.3698162994050731</v>
      </c>
      <c r="O581" s="6">
        <v>3.0023866443792322</v>
      </c>
      <c r="P581" s="6">
        <v>1.9135100903478319</v>
      </c>
      <c r="Q581" s="6">
        <v>1.7432298106011102</v>
      </c>
      <c r="R581" s="6">
        <v>10.839739310792721</v>
      </c>
      <c r="S581" s="6">
        <v>10.216512663106368</v>
      </c>
      <c r="T581" s="6">
        <v>15.325368881225586</v>
      </c>
      <c r="U581" s="6" t="str">
        <f>_xll.BDP($A581,"TRAILING_12M_R&amp;D_%_SALES",$A$1,$A$2)</f>
        <v>#N/A N/A</v>
      </c>
      <c r="V581" s="6">
        <v>40</v>
      </c>
      <c r="W581" s="6">
        <v>403010</v>
      </c>
      <c r="X581" s="6">
        <v>40301020</v>
      </c>
      <c r="Y581" s="7" t="s">
        <v>43</v>
      </c>
      <c r="Z581" s="7" t="s">
        <v>44</v>
      </c>
      <c r="AA581" s="7" t="s">
        <v>45</v>
      </c>
      <c r="AB581" s="6">
        <v>55.899810791015625</v>
      </c>
      <c r="AC581" s="6">
        <v>0.89265605647905011</v>
      </c>
      <c r="AD581" s="6">
        <v>15.858354199383285</v>
      </c>
      <c r="AE581" s="6">
        <v>29169</v>
      </c>
      <c r="AF581" s="6">
        <v>21495</v>
      </c>
    </row>
    <row r="582" spans="1:32" s="4" customFormat="1" ht="12.75" x14ac:dyDescent="0.2">
      <c r="A582" s="7" t="s">
        <v>1908</v>
      </c>
      <c r="B582" s="7" t="s">
        <v>1909</v>
      </c>
      <c r="C582" s="7" t="s">
        <v>1910</v>
      </c>
      <c r="D582" s="6">
        <v>-0.99054521322250411</v>
      </c>
      <c r="E582" s="6">
        <v>-2.2873513698577881</v>
      </c>
      <c r="F582" s="6">
        <v>2.634872674942017</v>
      </c>
      <c r="G582" s="6">
        <v>-0.61337435245513905</v>
      </c>
      <c r="H582" s="6">
        <v>-0.329807639122009</v>
      </c>
      <c r="I582" s="6">
        <v>-0.41517344117164601</v>
      </c>
      <c r="J582" s="6">
        <v>-0.35728341341018705</v>
      </c>
      <c r="K582" s="6">
        <v>-0.95205515623092707</v>
      </c>
      <c r="L582" s="6">
        <v>-0.40805643796920804</v>
      </c>
      <c r="M582" s="6">
        <v>-0.75187605619430509</v>
      </c>
      <c r="N582" s="6">
        <v>0.31912821161308202</v>
      </c>
      <c r="O582" s="6">
        <v>0.28692266721988702</v>
      </c>
      <c r="P582" s="6">
        <v>1.117914457934299</v>
      </c>
      <c r="Q582" s="6">
        <v>1.081590524667831</v>
      </c>
      <c r="R582" s="6"/>
      <c r="S582" s="6">
        <v>52.79206983419175</v>
      </c>
      <c r="T582" s="6">
        <v>-35.371707916259766</v>
      </c>
      <c r="U582" s="6">
        <f>_xll.BDP($A582,"TRAILING_12M_R&amp;D_%_SALES",$A$1,$A$2)</f>
        <v>3.6047877398064769</v>
      </c>
      <c r="V582" s="6">
        <v>20</v>
      </c>
      <c r="W582" s="6">
        <v>201040</v>
      </c>
      <c r="X582" s="6">
        <v>20104020</v>
      </c>
      <c r="Y582" s="7" t="s">
        <v>38</v>
      </c>
      <c r="Z582" s="7" t="s">
        <v>841</v>
      </c>
      <c r="AA582" s="7" t="s">
        <v>1446</v>
      </c>
      <c r="AB582" s="6">
        <v>67.055625915527344</v>
      </c>
      <c r="AC582" s="6">
        <v>1.102498951608029</v>
      </c>
      <c r="AD582" s="6">
        <v>-29.782727023247514</v>
      </c>
      <c r="AE582" s="6">
        <v>94000</v>
      </c>
      <c r="AF582" s="6"/>
    </row>
    <row r="583" spans="1:32" s="4" customFormat="1" ht="12.75" x14ac:dyDescent="0.2">
      <c r="A583" s="7" t="s">
        <v>1911</v>
      </c>
      <c r="B583" s="7" t="s">
        <v>1912</v>
      </c>
      <c r="C583" s="7" t="s">
        <v>1913</v>
      </c>
      <c r="D583" s="6">
        <v>0.73754501342773404</v>
      </c>
      <c r="E583" s="6">
        <v>-1.1503255367279051</v>
      </c>
      <c r="F583" s="6">
        <v>-1.063539862632751</v>
      </c>
      <c r="G583" s="6">
        <v>-0.23927487432956701</v>
      </c>
      <c r="H583" s="6">
        <v>1.1081312894821169</v>
      </c>
      <c r="I583" s="6">
        <v>1.5975581407547002</v>
      </c>
      <c r="J583" s="6">
        <v>8.2524091005325012E-2</v>
      </c>
      <c r="K583" s="6">
        <v>-1.1204597949981689</v>
      </c>
      <c r="L583" s="6">
        <v>0.88023406267166104</v>
      </c>
      <c r="M583" s="6">
        <v>-1.035845994949341</v>
      </c>
      <c r="N583" s="6">
        <v>1.274437562814897</v>
      </c>
      <c r="O583" s="6"/>
      <c r="P583" s="6">
        <v>0.67016886160273703</v>
      </c>
      <c r="Q583" s="6"/>
      <c r="R583" s="6">
        <v>11.46704891037901</v>
      </c>
      <c r="S583" s="6">
        <v>10.419638804870544</v>
      </c>
      <c r="T583" s="6">
        <v>6.1244039535522461</v>
      </c>
      <c r="U583" s="6" t="str">
        <f>_xll.BDP($A583,"TRAILING_12M_R&amp;D_%_SALES",$A$1,$A$2)</f>
        <v>#N/A N/A</v>
      </c>
      <c r="V583" s="6">
        <v>40</v>
      </c>
      <c r="W583" s="6">
        <v>401010</v>
      </c>
      <c r="X583" s="6">
        <v>40101010</v>
      </c>
      <c r="Y583" s="7" t="s">
        <v>43</v>
      </c>
      <c r="Z583" s="7" t="s">
        <v>67</v>
      </c>
      <c r="AA583" s="7" t="s">
        <v>68</v>
      </c>
      <c r="AB583" s="6">
        <v>55.376724243164063</v>
      </c>
      <c r="AC583" s="6">
        <v>0.81967644356564606</v>
      </c>
      <c r="AD583" s="6">
        <v>27.163691141376955</v>
      </c>
      <c r="AE583" s="6">
        <v>105955</v>
      </c>
      <c r="AF583" s="6">
        <v>72978</v>
      </c>
    </row>
    <row r="584" spans="1:32" s="4" customFormat="1" ht="12.75" x14ac:dyDescent="0.2">
      <c r="A584" s="7" t="s">
        <v>1914</v>
      </c>
      <c r="B584" s="7" t="s">
        <v>1915</v>
      </c>
      <c r="C584" s="7" t="s">
        <v>1916</v>
      </c>
      <c r="D584" s="6">
        <v>0.73754501342773404</v>
      </c>
      <c r="E584" s="6">
        <v>-1.1503255367279051</v>
      </c>
      <c r="F584" s="6">
        <v>-1.063539862632751</v>
      </c>
      <c r="G584" s="6">
        <v>-0.23927487432956701</v>
      </c>
      <c r="H584" s="6">
        <v>1.1081312894821169</v>
      </c>
      <c r="I584" s="6">
        <v>1.5975581407547002</v>
      </c>
      <c r="J584" s="6">
        <v>8.2524091005325012E-2</v>
      </c>
      <c r="K584" s="6">
        <v>-1.1204597949981689</v>
      </c>
      <c r="L584" s="6">
        <v>0.88023406267166104</v>
      </c>
      <c r="M584" s="6">
        <v>-1.035845994949341</v>
      </c>
      <c r="N584" s="6">
        <v>1.274437562814897</v>
      </c>
      <c r="O584" s="6">
        <v>2.3657249385092882</v>
      </c>
      <c r="P584" s="6">
        <v>0.67016886160273703</v>
      </c>
      <c r="Q584" s="6">
        <v>0.62285791072085106</v>
      </c>
      <c r="R584" s="6">
        <v>11.46704891037901</v>
      </c>
      <c r="S584" s="6">
        <v>9.3060481759615143</v>
      </c>
      <c r="T584" s="6">
        <v>6.1244039535522461</v>
      </c>
      <c r="U584" s="6" t="str">
        <f>_xll.BDP($A584,"TRAILING_12M_R&amp;D_%_SALES",$A$1,$A$2)</f>
        <v>#N/A N/A</v>
      </c>
      <c r="V584" s="6">
        <v>40</v>
      </c>
      <c r="W584" s="6">
        <v>401010</v>
      </c>
      <c r="X584" s="6">
        <v>40101010</v>
      </c>
      <c r="Y584" s="7" t="s">
        <v>43</v>
      </c>
      <c r="Z584" s="7" t="s">
        <v>67</v>
      </c>
      <c r="AA584" s="7" t="s">
        <v>68</v>
      </c>
      <c r="AB584" s="6">
        <v>55.376724243164063</v>
      </c>
      <c r="AC584" s="6">
        <v>0.611070755392353</v>
      </c>
      <c r="AD584" s="6">
        <v>25.990524772829637</v>
      </c>
      <c r="AE584" s="6">
        <v>105955</v>
      </c>
      <c r="AF584" s="6">
        <v>72978</v>
      </c>
    </row>
    <row r="585" spans="1:32" s="4" customFormat="1" ht="12.75" x14ac:dyDescent="0.2">
      <c r="A585" s="7" t="s">
        <v>1917</v>
      </c>
      <c r="B585" s="7" t="s">
        <v>1918</v>
      </c>
      <c r="C585" s="7" t="s">
        <v>1919</v>
      </c>
      <c r="D585" s="6">
        <v>-0.99054521322250411</v>
      </c>
      <c r="E585" s="6">
        <v>-2.2873513698577881</v>
      </c>
      <c r="F585" s="6">
        <v>2.634872674942017</v>
      </c>
      <c r="G585" s="6">
        <v>-0.61337435245513905</v>
      </c>
      <c r="H585" s="6">
        <v>-0.329807639122009</v>
      </c>
      <c r="I585" s="6">
        <v>-0.41517344117164601</v>
      </c>
      <c r="J585" s="6">
        <v>-0.35728341341018705</v>
      </c>
      <c r="K585" s="6">
        <v>-0.95205515623092707</v>
      </c>
      <c r="L585" s="6">
        <v>-0.40805643796920804</v>
      </c>
      <c r="M585" s="6">
        <v>-0.75187605619430509</v>
      </c>
      <c r="N585" s="6">
        <v>0.31912821161308202</v>
      </c>
      <c r="O585" s="6"/>
      <c r="P585" s="6">
        <v>1.117914457934299</v>
      </c>
      <c r="Q585" s="6"/>
      <c r="R585" s="6"/>
      <c r="S585" s="6"/>
      <c r="T585" s="6">
        <v>-35.371707916259766</v>
      </c>
      <c r="U585" s="6">
        <f>_xll.BDP($A585,"TRAILING_12M_R&amp;D_%_SALES",$A$1,$A$2)</f>
        <v>3.6047877398064769</v>
      </c>
      <c r="V585" s="6">
        <v>20</v>
      </c>
      <c r="W585" s="6">
        <v>201040</v>
      </c>
      <c r="X585" s="6">
        <v>20104020</v>
      </c>
      <c r="Y585" s="7" t="s">
        <v>38</v>
      </c>
      <c r="Z585" s="7" t="s">
        <v>841</v>
      </c>
      <c r="AA585" s="7" t="s">
        <v>1446</v>
      </c>
      <c r="AB585" s="6">
        <v>67.055625915527344</v>
      </c>
      <c r="AC585" s="6">
        <v>1.49045408479504</v>
      </c>
      <c r="AD585" s="6">
        <v>-30.262803996044951</v>
      </c>
      <c r="AE585" s="6">
        <v>94000</v>
      </c>
      <c r="AF585" s="6"/>
    </row>
    <row r="586" spans="1:32" s="4" customFormat="1" ht="12.75" x14ac:dyDescent="0.2">
      <c r="A586" s="7" t="s">
        <v>1920</v>
      </c>
      <c r="B586" s="7" t="s">
        <v>1921</v>
      </c>
      <c r="C586" s="7" t="s">
        <v>1922</v>
      </c>
      <c r="D586" s="6">
        <v>-0.6883825659751891</v>
      </c>
      <c r="E586" s="6">
        <v>-1.077581644058228</v>
      </c>
      <c r="F586" s="6">
        <v>0.74516242742538508</v>
      </c>
      <c r="G586" s="6">
        <v>-0.65125268697738603</v>
      </c>
      <c r="H586" s="6">
        <v>-0.50111323595047008</v>
      </c>
      <c r="I586" s="6">
        <v>0.16635523736476901</v>
      </c>
      <c r="J586" s="6">
        <v>1.573160648345947</v>
      </c>
      <c r="K586" s="6">
        <v>-1.1764999628067021</v>
      </c>
      <c r="L586" s="6">
        <v>1.4903619289398191</v>
      </c>
      <c r="M586" s="6">
        <v>-0.9308780431747441</v>
      </c>
      <c r="N586" s="6">
        <v>0.49993810512768805</v>
      </c>
      <c r="O586" s="6"/>
      <c r="P586" s="6">
        <v>0.95046941977586408</v>
      </c>
      <c r="Q586" s="6"/>
      <c r="R586" s="6">
        <v>9.4542423816587355</v>
      </c>
      <c r="S586" s="6"/>
      <c r="T586" s="6">
        <v>11.139631271362305</v>
      </c>
      <c r="U586" s="6" t="str">
        <f>_xll.BDP($A586,"TRAILING_12M_R&amp;D_%_SALES",$A$1,$A$2)</f>
        <v>#N/A N/A</v>
      </c>
      <c r="V586" s="6">
        <v>40</v>
      </c>
      <c r="W586" s="6">
        <v>403010</v>
      </c>
      <c r="X586" s="6">
        <v>40301040</v>
      </c>
      <c r="Y586" s="7" t="s">
        <v>43</v>
      </c>
      <c r="Z586" s="7" t="s">
        <v>44</v>
      </c>
      <c r="AA586" s="7" t="s">
        <v>102</v>
      </c>
      <c r="AB586" s="6">
        <v>60.6981201171875</v>
      </c>
      <c r="AC586" s="6">
        <v>0.48257383555033806</v>
      </c>
      <c r="AD586" s="6">
        <v>19.250177937896296</v>
      </c>
      <c r="AE586" s="6">
        <v>49057</v>
      </c>
      <c r="AF586" s="6">
        <v>48544</v>
      </c>
    </row>
    <row r="587" spans="1:32" s="4" customFormat="1" ht="12.75" x14ac:dyDescent="0.2">
      <c r="A587" s="7" t="s">
        <v>1923</v>
      </c>
      <c r="B587" s="7" t="s">
        <v>1924</v>
      </c>
      <c r="C587" s="7" t="s">
        <v>1925</v>
      </c>
      <c r="D587" s="6">
        <v>0.43197810649871804</v>
      </c>
      <c r="E587" s="6">
        <v>-0.71024245023727406</v>
      </c>
      <c r="F587" s="6">
        <v>0.29554274678230302</v>
      </c>
      <c r="G587" s="6">
        <v>-0.81415539979934703</v>
      </c>
      <c r="H587" s="6">
        <v>-0.6593936681747441</v>
      </c>
      <c r="I587" s="6">
        <v>0.27670037746429405</v>
      </c>
      <c r="J587" s="6">
        <v>0.42004400491714505</v>
      </c>
      <c r="K587" s="6">
        <v>-1.012817978858948</v>
      </c>
      <c r="L587" s="6">
        <v>-0.42328739166259804</v>
      </c>
      <c r="M587" s="6">
        <v>-0.88432675600051902</v>
      </c>
      <c r="N587" s="6">
        <v>1.3492142641474361</v>
      </c>
      <c r="O587" s="6">
        <v>1.362444625824623</v>
      </c>
      <c r="P587" s="6">
        <v>2.320781077335285</v>
      </c>
      <c r="Q587" s="6">
        <v>1.9306414118767492</v>
      </c>
      <c r="R587" s="6">
        <v>18.971224837196733</v>
      </c>
      <c r="S587" s="6">
        <v>16.974238593248725</v>
      </c>
      <c r="T587" s="6">
        <v>12.562420845031738</v>
      </c>
      <c r="U587" s="6">
        <f>_xll.BDP($A587,"TRAILING_12M_R&amp;D_%_SALES",$A$1,$A$2)</f>
        <v>5.42924839652063</v>
      </c>
      <c r="V587" s="6">
        <v>25</v>
      </c>
      <c r="W587" s="6">
        <v>252010</v>
      </c>
      <c r="X587" s="6">
        <v>25201010</v>
      </c>
      <c r="Y587" s="7" t="s">
        <v>85</v>
      </c>
      <c r="Z587" s="7" t="s">
        <v>743</v>
      </c>
      <c r="AA587" s="7" t="s">
        <v>1325</v>
      </c>
      <c r="AB587" s="6">
        <v>63.303489685058594</v>
      </c>
      <c r="AC587" s="6">
        <v>0.67901766276894504</v>
      </c>
      <c r="AD587" s="6">
        <v>28.328466270965592</v>
      </c>
      <c r="AE587" s="6">
        <v>113000</v>
      </c>
      <c r="AF587" s="6">
        <v>117300</v>
      </c>
    </row>
    <row r="588" spans="1:32" s="4" customFormat="1" ht="12.75" x14ac:dyDescent="0.2">
      <c r="A588" s="7" t="s">
        <v>1926</v>
      </c>
      <c r="B588" s="7" t="s">
        <v>1927</v>
      </c>
      <c r="C588" s="7" t="s">
        <v>1928</v>
      </c>
      <c r="D588" s="6">
        <v>-9.8681882023811007E-2</v>
      </c>
      <c r="E588" s="6">
        <v>-0.80723828077316306</v>
      </c>
      <c r="F588" s="6">
        <v>-6.2897585332394007E-2</v>
      </c>
      <c r="G588" s="6">
        <v>-0.55809623003006004</v>
      </c>
      <c r="H588" s="6">
        <v>1.2093936204910281</v>
      </c>
      <c r="I588" s="6">
        <v>-0.78610938787460305</v>
      </c>
      <c r="J588" s="6">
        <v>0.14500962197780601</v>
      </c>
      <c r="K588" s="6">
        <v>-0.92788696289062511</v>
      </c>
      <c r="L588" s="6">
        <v>1.2418050765991211</v>
      </c>
      <c r="M588" s="6">
        <v>-1.0186383724212651</v>
      </c>
      <c r="N588" s="6">
        <v>2.914342080093784</v>
      </c>
      <c r="O588" s="6">
        <v>2.6483666641107741</v>
      </c>
      <c r="P588" s="6">
        <v>2.4381210106134281</v>
      </c>
      <c r="Q588" s="6">
        <v>2.348292073452722</v>
      </c>
      <c r="R588" s="6">
        <v>21.799300850820941</v>
      </c>
      <c r="S588" s="6">
        <v>17.483190481874598</v>
      </c>
      <c r="T588" s="6">
        <v>9.6940078735351563</v>
      </c>
      <c r="U588" s="6" t="str">
        <f>_xll.BDP($A588,"TRAILING_12M_R&amp;D_%_SALES",$A$1,$A$2)</f>
        <v>#N/A N/A</v>
      </c>
      <c r="V588" s="6">
        <v>55</v>
      </c>
      <c r="W588" s="6">
        <v>551010</v>
      </c>
      <c r="X588" s="6">
        <v>55101010</v>
      </c>
      <c r="Y588" s="7" t="s">
        <v>154</v>
      </c>
      <c r="Z588" s="7" t="s">
        <v>155</v>
      </c>
      <c r="AA588" s="7" t="s">
        <v>155</v>
      </c>
      <c r="AB588" s="6">
        <v>67.015388488769531</v>
      </c>
      <c r="AC588" s="6">
        <v>0.672214579477452</v>
      </c>
      <c r="AD588" s="6">
        <v>1.0870179713060151</v>
      </c>
      <c r="AE588" s="6">
        <v>27700</v>
      </c>
      <c r="AF588" s="6">
        <v>31344</v>
      </c>
    </row>
    <row r="589" spans="1:32" s="4" customFormat="1" ht="12.75" x14ac:dyDescent="0.2">
      <c r="A589" s="7" t="s">
        <v>1929</v>
      </c>
      <c r="B589" s="7" t="s">
        <v>1930</v>
      </c>
      <c r="C589" s="7" t="s">
        <v>1931</v>
      </c>
      <c r="D589" s="6">
        <v>0.43197810649871804</v>
      </c>
      <c r="E589" s="6">
        <v>-0.71024245023727406</v>
      </c>
      <c r="F589" s="6">
        <v>0.29554274678230302</v>
      </c>
      <c r="G589" s="6">
        <v>-0.81415539979934703</v>
      </c>
      <c r="H589" s="6">
        <v>-0.6593936681747441</v>
      </c>
      <c r="I589" s="6">
        <v>0.27670037746429405</v>
      </c>
      <c r="J589" s="6">
        <v>0.42004400491714505</v>
      </c>
      <c r="K589" s="6">
        <v>-1.012817978858948</v>
      </c>
      <c r="L589" s="6">
        <v>-0.42328739166259804</v>
      </c>
      <c r="M589" s="6">
        <v>-0.88432675600051902</v>
      </c>
      <c r="N589" s="6">
        <v>1.3492142641474361</v>
      </c>
      <c r="O589" s="6">
        <v>1.371482135852812</v>
      </c>
      <c r="P589" s="6">
        <v>2.320781077335285</v>
      </c>
      <c r="Q589" s="6">
        <v>1.8770619769323</v>
      </c>
      <c r="R589" s="6">
        <v>18.971224837196733</v>
      </c>
      <c r="S589" s="6">
        <v>17.474001539824751</v>
      </c>
      <c r="T589" s="6">
        <v>12.562420845031738</v>
      </c>
      <c r="U589" s="6">
        <f>_xll.BDP($A589,"TRAILING_12M_R&amp;D_%_SALES",$A$1,$A$2)</f>
        <v>5.42924839652063</v>
      </c>
      <c r="V589" s="6">
        <v>25</v>
      </c>
      <c r="W589" s="6">
        <v>252010</v>
      </c>
      <c r="X589" s="6">
        <v>25201010</v>
      </c>
      <c r="Y589" s="7" t="s">
        <v>85</v>
      </c>
      <c r="Z589" s="7" t="s">
        <v>743</v>
      </c>
      <c r="AA589" s="7" t="s">
        <v>1325</v>
      </c>
      <c r="AB589" s="6">
        <v>63.303489685058594</v>
      </c>
      <c r="AC589" s="6">
        <v>1.017268128351283</v>
      </c>
      <c r="AD589" s="6">
        <v>24.272914005305669</v>
      </c>
      <c r="AE589" s="6">
        <v>113000</v>
      </c>
      <c r="AF589" s="6">
        <v>117300</v>
      </c>
    </row>
    <row r="590" spans="1:32" s="4" customFormat="1" ht="12.75" x14ac:dyDescent="0.2">
      <c r="A590" s="7" t="s">
        <v>1932</v>
      </c>
      <c r="B590" s="7" t="s">
        <v>1933</v>
      </c>
      <c r="C590" s="7" t="s">
        <v>1934</v>
      </c>
      <c r="D590" s="6">
        <v>-0.34808883070945701</v>
      </c>
      <c r="E590" s="6">
        <v>-0.48694387078285206</v>
      </c>
      <c r="F590" s="6">
        <v>-0.51565963029861506</v>
      </c>
      <c r="G590" s="6">
        <v>-0.43199625611305204</v>
      </c>
      <c r="H590" s="6">
        <v>-0.54547697305679299</v>
      </c>
      <c r="I590" s="6">
        <v>-0.20891937613487202</v>
      </c>
      <c r="J590" s="6">
        <v>-0.34031784534454301</v>
      </c>
      <c r="K590" s="6">
        <v>0.7935239076614381</v>
      </c>
      <c r="L590" s="6">
        <v>-0.27226006984710704</v>
      </c>
      <c r="M590" s="6">
        <v>0.11943478137254701</v>
      </c>
      <c r="N590" s="6">
        <v>11.493450889070417</v>
      </c>
      <c r="O590" s="6">
        <v>10.488334693058965</v>
      </c>
      <c r="P590" s="6">
        <v>3.9401658122565033</v>
      </c>
      <c r="Q590" s="6">
        <v>3.9002363452668698</v>
      </c>
      <c r="R590" s="6">
        <v>47.014846647685829</v>
      </c>
      <c r="S590" s="6">
        <v>30.599103964116168</v>
      </c>
      <c r="T590" s="6">
        <v>6.8291611671447754</v>
      </c>
      <c r="U590" s="6" t="str">
        <f>_xll.BDP($A590,"TRAILING_12M_R&amp;D_%_SALES",$A$1,$A$2)</f>
        <v>#N/A N/A</v>
      </c>
      <c r="V590" s="6">
        <v>40</v>
      </c>
      <c r="W590" s="6">
        <v>402030</v>
      </c>
      <c r="X590" s="6">
        <v>40203040</v>
      </c>
      <c r="Y590" s="7" t="s">
        <v>43</v>
      </c>
      <c r="Z590" s="7" t="s">
        <v>212</v>
      </c>
      <c r="AA590" s="7" t="s">
        <v>579</v>
      </c>
      <c r="AB590" s="6">
        <v>59.561412811279297</v>
      </c>
      <c r="AC590" s="6">
        <v>1.1506805806448619</v>
      </c>
      <c r="AD590" s="6">
        <v>30.885894649567103</v>
      </c>
      <c r="AE590" s="6">
        <v>39950</v>
      </c>
      <c r="AF590" s="6">
        <v>20400</v>
      </c>
    </row>
    <row r="591" spans="1:32" s="4" customFormat="1" ht="12.75" x14ac:dyDescent="0.2">
      <c r="A591" s="7" t="s">
        <v>1935</v>
      </c>
      <c r="B591" s="7" t="s">
        <v>1936</v>
      </c>
      <c r="C591" s="7" t="s">
        <v>1937</v>
      </c>
      <c r="D591" s="6">
        <v>-7.8454755246639002E-2</v>
      </c>
      <c r="E591" s="6">
        <v>-3.0001177787780762</v>
      </c>
      <c r="F591" s="6">
        <v>1.9322080612182622</v>
      </c>
      <c r="G591" s="6">
        <v>3.0003302097320561</v>
      </c>
      <c r="H591" s="6">
        <v>0.71844696998596203</v>
      </c>
      <c r="I591" s="6">
        <v>-3.0000936985015869</v>
      </c>
      <c r="J591" s="6">
        <v>9.5392867922783009E-2</v>
      </c>
      <c r="K591" s="6">
        <v>0.53771954774856601</v>
      </c>
      <c r="L591" s="6">
        <v>-0.83342528343200706</v>
      </c>
      <c r="M591" s="6">
        <v>2.134864330291748</v>
      </c>
      <c r="N591" s="6"/>
      <c r="O591" s="6"/>
      <c r="P591" s="6"/>
      <c r="Q591" s="6"/>
      <c r="R591" s="6"/>
      <c r="S591" s="6"/>
      <c r="T591" s="6"/>
      <c r="U591" s="6" t="str">
        <f>_xll.BDP($A591,"TRAILING_12M_R&amp;D_%_SALES",$A$1,$A$2)</f>
        <v>#N/A Field Not Applicable</v>
      </c>
      <c r="V591" s="6"/>
      <c r="W591" s="6"/>
      <c r="X591" s="6"/>
      <c r="Y591" s="7" t="s">
        <v>918</v>
      </c>
      <c r="Z591" s="7" t="s">
        <v>918</v>
      </c>
      <c r="AA591" s="7" t="s">
        <v>918</v>
      </c>
      <c r="AB591" s="6"/>
      <c r="AC591" s="6">
        <v>-123.38480485295521</v>
      </c>
      <c r="AD591" s="6">
        <v>-24.999994543031654</v>
      </c>
      <c r="AE591" s="6"/>
      <c r="AF591" s="6"/>
    </row>
    <row r="592" spans="1:32" s="4" customFormat="1" ht="12.75" x14ac:dyDescent="0.2">
      <c r="A592" s="7" t="s">
        <v>1938</v>
      </c>
      <c r="B592" s="7" t="s">
        <v>1939</v>
      </c>
      <c r="C592" s="7" t="s">
        <v>1940</v>
      </c>
      <c r="D592" s="6">
        <v>-0.5260369181633</v>
      </c>
      <c r="E592" s="6">
        <v>-0.7577657103538511</v>
      </c>
      <c r="F592" s="6">
        <v>-0.20025748014450101</v>
      </c>
      <c r="G592" s="6">
        <v>-0.52704274654388406</v>
      </c>
      <c r="H592" s="6">
        <v>0.79225939512252808</v>
      </c>
      <c r="I592" s="6">
        <v>-1.025101780891418</v>
      </c>
      <c r="J592" s="6">
        <v>0.31923866271972701</v>
      </c>
      <c r="K592" s="6">
        <v>-0.90691268444061302</v>
      </c>
      <c r="L592" s="6">
        <v>0.9001467227935791</v>
      </c>
      <c r="M592" s="6">
        <v>-0.81384128332138106</v>
      </c>
      <c r="N592" s="6">
        <v>2.8211325995816661</v>
      </c>
      <c r="O592" s="6">
        <v>2.9214614639052723</v>
      </c>
      <c r="P592" s="6">
        <v>1.7196126829149252</v>
      </c>
      <c r="Q592" s="6">
        <v>1.6235770303972399</v>
      </c>
      <c r="R592" s="6">
        <v>17.392092505142394</v>
      </c>
      <c r="S592" s="6">
        <v>15.580338215836553</v>
      </c>
      <c r="T592" s="6">
        <v>10.211254119873047</v>
      </c>
      <c r="U592" s="6" t="str">
        <f>_xll.BDP($A592,"TRAILING_12M_R&amp;D_%_SALES",$A$1,$A$2)</f>
        <v>#N/A N/A</v>
      </c>
      <c r="V592" s="6">
        <v>55</v>
      </c>
      <c r="W592" s="6">
        <v>551030</v>
      </c>
      <c r="X592" s="6">
        <v>55103010</v>
      </c>
      <c r="Y592" s="7" t="s">
        <v>154</v>
      </c>
      <c r="Z592" s="7" t="s">
        <v>703</v>
      </c>
      <c r="AA592" s="7" t="s">
        <v>703</v>
      </c>
      <c r="AB592" s="6">
        <v>77.446937561035156</v>
      </c>
      <c r="AC592" s="6">
        <v>0.81136381860075701</v>
      </c>
      <c r="AD592" s="6">
        <v>-0.88023715047040907</v>
      </c>
      <c r="AE592" s="6">
        <v>15785</v>
      </c>
      <c r="AF592" s="6">
        <v>16046</v>
      </c>
    </row>
    <row r="593" spans="1:32" s="4" customFormat="1" ht="12.75" x14ac:dyDescent="0.2">
      <c r="A593" s="7" t="s">
        <v>1941</v>
      </c>
      <c r="B593" s="7" t="s">
        <v>1942</v>
      </c>
      <c r="C593" s="7" t="s">
        <v>1943</v>
      </c>
      <c r="D593" s="6">
        <v>-0.16828544437885301</v>
      </c>
      <c r="E593" s="6">
        <v>-0.93624192476272605</v>
      </c>
      <c r="F593" s="6">
        <v>0.6648728251457211</v>
      </c>
      <c r="G593" s="6">
        <v>-0.81385898590087902</v>
      </c>
      <c r="H593" s="6">
        <v>-0.14845032989978801</v>
      </c>
      <c r="I593" s="6">
        <v>0.298926502466202</v>
      </c>
      <c r="J593" s="6">
        <v>0.58818578720092807</v>
      </c>
      <c r="K593" s="6">
        <v>-1.1755169630050659</v>
      </c>
      <c r="L593" s="6">
        <v>2.103235244750977</v>
      </c>
      <c r="M593" s="6">
        <v>-1.031084299087524</v>
      </c>
      <c r="N593" s="6">
        <v>0.68017306732347105</v>
      </c>
      <c r="O593" s="6">
        <v>0.68982688500357803</v>
      </c>
      <c r="P593" s="6">
        <v>2.5698509135969472</v>
      </c>
      <c r="Q593" s="6">
        <v>2.0518691074425091</v>
      </c>
      <c r="R593" s="6">
        <v>18.502328201852308</v>
      </c>
      <c r="S593" s="6">
        <v>8.9950544067573102</v>
      </c>
      <c r="T593" s="6">
        <v>12.820606231689453</v>
      </c>
      <c r="U593" s="6" t="str">
        <f>_xll.BDP($A593,"TRAILING_12M_R&amp;D_%_SALES",$A$1,$A$2)</f>
        <v>#N/A N/A</v>
      </c>
      <c r="V593" s="6">
        <v>40</v>
      </c>
      <c r="W593" s="6">
        <v>403010</v>
      </c>
      <c r="X593" s="6">
        <v>40301050</v>
      </c>
      <c r="Y593" s="7" t="s">
        <v>43</v>
      </c>
      <c r="Z593" s="7" t="s">
        <v>44</v>
      </c>
      <c r="AA593" s="7" t="s">
        <v>1538</v>
      </c>
      <c r="AB593" s="6">
        <v>54.551856994628906</v>
      </c>
      <c r="AC593" s="6">
        <v>0.301804659599125</v>
      </c>
      <c r="AD593" s="6">
        <v>26.811739701538961</v>
      </c>
      <c r="AE593" s="6">
        <v>14408</v>
      </c>
      <c r="AF593" s="6">
        <v>14485</v>
      </c>
    </row>
    <row r="594" spans="1:32" s="4" customFormat="1" ht="12.75" x14ac:dyDescent="0.2">
      <c r="A594" s="7" t="s">
        <v>1944</v>
      </c>
      <c r="B594" s="7" t="s">
        <v>1945</v>
      </c>
      <c r="C594" s="7" t="s">
        <v>1946</v>
      </c>
      <c r="D594" s="6">
        <v>-0.16828544437885301</v>
      </c>
      <c r="E594" s="6">
        <v>-0.93624192476272605</v>
      </c>
      <c r="F594" s="6">
        <v>0.6648728251457211</v>
      </c>
      <c r="G594" s="6">
        <v>-0.81385898590087902</v>
      </c>
      <c r="H594" s="6">
        <v>-0.14845032989978801</v>
      </c>
      <c r="I594" s="6">
        <v>0.298926502466202</v>
      </c>
      <c r="J594" s="6">
        <v>0.58818578720092807</v>
      </c>
      <c r="K594" s="6">
        <v>-1.1755169630050659</v>
      </c>
      <c r="L594" s="6">
        <v>2.103235244750977</v>
      </c>
      <c r="M594" s="6">
        <v>-1.031084299087524</v>
      </c>
      <c r="N594" s="6">
        <v>0.68017306732347105</v>
      </c>
      <c r="O594" s="6">
        <v>0.66971810812420707</v>
      </c>
      <c r="P594" s="6">
        <v>2.5698509135969472</v>
      </c>
      <c r="Q594" s="6"/>
      <c r="R594" s="6">
        <v>18.502328201852308</v>
      </c>
      <c r="S594" s="6">
        <v>21.318180508685888</v>
      </c>
      <c r="T594" s="6">
        <v>12.820606231689453</v>
      </c>
      <c r="U594" s="6" t="str">
        <f>_xll.BDP($A594,"TRAILING_12M_R&amp;D_%_SALES",$A$1,$A$2)</f>
        <v>#N/A N/A</v>
      </c>
      <c r="V594" s="6">
        <v>40</v>
      </c>
      <c r="W594" s="6">
        <v>403010</v>
      </c>
      <c r="X594" s="6">
        <v>40301050</v>
      </c>
      <c r="Y594" s="7" t="s">
        <v>43</v>
      </c>
      <c r="Z594" s="7" t="s">
        <v>44</v>
      </c>
      <c r="AA594" s="7" t="s">
        <v>1538</v>
      </c>
      <c r="AB594" s="6">
        <v>54.551856994628906</v>
      </c>
      <c r="AC594" s="6">
        <v>0.69850780722644801</v>
      </c>
      <c r="AD594" s="6">
        <v>25.662128645933269</v>
      </c>
      <c r="AE594" s="6">
        <v>14408</v>
      </c>
      <c r="AF594" s="6">
        <v>14485</v>
      </c>
    </row>
    <row r="595" spans="1:32" s="4" customFormat="1" ht="12.75" x14ac:dyDescent="0.2">
      <c r="A595" s="7" t="s">
        <v>1947</v>
      </c>
      <c r="B595" s="7" t="s">
        <v>1948</v>
      </c>
      <c r="C595" s="7" t="s">
        <v>1949</v>
      </c>
      <c r="D595" s="6">
        <v>-0.52235704660415605</v>
      </c>
      <c r="E595" s="6">
        <v>-0.691597580909729</v>
      </c>
      <c r="F595" s="6">
        <v>1.1482559442520139</v>
      </c>
      <c r="G595" s="6">
        <v>-0.67067444324493408</v>
      </c>
      <c r="H595" s="6">
        <v>0.67026704549789407</v>
      </c>
      <c r="I595" s="6">
        <v>1.358076214790344</v>
      </c>
      <c r="J595" s="6">
        <v>1.482590794563293</v>
      </c>
      <c r="K595" s="6">
        <v>-1.205610394477844</v>
      </c>
      <c r="L595" s="6">
        <v>1.2481594085693359</v>
      </c>
      <c r="M595" s="6">
        <v>-0.74120062589645408</v>
      </c>
      <c r="N595" s="6">
        <v>0.55810670590937106</v>
      </c>
      <c r="O595" s="6">
        <v>0.55010541382148403</v>
      </c>
      <c r="P595" s="6">
        <v>0.86320013981883204</v>
      </c>
      <c r="Q595" s="6">
        <v>0.81629574641479907</v>
      </c>
      <c r="R595" s="6">
        <v>7.592812097833427</v>
      </c>
      <c r="S595" s="6">
        <v>7.7044383680128927</v>
      </c>
      <c r="T595" s="6">
        <v>12.180610656738281</v>
      </c>
      <c r="U595" s="6">
        <f>_xll.BDP($A595,"TRAILING_12M_R&amp;D_%_SALES",$A$1,$A$2)</f>
        <v>0</v>
      </c>
      <c r="V595" s="6">
        <v>20</v>
      </c>
      <c r="W595" s="6">
        <v>201070</v>
      </c>
      <c r="X595" s="6">
        <v>20107010</v>
      </c>
      <c r="Y595" s="7" t="s">
        <v>38</v>
      </c>
      <c r="Z595" s="7" t="s">
        <v>39</v>
      </c>
      <c r="AA595" s="7" t="s">
        <v>39</v>
      </c>
      <c r="AB595" s="6">
        <v>51.47369384765625</v>
      </c>
      <c r="AC595" s="6">
        <v>0.52111688099040399</v>
      </c>
      <c r="AD595" s="6">
        <v>37.906443307357726</v>
      </c>
      <c r="AE595" s="6">
        <v>78235</v>
      </c>
      <c r="AF595" s="6">
        <v>73016</v>
      </c>
    </row>
    <row r="596" spans="1:32" s="4" customFormat="1" ht="12.75" x14ac:dyDescent="0.2">
      <c r="A596" s="7" t="s">
        <v>1950</v>
      </c>
      <c r="B596" s="7" t="s">
        <v>1951</v>
      </c>
      <c r="C596" s="7" t="s">
        <v>1952</v>
      </c>
      <c r="D596" s="6">
        <v>-0.52235704660415605</v>
      </c>
      <c r="E596" s="6">
        <v>-0.691597580909729</v>
      </c>
      <c r="F596" s="6">
        <v>1.1482559442520139</v>
      </c>
      <c r="G596" s="6">
        <v>-0.67067444324493408</v>
      </c>
      <c r="H596" s="6">
        <v>0.67026704549789407</v>
      </c>
      <c r="I596" s="6">
        <v>1.358076214790344</v>
      </c>
      <c r="J596" s="6">
        <v>1.482590794563293</v>
      </c>
      <c r="K596" s="6">
        <v>-1.205610394477844</v>
      </c>
      <c r="L596" s="6">
        <v>1.2481594085693359</v>
      </c>
      <c r="M596" s="6">
        <v>-0.74120062589645408</v>
      </c>
      <c r="N596" s="6">
        <v>0.55810670590937106</v>
      </c>
      <c r="O596" s="6">
        <v>0.56414332107857401</v>
      </c>
      <c r="P596" s="6">
        <v>0.86320013981883204</v>
      </c>
      <c r="Q596" s="6"/>
      <c r="R596" s="6">
        <v>7.592812097833427</v>
      </c>
      <c r="S596" s="6">
        <v>8.1684565087439243</v>
      </c>
      <c r="T596" s="6">
        <v>12.180610656738281</v>
      </c>
      <c r="U596" s="6">
        <f>_xll.BDP($A596,"TRAILING_12M_R&amp;D_%_SALES",$A$1,$A$2)</f>
        <v>0</v>
      </c>
      <c r="V596" s="6">
        <v>20</v>
      </c>
      <c r="W596" s="6">
        <v>201070</v>
      </c>
      <c r="X596" s="6">
        <v>20107010</v>
      </c>
      <c r="Y596" s="7" t="s">
        <v>38</v>
      </c>
      <c r="Z596" s="7" t="s">
        <v>39</v>
      </c>
      <c r="AA596" s="7" t="s">
        <v>39</v>
      </c>
      <c r="AB596" s="6">
        <v>51.47369384765625</v>
      </c>
      <c r="AC596" s="6">
        <v>0.74857290956465306</v>
      </c>
      <c r="AD596" s="6">
        <v>35.684032724251821</v>
      </c>
      <c r="AE596" s="6">
        <v>78235</v>
      </c>
      <c r="AF596" s="6">
        <v>73016</v>
      </c>
    </row>
    <row r="597" spans="1:32" s="4" customFormat="1" ht="12.75" x14ac:dyDescent="0.2">
      <c r="A597" s="7" t="s">
        <v>1953</v>
      </c>
      <c r="B597" s="7" t="s">
        <v>1954</v>
      </c>
      <c r="C597" s="7" t="s">
        <v>1955</v>
      </c>
      <c r="D597" s="6">
        <v>-0.9272630810737611</v>
      </c>
      <c r="E597" s="6">
        <v>0.339460879564285</v>
      </c>
      <c r="F597" s="6">
        <v>1.0625289678573611</v>
      </c>
      <c r="G597" s="6">
        <v>-0.60233324766159102</v>
      </c>
      <c r="H597" s="6">
        <v>-0.84552496671676602</v>
      </c>
      <c r="I597" s="6">
        <v>0.21158143877983102</v>
      </c>
      <c r="J597" s="6">
        <v>0.90704828500747703</v>
      </c>
      <c r="K597" s="6">
        <v>0.50735419988632202</v>
      </c>
      <c r="L597" s="6">
        <v>-0.51052218675613403</v>
      </c>
      <c r="M597" s="6">
        <v>1.2479450702667241</v>
      </c>
      <c r="N597" s="6">
        <v>2.5182909847550299</v>
      </c>
      <c r="O597" s="6">
        <v>2.6272650727941129</v>
      </c>
      <c r="P597" s="6">
        <v>2.9341595894358319</v>
      </c>
      <c r="Q597" s="6">
        <v>2.3626502076331879</v>
      </c>
      <c r="R597" s="6">
        <v>10.770667158990126</v>
      </c>
      <c r="S597" s="6">
        <v>12.647465811586137</v>
      </c>
      <c r="T597" s="6">
        <v>30.836368560791016</v>
      </c>
      <c r="U597" s="6">
        <f>_xll.BDP($A597,"TRAILING_12M_R&amp;D_%_SALES",$A$1,$A$2)</f>
        <v>15.660562212676163</v>
      </c>
      <c r="V597" s="6">
        <v>45</v>
      </c>
      <c r="W597" s="6">
        <v>453010</v>
      </c>
      <c r="X597" s="6">
        <v>45301020</v>
      </c>
      <c r="Y597" s="7" t="s">
        <v>56</v>
      </c>
      <c r="Z597" s="7" t="s">
        <v>130</v>
      </c>
      <c r="AA597" s="7" t="s">
        <v>131</v>
      </c>
      <c r="AB597" s="6">
        <v>68.614830017089844</v>
      </c>
      <c r="AC597" s="6">
        <v>1.3188615165183071</v>
      </c>
      <c r="AD597" s="6">
        <v>41.022697078817806</v>
      </c>
      <c r="AE597" s="6">
        <v>51370</v>
      </c>
      <c r="AF597" s="6">
        <v>45468</v>
      </c>
    </row>
    <row r="598" spans="1:32" s="4" customFormat="1" ht="12.75" x14ac:dyDescent="0.2">
      <c r="A598" s="7" t="s">
        <v>1956</v>
      </c>
      <c r="B598" s="7" t="s">
        <v>1957</v>
      </c>
      <c r="C598" s="7" t="s">
        <v>1958</v>
      </c>
      <c r="D598" s="6">
        <v>-0.41571968793869002</v>
      </c>
      <c r="E598" s="6">
        <v>-0.97663271427154508</v>
      </c>
      <c r="F598" s="6">
        <v>0.64397323131561302</v>
      </c>
      <c r="G598" s="6">
        <v>0.10081689804792401</v>
      </c>
      <c r="H598" s="6">
        <v>0.207314118742943</v>
      </c>
      <c r="I598" s="6">
        <v>-0.43037924170494102</v>
      </c>
      <c r="J598" s="6">
        <v>2.0342013835906978</v>
      </c>
      <c r="K598" s="6">
        <v>-1.127625465393066</v>
      </c>
      <c r="L598" s="6">
        <v>1.2185459136962891</v>
      </c>
      <c r="M598" s="6">
        <v>-0.82415193319320701</v>
      </c>
      <c r="N598" s="6">
        <v>1.4774059344564301</v>
      </c>
      <c r="O598" s="6">
        <v>1.987021814489291</v>
      </c>
      <c r="P598" s="6">
        <v>1.104314050944142</v>
      </c>
      <c r="Q598" s="6">
        <v>1.0141265815704279</v>
      </c>
      <c r="R598" s="6">
        <v>10.982854564423317</v>
      </c>
      <c r="S598" s="6">
        <v>10.282032017554576</v>
      </c>
      <c r="T598" s="6">
        <v>10.354801177978516</v>
      </c>
      <c r="U598" s="6" t="str">
        <f>_xll.BDP($A598,"TRAILING_12M_R&amp;D_%_SALES",$A$1,$A$2)</f>
        <v>#N/A N/A</v>
      </c>
      <c r="V598" s="6">
        <v>40</v>
      </c>
      <c r="W598" s="6">
        <v>402030</v>
      </c>
      <c r="X598" s="6">
        <v>40203010</v>
      </c>
      <c r="Y598" s="7" t="s">
        <v>43</v>
      </c>
      <c r="Z598" s="7" t="s">
        <v>212</v>
      </c>
      <c r="AA598" s="7" t="s">
        <v>213</v>
      </c>
      <c r="AB598" s="6">
        <v>55.970222473144531</v>
      </c>
      <c r="AC598" s="6">
        <v>1.186533472957416</v>
      </c>
      <c r="AD598" s="6">
        <v>3.3316625082629558</v>
      </c>
      <c r="AE598" s="6">
        <v>42226</v>
      </c>
      <c r="AF598" s="6">
        <v>36643</v>
      </c>
    </row>
    <row r="599" spans="1:32" s="4" customFormat="1" ht="12.75" x14ac:dyDescent="0.2">
      <c r="A599" s="7" t="s">
        <v>1959</v>
      </c>
      <c r="B599" s="7" t="s">
        <v>1960</v>
      </c>
      <c r="C599" s="7" t="s">
        <v>1961</v>
      </c>
      <c r="D599" s="6">
        <v>-0.96217870712280307</v>
      </c>
      <c r="E599" s="6">
        <v>-1.174752950668335</v>
      </c>
      <c r="F599" s="6">
        <v>-0.90826576948165905</v>
      </c>
      <c r="G599" s="6">
        <v>-0.16370700299739802</v>
      </c>
      <c r="H599" s="6">
        <v>0.71631604433059703</v>
      </c>
      <c r="I599" s="6">
        <v>-0.29154655337333701</v>
      </c>
      <c r="J599" s="6">
        <v>-0.272350013256073</v>
      </c>
      <c r="K599" s="6">
        <v>-1.176053643226624</v>
      </c>
      <c r="L599" s="6">
        <v>-7.5505472719669009E-2</v>
      </c>
      <c r="M599" s="6">
        <v>-0.681463003158569</v>
      </c>
      <c r="N599" s="6">
        <v>4.422484131364083</v>
      </c>
      <c r="O599" s="6">
        <v>4.1803895252454577</v>
      </c>
      <c r="P599" s="6">
        <v>4.7279886402897437</v>
      </c>
      <c r="Q599" s="6">
        <v>3.9796343754633678</v>
      </c>
      <c r="R599" s="6">
        <v>22.40455619170379</v>
      </c>
      <c r="S599" s="6">
        <v>18.293867343737755</v>
      </c>
      <c r="T599" s="6">
        <v>16.151397705078125</v>
      </c>
      <c r="U599" s="6" t="str">
        <f>_xll.BDP($A599,"TRAILING_12M_R&amp;D_%_SALES",$A$1,$A$2)</f>
        <v>#N/A N/A</v>
      </c>
      <c r="V599" s="6">
        <v>30</v>
      </c>
      <c r="W599" s="6">
        <v>302010</v>
      </c>
      <c r="X599" s="6">
        <v>30201020</v>
      </c>
      <c r="Y599" s="7" t="s">
        <v>106</v>
      </c>
      <c r="Z599" s="7" t="s">
        <v>505</v>
      </c>
      <c r="AA599" s="7" t="s">
        <v>1962</v>
      </c>
      <c r="AB599" s="6">
        <v>50.50799560546875</v>
      </c>
      <c r="AC599" s="6">
        <v>0.85189547923753806</v>
      </c>
      <c r="AD599" s="6">
        <v>4.4557777426441625</v>
      </c>
      <c r="AE599" s="6">
        <v>10700</v>
      </c>
      <c r="AF599" s="6">
        <v>9600</v>
      </c>
    </row>
    <row r="600" spans="1:32" s="4" customFormat="1" ht="12.75" x14ac:dyDescent="0.2">
      <c r="A600" s="7" t="s">
        <v>1963</v>
      </c>
      <c r="B600" s="7" t="s">
        <v>1964</v>
      </c>
      <c r="C600" s="7" t="s">
        <v>1965</v>
      </c>
      <c r="D600" s="6">
        <v>-0.41182801127433805</v>
      </c>
      <c r="E600" s="6">
        <v>-0.52113008499145508</v>
      </c>
      <c r="F600" s="6">
        <v>-5.1323954015970001E-2</v>
      </c>
      <c r="G600" s="6">
        <v>0.68732357025146507</v>
      </c>
      <c r="H600" s="6">
        <v>-0.31789693236351002</v>
      </c>
      <c r="I600" s="6">
        <v>6.9329127669334009E-2</v>
      </c>
      <c r="J600" s="6">
        <v>1.800425171852112</v>
      </c>
      <c r="K600" s="6">
        <v>-0.76458752155304011</v>
      </c>
      <c r="L600" s="6">
        <v>1.4313304424285891</v>
      </c>
      <c r="M600" s="6">
        <v>0.11317253112793001</v>
      </c>
      <c r="N600" s="6">
        <v>1.117081990753537</v>
      </c>
      <c r="O600" s="6">
        <v>1.0763418203684669</v>
      </c>
      <c r="P600" s="6">
        <v>1.3192362851094801</v>
      </c>
      <c r="Q600" s="6">
        <v>1.2021371190734971</v>
      </c>
      <c r="R600" s="6">
        <v>8.4758008739529274</v>
      </c>
      <c r="S600" s="6">
        <v>7.6569798639592666</v>
      </c>
      <c r="T600" s="6">
        <v>20.556188583374023</v>
      </c>
      <c r="U600" s="6" t="str">
        <f>_xll.BDP($A600,"TRAILING_12M_R&amp;D_%_SALES",$A$1,$A$2)</f>
        <v>#N/A N/A</v>
      </c>
      <c r="V600" s="6">
        <v>10</v>
      </c>
      <c r="W600" s="6">
        <v>101020</v>
      </c>
      <c r="X600" s="6">
        <v>10102010</v>
      </c>
      <c r="Y600" s="7" t="s">
        <v>387</v>
      </c>
      <c r="Z600" s="7" t="s">
        <v>516</v>
      </c>
      <c r="AA600" s="7" t="s">
        <v>693</v>
      </c>
      <c r="AB600" s="6">
        <v>78.462928771972656</v>
      </c>
      <c r="AC600" s="6">
        <v>0.80857358695973802</v>
      </c>
      <c r="AD600" s="6">
        <v>7.0613902057196309</v>
      </c>
      <c r="AE600" s="6">
        <v>16558</v>
      </c>
      <c r="AF600" s="6">
        <v>12381</v>
      </c>
    </row>
    <row r="601" spans="1:32" s="4" customFormat="1" ht="12.75" x14ac:dyDescent="0.2">
      <c r="A601" s="7" t="s">
        <v>1966</v>
      </c>
      <c r="B601" s="7" t="s">
        <v>1912</v>
      </c>
      <c r="C601" s="7" t="s">
        <v>1967</v>
      </c>
      <c r="D601" s="6">
        <v>-0.49784904718399003</v>
      </c>
      <c r="E601" s="6">
        <v>-1.1605087518692021</v>
      </c>
      <c r="F601" s="6">
        <v>-1.0503842830657959</v>
      </c>
      <c r="G601" s="6">
        <v>-0.65662354230880704</v>
      </c>
      <c r="H601" s="6">
        <v>1.3334923982620239</v>
      </c>
      <c r="I601" s="6">
        <v>0.78329968452453602</v>
      </c>
      <c r="J601" s="6">
        <v>2.0195403099060059</v>
      </c>
      <c r="K601" s="6">
        <v>-1.1329822540283201</v>
      </c>
      <c r="L601" s="6">
        <v>1.122004389762878</v>
      </c>
      <c r="M601" s="6">
        <v>-0.90026140213012706</v>
      </c>
      <c r="N601" s="6">
        <v>1.143666575864887</v>
      </c>
      <c r="O601" s="6"/>
      <c r="P601" s="6">
        <v>0.66730516691515507</v>
      </c>
      <c r="Q601" s="6"/>
      <c r="R601" s="6">
        <v>15.100572775094195</v>
      </c>
      <c r="S601" s="6"/>
      <c r="T601" s="6">
        <v>4.6234908103942871</v>
      </c>
      <c r="U601" s="6" t="str">
        <f>_xll.BDP($A601,"TRAILING_12M_R&amp;D_%_SALES",$A$1,$A$2)</f>
        <v>#N/A N/A</v>
      </c>
      <c r="V601" s="6">
        <v>40</v>
      </c>
      <c r="W601" s="6">
        <v>401010</v>
      </c>
      <c r="X601" s="6">
        <v>40101010</v>
      </c>
      <c r="Y601" s="7" t="s">
        <v>43</v>
      </c>
      <c r="Z601" s="7" t="s">
        <v>67</v>
      </c>
      <c r="AA601" s="7" t="s">
        <v>68</v>
      </c>
      <c r="AB601" s="6">
        <v>49.974853515625</v>
      </c>
      <c r="AC601" s="6">
        <v>0.60964182281805701</v>
      </c>
      <c r="AD601" s="6">
        <v>15.865929337417594</v>
      </c>
      <c r="AE601" s="6">
        <v>22465</v>
      </c>
      <c r="AF601" s="6">
        <v>22351</v>
      </c>
    </row>
    <row r="602" spans="1:32" s="4" customFormat="1" ht="12.75" x14ac:dyDescent="0.2">
      <c r="A602" s="7" t="s">
        <v>1968</v>
      </c>
      <c r="B602" s="7" t="s">
        <v>1969</v>
      </c>
      <c r="C602" s="7" t="s">
        <v>1970</v>
      </c>
      <c r="D602" s="6">
        <v>-0.28440943360328702</v>
      </c>
      <c r="E602" s="6">
        <v>-0.99848288297653209</v>
      </c>
      <c r="F602" s="6">
        <v>0.33012142777442904</v>
      </c>
      <c r="G602" s="6">
        <v>-0.86764746904373202</v>
      </c>
      <c r="H602" s="6">
        <v>0.45792645215988204</v>
      </c>
      <c r="I602" s="6">
        <v>-0.25478875637054405</v>
      </c>
      <c r="J602" s="6">
        <v>0.8848741650581361</v>
      </c>
      <c r="K602" s="6">
        <v>-0.30413320660591103</v>
      </c>
      <c r="L602" s="6">
        <v>0.18000426888465901</v>
      </c>
      <c r="M602" s="6">
        <v>-0.49398648738861106</v>
      </c>
      <c r="N602" s="6">
        <v>0.48973548267894401</v>
      </c>
      <c r="O602" s="6">
        <v>0.40348485587758404</v>
      </c>
      <c r="P602" s="6">
        <v>1.329106105574213</v>
      </c>
      <c r="Q602" s="6">
        <v>1.2415522700650841</v>
      </c>
      <c r="R602" s="6">
        <v>21.951506499345815</v>
      </c>
      <c r="S602" s="6">
        <v>15.143987846840252</v>
      </c>
      <c r="T602" s="6">
        <v>6.2685542106628418</v>
      </c>
      <c r="U602" s="6">
        <f>_xll.BDP($A602,"TRAILING_12M_R&amp;D_%_SALES",$A$1,$A$2)</f>
        <v>0</v>
      </c>
      <c r="V602" s="6">
        <v>30</v>
      </c>
      <c r="W602" s="6">
        <v>301010</v>
      </c>
      <c r="X602" s="6">
        <v>30101030</v>
      </c>
      <c r="Y602" s="7" t="s">
        <v>106</v>
      </c>
      <c r="Z602" s="7" t="s">
        <v>107</v>
      </c>
      <c r="AA602" s="7" t="s">
        <v>108</v>
      </c>
      <c r="AB602" s="6">
        <v>46.373603820800781</v>
      </c>
      <c r="AC602" s="6">
        <v>0.35529759703640101</v>
      </c>
      <c r="AD602" s="6">
        <v>-5.6644479724358039</v>
      </c>
      <c r="AE602" s="6">
        <v>167248</v>
      </c>
      <c r="AF602" s="6">
        <v>149414</v>
      </c>
    </row>
    <row r="603" spans="1:32" s="4" customFormat="1" ht="12.75" x14ac:dyDescent="0.2">
      <c r="A603" s="7" t="s">
        <v>1971</v>
      </c>
      <c r="B603" s="7" t="s">
        <v>1972</v>
      </c>
      <c r="C603" s="7" t="s">
        <v>1973</v>
      </c>
      <c r="D603" s="6">
        <v>-0.28440943360328702</v>
      </c>
      <c r="E603" s="6">
        <v>-0.99848288297653209</v>
      </c>
      <c r="F603" s="6">
        <v>0.33012142777442904</v>
      </c>
      <c r="G603" s="6">
        <v>-0.86764746904373202</v>
      </c>
      <c r="H603" s="6">
        <v>0.45792645215988204</v>
      </c>
      <c r="I603" s="6">
        <v>-0.25478875637054405</v>
      </c>
      <c r="J603" s="6">
        <v>0.8848741650581361</v>
      </c>
      <c r="K603" s="6">
        <v>-0.30413320660591103</v>
      </c>
      <c r="L603" s="6">
        <v>0.18000426888465901</v>
      </c>
      <c r="M603" s="6">
        <v>-0.49398648738861106</v>
      </c>
      <c r="N603" s="6">
        <v>0.48973548267894401</v>
      </c>
      <c r="O603" s="6"/>
      <c r="P603" s="6">
        <v>1.329106105574213</v>
      </c>
      <c r="Q603" s="6"/>
      <c r="R603" s="6">
        <v>21.951506499345815</v>
      </c>
      <c r="S603" s="6"/>
      <c r="T603" s="6">
        <v>6.2685542106628418</v>
      </c>
      <c r="U603" s="6">
        <f>_xll.BDP($A603,"TRAILING_12M_R&amp;D_%_SALES",$A$1,$A$2)</f>
        <v>0</v>
      </c>
      <c r="V603" s="6">
        <v>30</v>
      </c>
      <c r="W603" s="6">
        <v>301010</v>
      </c>
      <c r="X603" s="6">
        <v>30101030</v>
      </c>
      <c r="Y603" s="7" t="s">
        <v>106</v>
      </c>
      <c r="Z603" s="7" t="s">
        <v>107</v>
      </c>
      <c r="AA603" s="7" t="s">
        <v>108</v>
      </c>
      <c r="AB603" s="6">
        <v>46.373603820800781</v>
      </c>
      <c r="AC603" s="6">
        <v>0.63489612287103803</v>
      </c>
      <c r="AD603" s="6">
        <v>-5.2528900404661183</v>
      </c>
      <c r="AE603" s="6">
        <v>167248</v>
      </c>
      <c r="AF603" s="6">
        <v>149414</v>
      </c>
    </row>
    <row r="604" spans="1:32" s="4" customFormat="1" ht="12.75" x14ac:dyDescent="0.2">
      <c r="A604" s="7" t="s">
        <v>1974</v>
      </c>
      <c r="B604" s="7" t="s">
        <v>1975</v>
      </c>
      <c r="C604" s="7" t="s">
        <v>1976</v>
      </c>
      <c r="D604" s="6">
        <v>-0.49890115857124306</v>
      </c>
      <c r="E604" s="6">
        <v>-0.97705906629562411</v>
      </c>
      <c r="F604" s="6">
        <v>-1.2817831039428711</v>
      </c>
      <c r="G604" s="6">
        <v>-0.86590379476547208</v>
      </c>
      <c r="H604" s="6">
        <v>2.0463442802429199</v>
      </c>
      <c r="I604" s="6">
        <v>3.4948166459799E-2</v>
      </c>
      <c r="J604" s="6">
        <v>0.22628501057624803</v>
      </c>
      <c r="K604" s="6">
        <v>-1.309295058250427</v>
      </c>
      <c r="L604" s="6">
        <v>1.938018798828125</v>
      </c>
      <c r="M604" s="6">
        <v>-0.50306934118270907</v>
      </c>
      <c r="N604" s="6">
        <v>1.38397426169046</v>
      </c>
      <c r="O604" s="6">
        <v>3.5658740919791092</v>
      </c>
      <c r="P604" s="6">
        <v>1.063658877160031</v>
      </c>
      <c r="Q604" s="6">
        <v>1.015908829192937</v>
      </c>
      <c r="R604" s="6">
        <v>7.9621637336446796</v>
      </c>
      <c r="S604" s="6">
        <v>8.6818966849450803</v>
      </c>
      <c r="T604" s="6">
        <v>14.169088363647461</v>
      </c>
      <c r="U604" s="6" t="str">
        <f>_xll.BDP($A604,"TRAILING_12M_R&amp;D_%_SALES",$A$1,$A$2)</f>
        <v>#N/A N/A</v>
      </c>
      <c r="V604" s="6">
        <v>40</v>
      </c>
      <c r="W604" s="6">
        <v>401010</v>
      </c>
      <c r="X604" s="6">
        <v>40101010</v>
      </c>
      <c r="Y604" s="7" t="s">
        <v>43</v>
      </c>
      <c r="Z604" s="7" t="s">
        <v>67</v>
      </c>
      <c r="AA604" s="7" t="s">
        <v>68</v>
      </c>
      <c r="AB604" s="6">
        <v>54.2098388671875</v>
      </c>
      <c r="AC604" s="6">
        <v>0.62641635840507304</v>
      </c>
      <c r="AD604" s="6">
        <v>19.586721010635099</v>
      </c>
      <c r="AE604" s="6">
        <v>10954</v>
      </c>
      <c r="AF604" s="6">
        <v>11832</v>
      </c>
    </row>
    <row r="605" spans="1:32" s="4" customFormat="1" ht="12.75" x14ac:dyDescent="0.2">
      <c r="A605" s="7" t="s">
        <v>1977</v>
      </c>
      <c r="B605" s="7" t="s">
        <v>1978</v>
      </c>
      <c r="C605" s="7" t="s">
        <v>1979</v>
      </c>
      <c r="D605" s="6">
        <v>-0.49890115857124306</v>
      </c>
      <c r="E605" s="6">
        <v>-0.97705906629562411</v>
      </c>
      <c r="F605" s="6">
        <v>-1.2817831039428711</v>
      </c>
      <c r="G605" s="6">
        <v>-0.86590379476547208</v>
      </c>
      <c r="H605" s="6">
        <v>2.0463442802429199</v>
      </c>
      <c r="I605" s="6">
        <v>3.4948166459799E-2</v>
      </c>
      <c r="J605" s="6">
        <v>0.22628501057624803</v>
      </c>
      <c r="K605" s="6">
        <v>-1.309295058250427</v>
      </c>
      <c r="L605" s="6">
        <v>1.938018798828125</v>
      </c>
      <c r="M605" s="6">
        <v>-0.50306934118270907</v>
      </c>
      <c r="N605" s="6">
        <v>1.38397426169046</v>
      </c>
      <c r="O605" s="6"/>
      <c r="P605" s="6">
        <v>1.063658877160031</v>
      </c>
      <c r="Q605" s="6"/>
      <c r="R605" s="6">
        <v>7.9621637336446796</v>
      </c>
      <c r="S605" s="6"/>
      <c r="T605" s="6">
        <v>14.169088363647461</v>
      </c>
      <c r="U605" s="6" t="str">
        <f>_xll.BDP($A605,"TRAILING_12M_R&amp;D_%_SALES",$A$1,$A$2)</f>
        <v>#N/A N/A</v>
      </c>
      <c r="V605" s="6">
        <v>40</v>
      </c>
      <c r="W605" s="6">
        <v>401010</v>
      </c>
      <c r="X605" s="6">
        <v>40101010</v>
      </c>
      <c r="Y605" s="7" t="s">
        <v>43</v>
      </c>
      <c r="Z605" s="7" t="s">
        <v>67</v>
      </c>
      <c r="AA605" s="7" t="s">
        <v>68</v>
      </c>
      <c r="AB605" s="6">
        <v>54.2098388671875</v>
      </c>
      <c r="AC605" s="6">
        <v>0.78948941961720009</v>
      </c>
      <c r="AD605" s="6">
        <v>17.319912937805992</v>
      </c>
      <c r="AE605" s="6">
        <v>10954</v>
      </c>
      <c r="AF605" s="6">
        <v>11832</v>
      </c>
    </row>
    <row r="606" spans="1:32" s="4" customFormat="1" ht="12.75" x14ac:dyDescent="0.2">
      <c r="A606" s="7" t="s">
        <v>1980</v>
      </c>
      <c r="B606" s="7" t="s">
        <v>1981</v>
      </c>
      <c r="C606" s="7" t="s">
        <v>1982</v>
      </c>
      <c r="D606" s="6">
        <v>0</v>
      </c>
      <c r="E606" s="6">
        <v>0</v>
      </c>
      <c r="F606" s="6">
        <v>0</v>
      </c>
      <c r="G606" s="6">
        <v>0</v>
      </c>
      <c r="H606" s="6">
        <v>0</v>
      </c>
      <c r="I606" s="6">
        <v>0</v>
      </c>
      <c r="J606" s="6">
        <v>0</v>
      </c>
      <c r="K606" s="6">
        <v>0</v>
      </c>
      <c r="L606" s="6">
        <v>0</v>
      </c>
      <c r="M606" s="6">
        <v>0</v>
      </c>
      <c r="N606" s="6"/>
      <c r="O606" s="6"/>
      <c r="P606" s="6"/>
      <c r="Q606" s="6"/>
      <c r="R606" s="6"/>
      <c r="S606" s="6"/>
      <c r="T606" s="6"/>
      <c r="U606" s="6" t="str">
        <f>_xll.BDP($A606,"TRAILING_12M_R&amp;D_%_SALES",$A$1,$A$2)</f>
        <v>#N/A Field Not Applicable</v>
      </c>
      <c r="V606" s="6"/>
      <c r="W606" s="6"/>
      <c r="X606" s="6"/>
      <c r="Y606" s="7" t="s">
        <v>918</v>
      </c>
      <c r="Z606" s="7" t="s">
        <v>918</v>
      </c>
      <c r="AA606" s="7" t="s">
        <v>918</v>
      </c>
      <c r="AB606" s="6"/>
      <c r="AC606" s="6">
        <v>1.369219607651075</v>
      </c>
      <c r="AD606" s="6">
        <v>76.330154505649304</v>
      </c>
      <c r="AE606" s="6"/>
      <c r="AF606" s="6"/>
    </row>
    <row r="607" spans="1:32" s="4" customFormat="1" ht="12.75" x14ac:dyDescent="0.2">
      <c r="A607" s="7" t="s">
        <v>1983</v>
      </c>
      <c r="B607" s="7" t="s">
        <v>1984</v>
      </c>
      <c r="C607" s="7" t="s">
        <v>1985</v>
      </c>
      <c r="D607" s="6">
        <v>-0.548975110054016</v>
      </c>
      <c r="E607" s="6">
        <v>-0.88837176561355602</v>
      </c>
      <c r="F607" s="6">
        <v>-0.58341640233993508</v>
      </c>
      <c r="G607" s="6">
        <v>-0.85034614801406905</v>
      </c>
      <c r="H607" s="6">
        <v>1.713125944137573</v>
      </c>
      <c r="I607" s="6">
        <v>0.71433472633361805</v>
      </c>
      <c r="J607" s="6">
        <v>0.14869727194309201</v>
      </c>
      <c r="K607" s="6">
        <v>-1.337352991104126</v>
      </c>
      <c r="L607" s="6">
        <v>1.528055787086487</v>
      </c>
      <c r="M607" s="6">
        <v>-0.8378604650497441</v>
      </c>
      <c r="N607" s="6">
        <v>1.8936077691183142</v>
      </c>
      <c r="O607" s="6">
        <v>3.2399821760693461</v>
      </c>
      <c r="P607" s="6">
        <v>1.1851805430858851</v>
      </c>
      <c r="Q607" s="6">
        <v>1.084427133734813</v>
      </c>
      <c r="R607" s="6">
        <v>7.0063922928190783</v>
      </c>
      <c r="S607" s="6">
        <v>7.3078232405846819</v>
      </c>
      <c r="T607" s="6">
        <v>18.013336181640625</v>
      </c>
      <c r="U607" s="6" t="str">
        <f>_xll.BDP($A607,"TRAILING_12M_R&amp;D_%_SALES",$A$1,$A$2)</f>
        <v>#N/A N/A</v>
      </c>
      <c r="V607" s="6">
        <v>40</v>
      </c>
      <c r="W607" s="6">
        <v>401010</v>
      </c>
      <c r="X607" s="6">
        <v>40101010</v>
      </c>
      <c r="Y607" s="7" t="s">
        <v>43</v>
      </c>
      <c r="Z607" s="7" t="s">
        <v>67</v>
      </c>
      <c r="AA607" s="7" t="s">
        <v>68</v>
      </c>
      <c r="AB607" s="6">
        <v>54.793281555175781</v>
      </c>
      <c r="AC607" s="6">
        <v>0.66997299970964708</v>
      </c>
      <c r="AD607" s="6">
        <v>26.0804052969122</v>
      </c>
      <c r="AE607" s="6">
        <v>16803</v>
      </c>
      <c r="AF607" s="6">
        <v>14588</v>
      </c>
    </row>
    <row r="608" spans="1:32" s="4" customFormat="1" ht="12.75" x14ac:dyDescent="0.2">
      <c r="A608" s="7" t="s">
        <v>1986</v>
      </c>
      <c r="B608" s="7" t="s">
        <v>1987</v>
      </c>
      <c r="C608" s="7" t="s">
        <v>1988</v>
      </c>
      <c r="D608" s="6">
        <v>-0.548975110054016</v>
      </c>
      <c r="E608" s="6">
        <v>-0.88837176561355602</v>
      </c>
      <c r="F608" s="6">
        <v>-0.58341640233993508</v>
      </c>
      <c r="G608" s="6">
        <v>-0.85034614801406905</v>
      </c>
      <c r="H608" s="6">
        <v>1.713125944137573</v>
      </c>
      <c r="I608" s="6">
        <v>0.71433472633361805</v>
      </c>
      <c r="J608" s="6">
        <v>0.14869727194309201</v>
      </c>
      <c r="K608" s="6">
        <v>-1.337352991104126</v>
      </c>
      <c r="L608" s="6">
        <v>1.528055787086487</v>
      </c>
      <c r="M608" s="6">
        <v>-0.8378604650497441</v>
      </c>
      <c r="N608" s="6">
        <v>1.8936077691183142</v>
      </c>
      <c r="O608" s="6"/>
      <c r="P608" s="6">
        <v>1.1851805430858851</v>
      </c>
      <c r="Q608" s="6"/>
      <c r="R608" s="6">
        <v>7.0063922928190783</v>
      </c>
      <c r="S608" s="6"/>
      <c r="T608" s="6">
        <v>18.013336181640625</v>
      </c>
      <c r="U608" s="6" t="str">
        <f>_xll.BDP($A608,"TRAILING_12M_R&amp;D_%_SALES",$A$1,$A$2)</f>
        <v>#N/A N/A</v>
      </c>
      <c r="V608" s="6">
        <v>40</v>
      </c>
      <c r="W608" s="6">
        <v>401010</v>
      </c>
      <c r="X608" s="6">
        <v>40101010</v>
      </c>
      <c r="Y608" s="7" t="s">
        <v>43</v>
      </c>
      <c r="Z608" s="7" t="s">
        <v>67</v>
      </c>
      <c r="AA608" s="7" t="s">
        <v>68</v>
      </c>
      <c r="AB608" s="6">
        <v>54.793281555175781</v>
      </c>
      <c r="AC608" s="6">
        <v>0.94819302415088402</v>
      </c>
      <c r="AD608" s="6">
        <v>24.344147509904769</v>
      </c>
      <c r="AE608" s="6">
        <v>16803</v>
      </c>
      <c r="AF608" s="6">
        <v>14588</v>
      </c>
    </row>
    <row r="609" spans="1:32" s="4" customFormat="1" ht="12.75" x14ac:dyDescent="0.2">
      <c r="A609" s="7" t="s">
        <v>1989</v>
      </c>
      <c r="B609" s="7" t="s">
        <v>1990</v>
      </c>
      <c r="C609" s="7" t="s">
        <v>1991</v>
      </c>
      <c r="D609" s="6">
        <v>-0.522813260555267</v>
      </c>
      <c r="E609" s="6">
        <v>-0.87839031219482411</v>
      </c>
      <c r="F609" s="6">
        <v>-0.43561276793479903</v>
      </c>
      <c r="G609" s="6">
        <v>-0.71944737434387207</v>
      </c>
      <c r="H609" s="6">
        <v>-0.29624211788177501</v>
      </c>
      <c r="I609" s="6">
        <v>0.15517583489418002</v>
      </c>
      <c r="J609" s="6">
        <v>0.24207659065723403</v>
      </c>
      <c r="K609" s="6">
        <v>-1.0922611951828001</v>
      </c>
      <c r="L609" s="6">
        <v>1.6992262601852421</v>
      </c>
      <c r="M609" s="6">
        <v>-1.053676843643188</v>
      </c>
      <c r="N609" s="6">
        <v>1.152244928347739</v>
      </c>
      <c r="O609" s="6">
        <v>0.88969348873032106</v>
      </c>
      <c r="P609" s="6">
        <v>2.2240286289537159</v>
      </c>
      <c r="Q609" s="6">
        <v>1.889282108982103</v>
      </c>
      <c r="R609" s="6">
        <v>12.129737849045581</v>
      </c>
      <c r="S609" s="6">
        <v>12.859742625303351</v>
      </c>
      <c r="T609" s="6">
        <v>12.300274848937988</v>
      </c>
      <c r="U609" s="6" t="str">
        <f>_xll.BDP($A609,"TRAILING_12M_R&amp;D_%_SALES",$A$1,$A$2)</f>
        <v>#N/A N/A</v>
      </c>
      <c r="V609" s="6">
        <v>40</v>
      </c>
      <c r="W609" s="6">
        <v>403010</v>
      </c>
      <c r="X609" s="6">
        <v>40301020</v>
      </c>
      <c r="Y609" s="7" t="s">
        <v>43</v>
      </c>
      <c r="Z609" s="7" t="s">
        <v>44</v>
      </c>
      <c r="AA609" s="7" t="s">
        <v>45</v>
      </c>
      <c r="AB609" s="6">
        <v>56.925861358642578</v>
      </c>
      <c r="AC609" s="6">
        <v>0.31258104613969101</v>
      </c>
      <c r="AD609" s="6">
        <v>32.869217956626159</v>
      </c>
      <c r="AE609" s="6">
        <v>10126</v>
      </c>
      <c r="AF609" s="6">
        <v>7979</v>
      </c>
    </row>
    <row r="610" spans="1:32" s="4" customFormat="1" ht="12.75" x14ac:dyDescent="0.2">
      <c r="A610" s="7" t="s">
        <v>1992</v>
      </c>
      <c r="B610" s="7" t="s">
        <v>1993</v>
      </c>
      <c r="C610" s="7" t="s">
        <v>1994</v>
      </c>
      <c r="D610" s="6">
        <v>-0.84027463197708108</v>
      </c>
      <c r="E610" s="6">
        <v>-0.24635893106460602</v>
      </c>
      <c r="F610" s="6">
        <v>-9.949745237827301E-2</v>
      </c>
      <c r="G610" s="6">
        <v>0.94797134399414107</v>
      </c>
      <c r="H610" s="6">
        <v>0.62802886962890603</v>
      </c>
      <c r="I610" s="6">
        <v>-0.33259615302085904</v>
      </c>
      <c r="J610" s="6">
        <v>2.9049665927886963</v>
      </c>
      <c r="K610" s="6">
        <v>-0.96373337507247903</v>
      </c>
      <c r="L610" s="6">
        <v>0.83850187063217207</v>
      </c>
      <c r="M610" s="6">
        <v>-0.94159036874771107</v>
      </c>
      <c r="N610" s="6">
        <v>0.81412481419222904</v>
      </c>
      <c r="O610" s="6">
        <v>1.0700676994863361</v>
      </c>
      <c r="P610" s="6">
        <v>1.2139863923569609</v>
      </c>
      <c r="Q610" s="6">
        <v>1.159074521401585</v>
      </c>
      <c r="R610" s="6">
        <v>7.0591493568978434</v>
      </c>
      <c r="S610" s="6">
        <v>7.2033902695421874</v>
      </c>
      <c r="T610" s="6">
        <v>18.465919494628906</v>
      </c>
      <c r="U610" s="6" t="str">
        <f>_xll.BDP($A610,"TRAILING_12M_R&amp;D_%_SALES",$A$1,$A$2)</f>
        <v>#N/A N/A</v>
      </c>
      <c r="V610" s="6">
        <v>40</v>
      </c>
      <c r="W610" s="6">
        <v>402020</v>
      </c>
      <c r="X610" s="6">
        <v>40202010</v>
      </c>
      <c r="Y610" s="7" t="s">
        <v>43</v>
      </c>
      <c r="Z610" s="7" t="s">
        <v>188</v>
      </c>
      <c r="AA610" s="7" t="s">
        <v>188</v>
      </c>
      <c r="AB610" s="6">
        <v>45.568855285644531</v>
      </c>
      <c r="AC610" s="6">
        <v>1.262399198404315</v>
      </c>
      <c r="AD610" s="6">
        <v>19.856485107489519</v>
      </c>
      <c r="AE610" s="6">
        <v>18500</v>
      </c>
      <c r="AF610" s="6">
        <v>16000</v>
      </c>
    </row>
    <row r="611" spans="1:32" s="4" customFormat="1" ht="12.75" x14ac:dyDescent="0.2">
      <c r="A611" s="7" t="s">
        <v>1995</v>
      </c>
      <c r="B611" s="7" t="s">
        <v>1996</v>
      </c>
      <c r="C611" s="7" t="s">
        <v>1997</v>
      </c>
      <c r="D611" s="6">
        <v>-0.42038738727569602</v>
      </c>
      <c r="E611" s="6">
        <v>-0.33741357922554005</v>
      </c>
      <c r="F611" s="6">
        <v>1.8936000764370003E-2</v>
      </c>
      <c r="G611" s="6">
        <v>-0.64926266670227106</v>
      </c>
      <c r="H611" s="6">
        <v>-3.7295565009117002E-2</v>
      </c>
      <c r="I611" s="6">
        <v>0.274773240089417</v>
      </c>
      <c r="J611" s="6">
        <v>-0.33726564049720803</v>
      </c>
      <c r="K611" s="6">
        <v>-0.51988142728805509</v>
      </c>
      <c r="L611" s="6">
        <v>-0.21183665096759802</v>
      </c>
      <c r="M611" s="6">
        <v>-0.68946874141693104</v>
      </c>
      <c r="N611" s="6">
        <v>5.7112269718226685</v>
      </c>
      <c r="O611" s="6">
        <v>5.2152203019728924</v>
      </c>
      <c r="P611" s="6">
        <v>6.3538032950540204</v>
      </c>
      <c r="Q611" s="6">
        <v>5.4056590352291494</v>
      </c>
      <c r="R611" s="6">
        <v>33.92078640999646</v>
      </c>
      <c r="S611" s="6">
        <v>25.920091183985217</v>
      </c>
      <c r="T611" s="6">
        <v>15.043063163757324</v>
      </c>
      <c r="U611" s="6">
        <f>_xll.BDP($A611,"TRAILING_12M_R&amp;D_%_SALES",$A$1,$A$2)</f>
        <v>6.4881610975879616</v>
      </c>
      <c r="V611" s="6">
        <v>35</v>
      </c>
      <c r="W611" s="6">
        <v>351010</v>
      </c>
      <c r="X611" s="6">
        <v>35101010</v>
      </c>
      <c r="Y611" s="7" t="s">
        <v>72</v>
      </c>
      <c r="Z611" s="7" t="s">
        <v>91</v>
      </c>
      <c r="AA611" s="7" t="s">
        <v>92</v>
      </c>
      <c r="AB611" s="6">
        <v>48.073635101318359</v>
      </c>
      <c r="AC611" s="6">
        <v>0.88541438723787502</v>
      </c>
      <c r="AD611" s="6">
        <v>23.274661892147684</v>
      </c>
      <c r="AE611" s="6">
        <v>51000</v>
      </c>
      <c r="AF611" s="6">
        <v>33000</v>
      </c>
    </row>
    <row r="612" spans="1:32" s="4" customFormat="1" ht="12.75" x14ac:dyDescent="0.2">
      <c r="A612" s="7" t="s">
        <v>1998</v>
      </c>
      <c r="B612" s="7" t="s">
        <v>1999</v>
      </c>
      <c r="C612" s="7" t="s">
        <v>2000</v>
      </c>
      <c r="D612" s="6">
        <v>-0.63065057992935203</v>
      </c>
      <c r="E612" s="6">
        <v>0.25309073925018299</v>
      </c>
      <c r="F612" s="6">
        <v>-7.1973919868469002E-2</v>
      </c>
      <c r="G612" s="6">
        <v>-0.41111877560615501</v>
      </c>
      <c r="H612" s="6">
        <v>1.1503269672393801</v>
      </c>
      <c r="I612" s="6">
        <v>-0.88237607479095503</v>
      </c>
      <c r="J612" s="6">
        <v>0.21407786011695901</v>
      </c>
      <c r="K612" s="6">
        <v>0.26639580726623502</v>
      </c>
      <c r="L612" s="6">
        <v>0.68309623003006004</v>
      </c>
      <c r="M612" s="6">
        <v>0.61060452461242709</v>
      </c>
      <c r="N612" s="6">
        <v>0.48239695341854705</v>
      </c>
      <c r="O612" s="6">
        <v>0.45398461873932205</v>
      </c>
      <c r="P612" s="6">
        <v>17.345182946690311</v>
      </c>
      <c r="Q612" s="6">
        <v>12.040840849972927</v>
      </c>
      <c r="R612" s="6">
        <v>17.965136367380182</v>
      </c>
      <c r="S612" s="6">
        <v>16.156948091289365</v>
      </c>
      <c r="T612" s="6">
        <v>111.56247711181641</v>
      </c>
      <c r="U612" s="6">
        <f>_xll.BDP($A612,"TRAILING_12M_R&amp;D_%_SALES",$A$1,$A$2)</f>
        <v>0</v>
      </c>
      <c r="V612" s="6">
        <v>30</v>
      </c>
      <c r="W612" s="6">
        <v>301010</v>
      </c>
      <c r="X612" s="6">
        <v>30101020</v>
      </c>
      <c r="Y612" s="7" t="s">
        <v>106</v>
      </c>
      <c r="Z612" s="7" t="s">
        <v>107</v>
      </c>
      <c r="AA612" s="7" t="s">
        <v>2001</v>
      </c>
      <c r="AB612" s="6">
        <v>48.888442993164063</v>
      </c>
      <c r="AC612" s="6">
        <v>0.74370766605027205</v>
      </c>
      <c r="AD612" s="6">
        <v>-2.1988111986006031</v>
      </c>
      <c r="AE612" s="6">
        <v>72000</v>
      </c>
      <c r="AF612" s="6">
        <v>67000</v>
      </c>
    </row>
    <row r="613" spans="1:32" s="4" customFormat="1" ht="12.75" x14ac:dyDescent="0.2">
      <c r="A613" s="7" t="s">
        <v>2002</v>
      </c>
      <c r="B613" s="7" t="s">
        <v>2003</v>
      </c>
      <c r="C613" s="7" t="s">
        <v>2004</v>
      </c>
      <c r="D613" s="6">
        <v>-0.90351164340972911</v>
      </c>
      <c r="E613" s="6">
        <v>-0.70023798942565907</v>
      </c>
      <c r="F613" s="6">
        <v>1.7113536596298003E-2</v>
      </c>
      <c r="G613" s="6">
        <v>-0.70124524831771906</v>
      </c>
      <c r="H613" s="6">
        <v>-0.89922654628753707</v>
      </c>
      <c r="I613" s="6">
        <v>0.42570075392723106</v>
      </c>
      <c r="J613" s="6">
        <v>1.2423392534255979</v>
      </c>
      <c r="K613" s="6">
        <v>-0.80104935169220004</v>
      </c>
      <c r="L613" s="6">
        <v>0.10805754363536801</v>
      </c>
      <c r="M613" s="6">
        <v>-0.255145102739334</v>
      </c>
      <c r="N613" s="6">
        <v>0.58683229104480006</v>
      </c>
      <c r="O613" s="6">
        <v>0.53060460853507507</v>
      </c>
      <c r="P613" s="6">
        <v>1.233868247274883</v>
      </c>
      <c r="Q613" s="6"/>
      <c r="R613" s="6">
        <v>12.438201057936404</v>
      </c>
      <c r="S613" s="6"/>
      <c r="T613" s="6">
        <v>10.860050201416016</v>
      </c>
      <c r="U613" s="6">
        <f>_xll.BDP($A613,"TRAILING_12M_R&amp;D_%_SALES",$A$1,$A$2)</f>
        <v>4.3937774611091323</v>
      </c>
      <c r="V613" s="6">
        <v>25</v>
      </c>
      <c r="W613" s="6">
        <v>251020</v>
      </c>
      <c r="X613" s="6">
        <v>25102010</v>
      </c>
      <c r="Y613" s="7" t="s">
        <v>85</v>
      </c>
      <c r="Z613" s="7" t="s">
        <v>316</v>
      </c>
      <c r="AA613" s="7" t="s">
        <v>317</v>
      </c>
      <c r="AB613" s="6">
        <v>49.894378662109375</v>
      </c>
      <c r="AC613" s="6">
        <v>0.386730185729728</v>
      </c>
      <c r="AD613" s="6">
        <v>19.279025665791117</v>
      </c>
      <c r="AE613" s="6">
        <v>70012</v>
      </c>
      <c r="AF613" s="6">
        <v>65179</v>
      </c>
    </row>
    <row r="614" spans="1:32" s="4" customFormat="1" ht="12.75" x14ac:dyDescent="0.2">
      <c r="A614" s="7" t="s">
        <v>2005</v>
      </c>
      <c r="B614" s="7" t="s">
        <v>2006</v>
      </c>
      <c r="C614" s="7" t="s">
        <v>2007</v>
      </c>
      <c r="D614" s="6">
        <v>-0.90351164340972911</v>
      </c>
      <c r="E614" s="6">
        <v>-0.70023798942565907</v>
      </c>
      <c r="F614" s="6">
        <v>1.7113536596298003E-2</v>
      </c>
      <c r="G614" s="6">
        <v>-0.70124524831771906</v>
      </c>
      <c r="H614" s="6">
        <v>-0.89922654628753707</v>
      </c>
      <c r="I614" s="6">
        <v>0.42570075392723106</v>
      </c>
      <c r="J614" s="6">
        <v>1.2423392534255979</v>
      </c>
      <c r="K614" s="6">
        <v>-0.80104935169220004</v>
      </c>
      <c r="L614" s="6">
        <v>0.10805754363536801</v>
      </c>
      <c r="M614" s="6">
        <v>-0.255145102739334</v>
      </c>
      <c r="N614" s="6">
        <v>0.58683229104480006</v>
      </c>
      <c r="O614" s="6"/>
      <c r="P614" s="6">
        <v>1.233868247274883</v>
      </c>
      <c r="Q614" s="6"/>
      <c r="R614" s="6">
        <v>12.438201057936404</v>
      </c>
      <c r="S614" s="6"/>
      <c r="T614" s="6">
        <v>10.860050201416016</v>
      </c>
      <c r="U614" s="6">
        <f>_xll.BDP($A614,"TRAILING_12M_R&amp;D_%_SALES",$A$1,$A$2)</f>
        <v>4.3937774611091323</v>
      </c>
      <c r="V614" s="6">
        <v>25</v>
      </c>
      <c r="W614" s="6">
        <v>251020</v>
      </c>
      <c r="X614" s="6">
        <v>25102010</v>
      </c>
      <c r="Y614" s="7" t="s">
        <v>85</v>
      </c>
      <c r="Z614" s="7" t="s">
        <v>316</v>
      </c>
      <c r="AA614" s="7" t="s">
        <v>317</v>
      </c>
      <c r="AB614" s="6">
        <v>49.894378662109375</v>
      </c>
      <c r="AC614" s="6">
        <v>0.74735546130311303</v>
      </c>
      <c r="AD614" s="6">
        <v>34.30635061619207</v>
      </c>
      <c r="AE614" s="6">
        <v>70012</v>
      </c>
      <c r="AF614" s="6">
        <v>65179</v>
      </c>
    </row>
    <row r="615" spans="1:32" s="4" customFormat="1" ht="12.75" x14ac:dyDescent="0.2">
      <c r="A615" s="7" t="s">
        <v>2008</v>
      </c>
      <c r="B615" s="7" t="s">
        <v>2009</v>
      </c>
      <c r="C615" s="7" t="s">
        <v>2010</v>
      </c>
      <c r="D615" s="6">
        <v>-0.522813260555267</v>
      </c>
      <c r="E615" s="6">
        <v>-0.87839031219482411</v>
      </c>
      <c r="F615" s="6">
        <v>-0.43561276793479903</v>
      </c>
      <c r="G615" s="6">
        <v>-0.71944737434387207</v>
      </c>
      <c r="H615" s="6">
        <v>-0.29624211788177501</v>
      </c>
      <c r="I615" s="6">
        <v>0.15517583489418002</v>
      </c>
      <c r="J615" s="6">
        <v>0.24207659065723403</v>
      </c>
      <c r="K615" s="6">
        <v>-1.0922611951828001</v>
      </c>
      <c r="L615" s="6">
        <v>1.6992262601852421</v>
      </c>
      <c r="M615" s="6">
        <v>-1.053676843643188</v>
      </c>
      <c r="N615" s="6">
        <v>1.152244928347739</v>
      </c>
      <c r="O615" s="6"/>
      <c r="P615" s="6">
        <v>2.2240286289537159</v>
      </c>
      <c r="Q615" s="6"/>
      <c r="R615" s="6">
        <v>12.129737849045581</v>
      </c>
      <c r="S615" s="6"/>
      <c r="T615" s="6">
        <v>12.300274848937988</v>
      </c>
      <c r="U615" s="6" t="str">
        <f>_xll.BDP($A615,"TRAILING_12M_R&amp;D_%_SALES",$A$1,$A$2)</f>
        <v>#N/A N/A</v>
      </c>
      <c r="V615" s="6">
        <v>40</v>
      </c>
      <c r="W615" s="6">
        <v>403010</v>
      </c>
      <c r="X615" s="6">
        <v>40301020</v>
      </c>
      <c r="Y615" s="7" t="s">
        <v>43</v>
      </c>
      <c r="Z615" s="7" t="s">
        <v>44</v>
      </c>
      <c r="AA615" s="7" t="s">
        <v>45</v>
      </c>
      <c r="AB615" s="6">
        <v>56.925861358642578</v>
      </c>
      <c r="AC615" s="6">
        <v>0.6568994116608291</v>
      </c>
      <c r="AD615" s="6">
        <v>42.57479373899065</v>
      </c>
      <c r="AE615" s="6">
        <v>10126</v>
      </c>
      <c r="AF615" s="6">
        <v>7979</v>
      </c>
    </row>
    <row r="616" spans="1:32" s="4" customFormat="1" ht="12.75" x14ac:dyDescent="0.2">
      <c r="A616" s="7" t="s">
        <v>2011</v>
      </c>
      <c r="B616" s="7" t="s">
        <v>2012</v>
      </c>
      <c r="C616" s="7" t="s">
        <v>2013</v>
      </c>
      <c r="D616" s="6">
        <v>0.67305868864059404</v>
      </c>
      <c r="E616" s="6">
        <v>-1.3943191766738892</v>
      </c>
      <c r="F616" s="6">
        <v>0.12394641339778902</v>
      </c>
      <c r="G616" s="6">
        <v>-0.20029614865779902</v>
      </c>
      <c r="H616" s="6">
        <v>1.2815419435501101</v>
      </c>
      <c r="I616" s="6">
        <v>-0.55058747529983509</v>
      </c>
      <c r="J616" s="6">
        <v>1.240012526512146</v>
      </c>
      <c r="K616" s="6">
        <v>-1.7440750598907471</v>
      </c>
      <c r="L616" s="6">
        <v>2.712547779083252</v>
      </c>
      <c r="M616" s="6">
        <v>-0.67699527740478505</v>
      </c>
      <c r="N616" s="6">
        <v>0.98852417151765803</v>
      </c>
      <c r="O616" s="6">
        <v>0.97356543612171109</v>
      </c>
      <c r="P616" s="6">
        <v>1.1568640317195151</v>
      </c>
      <c r="Q616" s="6">
        <v>1</v>
      </c>
      <c r="R616" s="6">
        <v>7.2631296007912409</v>
      </c>
      <c r="S616" s="6">
        <v>6.8453479099395738</v>
      </c>
      <c r="T616" s="6">
        <v>-10.184469223022461</v>
      </c>
      <c r="U616" s="6" t="str">
        <f>_xll.BDP($A616,"TRAILING_12M_R&amp;D_%_SALES",$A$1,$A$2)</f>
        <v>#N/A N/A</v>
      </c>
      <c r="V616" s="6">
        <v>50</v>
      </c>
      <c r="W616" s="6">
        <v>501010</v>
      </c>
      <c r="X616" s="6">
        <v>50101020</v>
      </c>
      <c r="Y616" s="7" t="s">
        <v>311</v>
      </c>
      <c r="Z616" s="7" t="s">
        <v>346</v>
      </c>
      <c r="AA616" s="7" t="s">
        <v>347</v>
      </c>
      <c r="AB616" s="6">
        <v>73.352783203125</v>
      </c>
      <c r="AC616" s="6">
        <v>0.63600072991024803</v>
      </c>
      <c r="AD616" s="6">
        <v>-2.9303011211358592</v>
      </c>
      <c r="AE616" s="6">
        <v>160700</v>
      </c>
      <c r="AF616" s="6">
        <v>254000</v>
      </c>
    </row>
    <row r="617" spans="1:32" s="4" customFormat="1" ht="12.75" x14ac:dyDescent="0.2">
      <c r="A617" s="7" t="s">
        <v>2014</v>
      </c>
      <c r="B617" s="7" t="s">
        <v>2015</v>
      </c>
      <c r="C617" s="7" t="s">
        <v>2016</v>
      </c>
      <c r="D617" s="6">
        <v>-0.30441352725029003</v>
      </c>
      <c r="E617" s="6">
        <v>-0.79563313722610507</v>
      </c>
      <c r="F617" s="6">
        <v>-0.34835436940193204</v>
      </c>
      <c r="G617" s="6">
        <v>-0.7865520119667051</v>
      </c>
      <c r="H617" s="6">
        <v>0.45646309852600103</v>
      </c>
      <c r="I617" s="6">
        <v>0.40951237082481401</v>
      </c>
      <c r="J617" s="6">
        <v>0.96619486808776911</v>
      </c>
      <c r="K617" s="6">
        <v>-1.38011634349823</v>
      </c>
      <c r="L617" s="6">
        <v>1.2358332872390749</v>
      </c>
      <c r="M617" s="6">
        <v>-0.77907419204711903</v>
      </c>
      <c r="N617" s="6">
        <v>1.5194898377407811</v>
      </c>
      <c r="O617" s="6">
        <v>1.610548895701938</v>
      </c>
      <c r="P617" s="6">
        <v>0.89956969569907008</v>
      </c>
      <c r="Q617" s="6">
        <v>0.62629832751288805</v>
      </c>
      <c r="R617" s="6">
        <v>32.828570189852783</v>
      </c>
      <c r="S617" s="6">
        <v>15.201709545000561</v>
      </c>
      <c r="T617" s="6">
        <v>2.7805569171905522</v>
      </c>
      <c r="U617" s="6">
        <f>_xll.BDP($A617,"TRAILING_12M_R&amp;D_%_SALES",$A$1,$A$2)</f>
        <v>15.505934565489</v>
      </c>
      <c r="V617" s="6">
        <v>35</v>
      </c>
      <c r="W617" s="6">
        <v>352020</v>
      </c>
      <c r="X617" s="6">
        <v>35202010</v>
      </c>
      <c r="Y617" s="7" t="s">
        <v>72</v>
      </c>
      <c r="Z617" s="7" t="s">
        <v>325</v>
      </c>
      <c r="AA617" s="7" t="s">
        <v>325</v>
      </c>
      <c r="AB617" s="6">
        <v>60.889247894287109</v>
      </c>
      <c r="AC617" s="6">
        <v>0.55809045599054008</v>
      </c>
      <c r="AD617" s="6">
        <v>-5.0056463918832117</v>
      </c>
      <c r="AE617" s="6">
        <v>49095</v>
      </c>
      <c r="AF617" s="6">
        <v>27730</v>
      </c>
    </row>
    <row r="618" spans="1:32" s="4" customFormat="1" ht="12.75" x14ac:dyDescent="0.2">
      <c r="A618" s="7" t="s">
        <v>2017</v>
      </c>
      <c r="B618" s="7" t="s">
        <v>2018</v>
      </c>
      <c r="C618" s="7" t="s">
        <v>2019</v>
      </c>
      <c r="D618" s="6">
        <v>-0.7815608978271481</v>
      </c>
      <c r="E618" s="6">
        <v>-0.78315728902816806</v>
      </c>
      <c r="F618" s="6">
        <v>-1.663108110427856</v>
      </c>
      <c r="G618" s="6">
        <v>1.2560771703720091</v>
      </c>
      <c r="H618" s="6">
        <v>1.229469776153564</v>
      </c>
      <c r="I618" s="6">
        <v>0.20245505869388603</v>
      </c>
      <c r="J618" s="6">
        <v>1.3742163181304932</v>
      </c>
      <c r="K618" s="6">
        <v>-0.38032594323158303</v>
      </c>
      <c r="L618" s="6">
        <v>-9.1830454766750003E-2</v>
      </c>
      <c r="M618" s="6">
        <v>-0.38172715902328502</v>
      </c>
      <c r="N618" s="6">
        <v>0.70667471941261506</v>
      </c>
      <c r="O618" s="6"/>
      <c r="P618" s="6">
        <v>1.6564932777554771</v>
      </c>
      <c r="Q618" s="6"/>
      <c r="R618" s="6">
        <v>19.504882094199612</v>
      </c>
      <c r="S618" s="6"/>
      <c r="T618" s="6">
        <v>8.0546092987060547</v>
      </c>
      <c r="U618" s="6">
        <f>_xll.BDP($A618,"TRAILING_12M_R&amp;D_%_SALES",$A$1,$A$2)</f>
        <v>0.41916230891673506</v>
      </c>
      <c r="V618" s="6">
        <v>15</v>
      </c>
      <c r="W618" s="6">
        <v>151040</v>
      </c>
      <c r="X618" s="6">
        <v>15104050</v>
      </c>
      <c r="Y618" s="7" t="s">
        <v>61</v>
      </c>
      <c r="Z618" s="7" t="s">
        <v>62</v>
      </c>
      <c r="AA618" s="7" t="s">
        <v>217</v>
      </c>
      <c r="AB618" s="6"/>
      <c r="AC618" s="6"/>
      <c r="AD618" s="6"/>
      <c r="AE618" s="6">
        <v>75263</v>
      </c>
      <c r="AF618" s="6">
        <v>65144</v>
      </c>
    </row>
    <row r="619" spans="1:32" s="4" customFormat="1" ht="12.75" x14ac:dyDescent="0.2">
      <c r="A619" s="7" t="s">
        <v>2020</v>
      </c>
      <c r="B619" s="7" t="s">
        <v>2021</v>
      </c>
      <c r="C619" s="7" t="s">
        <v>2022</v>
      </c>
      <c r="D619" s="6">
        <v>0.82450175285339411</v>
      </c>
      <c r="E619" s="6">
        <v>0.68298321962356601</v>
      </c>
      <c r="F619" s="6">
        <v>2.0734362602233891</v>
      </c>
      <c r="G619" s="6">
        <v>-0.90066474676132202</v>
      </c>
      <c r="H619" s="6">
        <v>-0.41692867875099204</v>
      </c>
      <c r="I619" s="6">
        <v>-7.2999104857444999E-2</v>
      </c>
      <c r="J619" s="6">
        <v>0.26455205678939803</v>
      </c>
      <c r="K619" s="6">
        <v>0.158069148659706</v>
      </c>
      <c r="L619" s="6">
        <v>-0.35716247558593806</v>
      </c>
      <c r="M619" s="6">
        <v>-0.48289808630943304</v>
      </c>
      <c r="N619" s="6">
        <v>4.2282299818177238</v>
      </c>
      <c r="O619" s="6">
        <v>3.7471165994016733</v>
      </c>
      <c r="P619" s="6">
        <v>3.3024562603745871</v>
      </c>
      <c r="Q619" s="6">
        <v>2.5221745989598729</v>
      </c>
      <c r="R619" s="6">
        <v>13.029419283592851</v>
      </c>
      <c r="S619" s="6">
        <v>14.084032129560919</v>
      </c>
      <c r="T619" s="6">
        <v>25.512287139892578</v>
      </c>
      <c r="U619" s="6">
        <f>_xll.BDP($A619,"TRAILING_12M_R&amp;D_%_SALES",$A$1,$A$2)</f>
        <v>10.463027618672891</v>
      </c>
      <c r="V619" s="6">
        <v>50</v>
      </c>
      <c r="W619" s="6">
        <v>502030</v>
      </c>
      <c r="X619" s="6">
        <v>50203010</v>
      </c>
      <c r="Y619" s="7" t="s">
        <v>311</v>
      </c>
      <c r="Z619" s="7" t="s">
        <v>312</v>
      </c>
      <c r="AA619" s="7" t="s">
        <v>312</v>
      </c>
      <c r="AB619" s="6">
        <v>57.207523345947266</v>
      </c>
      <c r="AC619" s="6">
        <v>0.99633070349551411</v>
      </c>
      <c r="AD619" s="6">
        <v>-8.8370463982734844</v>
      </c>
      <c r="AE619" s="6">
        <v>108436</v>
      </c>
      <c r="AF619" s="6">
        <v>44796</v>
      </c>
    </row>
    <row r="620" spans="1:32" s="4" customFormat="1" ht="12.75" x14ac:dyDescent="0.2">
      <c r="A620" s="7" t="s">
        <v>2023</v>
      </c>
      <c r="B620" s="7" t="s">
        <v>2024</v>
      </c>
      <c r="C620" s="7" t="s">
        <v>2025</v>
      </c>
      <c r="D620" s="6">
        <v>0.82450175285339411</v>
      </c>
      <c r="E620" s="6">
        <v>0.68298321962356601</v>
      </c>
      <c r="F620" s="6">
        <v>2.0734362602233891</v>
      </c>
      <c r="G620" s="6">
        <v>-0.90066474676132202</v>
      </c>
      <c r="H620" s="6">
        <v>-0.41692867875099204</v>
      </c>
      <c r="I620" s="6">
        <v>-7.2999104857444999E-2</v>
      </c>
      <c r="J620" s="6">
        <v>0.26455205678939803</v>
      </c>
      <c r="K620" s="6">
        <v>0.158069148659706</v>
      </c>
      <c r="L620" s="6">
        <v>-0.35716247558593806</v>
      </c>
      <c r="M620" s="6">
        <v>-0.48289808630943304</v>
      </c>
      <c r="N620" s="6">
        <v>4.2282299818177238</v>
      </c>
      <c r="O620" s="6">
        <v>3.7362097301352399</v>
      </c>
      <c r="P620" s="6">
        <v>3.3024562603745871</v>
      </c>
      <c r="Q620" s="6">
        <v>2.5148330332310112</v>
      </c>
      <c r="R620" s="6">
        <v>13.029419283592851</v>
      </c>
      <c r="S620" s="6">
        <v>14.043036217680267</v>
      </c>
      <c r="T620" s="6">
        <v>25.512287139892578</v>
      </c>
      <c r="U620" s="6">
        <f>_xll.BDP($A620,"TRAILING_12M_R&amp;D_%_SALES",$A$1,$A$2)</f>
        <v>10.463027618672891</v>
      </c>
      <c r="V620" s="6">
        <v>50</v>
      </c>
      <c r="W620" s="6">
        <v>502030</v>
      </c>
      <c r="X620" s="6">
        <v>50203010</v>
      </c>
      <c r="Y620" s="7" t="s">
        <v>311</v>
      </c>
      <c r="Z620" s="7" t="s">
        <v>312</v>
      </c>
      <c r="AA620" s="7" t="s">
        <v>312</v>
      </c>
      <c r="AB620" s="6">
        <v>57.207523345947266</v>
      </c>
      <c r="AC620" s="6">
        <v>0.97068945386315408</v>
      </c>
      <c r="AD620" s="6">
        <v>-7.3762554264476314</v>
      </c>
      <c r="AE620" s="6">
        <v>108436</v>
      </c>
      <c r="AF620" s="6">
        <v>44796</v>
      </c>
    </row>
    <row r="621" spans="1:32" s="4" customFormat="1" ht="12.75" x14ac:dyDescent="0.2">
      <c r="A621" s="7" t="s">
        <v>2026</v>
      </c>
      <c r="B621" s="7" t="s">
        <v>2027</v>
      </c>
      <c r="C621" s="7" t="s">
        <v>2028</v>
      </c>
      <c r="D621" s="6">
        <v>0.90593868494033802</v>
      </c>
      <c r="E621" s="6">
        <v>-0.94823074340820313</v>
      </c>
      <c r="F621" s="6">
        <v>-1.4268654584884639</v>
      </c>
      <c r="G621" s="6">
        <v>-0.47953727841377303</v>
      </c>
      <c r="H621" s="6">
        <v>-1.0848286151885991</v>
      </c>
      <c r="I621" s="6">
        <v>-0.51738238334655806</v>
      </c>
      <c r="J621" s="6">
        <v>-0.118421278893948</v>
      </c>
      <c r="K621" s="6">
        <v>-0.85942000150680509</v>
      </c>
      <c r="L621" s="6">
        <v>1.4942735433578491</v>
      </c>
      <c r="M621" s="6">
        <v>-0.94706678390502907</v>
      </c>
      <c r="N621" s="6">
        <v>1.5412912341690701</v>
      </c>
      <c r="O621" s="6">
        <v>3.0153384055734369</v>
      </c>
      <c r="P621" s="6">
        <v>1.5142091891480181</v>
      </c>
      <c r="Q621" s="6">
        <v>1.4002213223836011</v>
      </c>
      <c r="R621" s="6">
        <v>11.360937490682264</v>
      </c>
      <c r="S621" s="6">
        <v>10.735468562548613</v>
      </c>
      <c r="T621" s="6">
        <v>10.021650314331055</v>
      </c>
      <c r="U621" s="6" t="str">
        <f>_xll.BDP($A621,"TRAILING_12M_R&amp;D_%_SALES",$A$1,$A$2)</f>
        <v>#N/A N/A</v>
      </c>
      <c r="V621" s="6">
        <v>40</v>
      </c>
      <c r="W621" s="6">
        <v>401010</v>
      </c>
      <c r="X621" s="6">
        <v>40101010</v>
      </c>
      <c r="Y621" s="7" t="s">
        <v>43</v>
      </c>
      <c r="Z621" s="7" t="s">
        <v>67</v>
      </c>
      <c r="AA621" s="7" t="s">
        <v>68</v>
      </c>
      <c r="AB621" s="6">
        <v>62.428325653076172</v>
      </c>
      <c r="AC621" s="6">
        <v>0.93869685642818912</v>
      </c>
      <c r="AD621" s="6">
        <v>3.5600049665531102</v>
      </c>
      <c r="AE621" s="6">
        <v>103257</v>
      </c>
      <c r="AF621" s="6">
        <v>86588</v>
      </c>
    </row>
    <row r="622" spans="1:32" s="4" customFormat="1" ht="12.75" x14ac:dyDescent="0.2">
      <c r="A622" s="7" t="s">
        <v>2029</v>
      </c>
      <c r="B622" s="7" t="s">
        <v>2030</v>
      </c>
      <c r="C622" s="7" t="s">
        <v>2031</v>
      </c>
      <c r="D622" s="6">
        <v>-0.85703891515731812</v>
      </c>
      <c r="E622" s="6">
        <v>-1.433191061019897</v>
      </c>
      <c r="F622" s="6">
        <v>0.42277422547340404</v>
      </c>
      <c r="G622" s="6">
        <v>-0.46956869959831204</v>
      </c>
      <c r="H622" s="6">
        <v>-1.084721565246582</v>
      </c>
      <c r="I622" s="6">
        <v>1.5346642732620239</v>
      </c>
      <c r="J622" s="6">
        <v>-0.57825279235839799</v>
      </c>
      <c r="K622" s="6">
        <v>-1.5425993204116821</v>
      </c>
      <c r="L622" s="6">
        <v>0.57900863885879505</v>
      </c>
      <c r="M622" s="6">
        <v>-0.80064904689788807</v>
      </c>
      <c r="N622" s="6">
        <v>0.40568536707089603</v>
      </c>
      <c r="O622" s="6">
        <v>0.45572303409919401</v>
      </c>
      <c r="P622" s="6">
        <v>1.058395979771533</v>
      </c>
      <c r="Q622" s="6">
        <v>1.0055326716274779</v>
      </c>
      <c r="R622" s="6">
        <v>20.625436860752984</v>
      </c>
      <c r="S622" s="6">
        <v>10.807661140250959</v>
      </c>
      <c r="T622" s="6">
        <v>5.5857009887695313</v>
      </c>
      <c r="U622" s="6" t="str">
        <f>_xll.BDP($A622,"TRAILING_12M_R&amp;D_%_SALES",$A$1,$A$2)</f>
        <v>#N/A N/A</v>
      </c>
      <c r="V622" s="6">
        <v>40</v>
      </c>
      <c r="W622" s="6">
        <v>403010</v>
      </c>
      <c r="X622" s="6">
        <v>40301020</v>
      </c>
      <c r="Y622" s="7" t="s">
        <v>43</v>
      </c>
      <c r="Z622" s="7" t="s">
        <v>44</v>
      </c>
      <c r="AA622" s="7" t="s">
        <v>45</v>
      </c>
      <c r="AB622" s="6">
        <v>53.958354949951172</v>
      </c>
      <c r="AC622" s="6">
        <v>0.59948893647290602</v>
      </c>
      <c r="AD622" s="6"/>
      <c r="AE622" s="6">
        <v>20016</v>
      </c>
      <c r="AF622" s="6">
        <v>19757</v>
      </c>
    </row>
    <row r="623" spans="1:32" s="4" customFormat="1" ht="12.75" x14ac:dyDescent="0.2">
      <c r="A623" s="7" t="s">
        <v>2032</v>
      </c>
      <c r="B623" s="7" t="s">
        <v>2033</v>
      </c>
      <c r="C623" s="7" t="s">
        <v>2034</v>
      </c>
      <c r="D623" s="6">
        <v>-0.85703891515731812</v>
      </c>
      <c r="E623" s="6">
        <v>-1.433191061019897</v>
      </c>
      <c r="F623" s="6">
        <v>0.42277422547340404</v>
      </c>
      <c r="G623" s="6">
        <v>-0.46956869959831204</v>
      </c>
      <c r="H623" s="6">
        <v>-1.084721565246582</v>
      </c>
      <c r="I623" s="6">
        <v>1.5346642732620239</v>
      </c>
      <c r="J623" s="6">
        <v>-0.57825279235839799</v>
      </c>
      <c r="K623" s="6">
        <v>-1.5425993204116821</v>
      </c>
      <c r="L623" s="6">
        <v>0.57900863885879505</v>
      </c>
      <c r="M623" s="6">
        <v>-0.80064904689788807</v>
      </c>
      <c r="N623" s="6">
        <v>0.40568536707089603</v>
      </c>
      <c r="O623" s="6"/>
      <c r="P623" s="6">
        <v>1.058395979771533</v>
      </c>
      <c r="Q623" s="6"/>
      <c r="R623" s="6">
        <v>20.625436860752984</v>
      </c>
      <c r="S623" s="6"/>
      <c r="T623" s="6">
        <v>5.5857009887695313</v>
      </c>
      <c r="U623" s="6" t="str">
        <f>_xll.BDP($A623,"TRAILING_12M_R&amp;D_%_SALES",$A$1,$A$2)</f>
        <v>#N/A N/A</v>
      </c>
      <c r="V623" s="6">
        <v>40</v>
      </c>
      <c r="W623" s="6">
        <v>403010</v>
      </c>
      <c r="X623" s="6">
        <v>40301020</v>
      </c>
      <c r="Y623" s="7" t="s">
        <v>43</v>
      </c>
      <c r="Z623" s="7" t="s">
        <v>44</v>
      </c>
      <c r="AA623" s="7" t="s">
        <v>45</v>
      </c>
      <c r="AB623" s="6">
        <v>53.958354949951172</v>
      </c>
      <c r="AC623" s="6">
        <v>0.64515041287531305</v>
      </c>
      <c r="AD623" s="6">
        <v>12.42435126914776</v>
      </c>
      <c r="AE623" s="6">
        <v>20016</v>
      </c>
      <c r="AF623" s="6">
        <v>19757</v>
      </c>
    </row>
    <row r="624" spans="1:32" s="4" customFormat="1" ht="12.75" x14ac:dyDescent="0.2">
      <c r="A624" s="7" t="s">
        <v>2035</v>
      </c>
      <c r="B624" s="7" t="s">
        <v>2036</v>
      </c>
      <c r="C624" s="7" t="s">
        <v>2037</v>
      </c>
      <c r="D624" s="6">
        <v>-0.42464637756347701</v>
      </c>
      <c r="E624" s="6">
        <v>-0.80849480628967307</v>
      </c>
      <c r="F624" s="6">
        <v>-0.36880686879158003</v>
      </c>
      <c r="G624" s="6">
        <v>-0.74414587020874001</v>
      </c>
      <c r="H624" s="6">
        <v>1.4518651962280269</v>
      </c>
      <c r="I624" s="6">
        <v>-0.11898484826088</v>
      </c>
      <c r="J624" s="6">
        <v>1.8053964376449581</v>
      </c>
      <c r="K624" s="6">
        <v>-1.4987436532974241</v>
      </c>
      <c r="L624" s="6">
        <v>2.224688053131104</v>
      </c>
      <c r="M624" s="6">
        <v>-0.57744973897934004</v>
      </c>
      <c r="N624" s="6">
        <v>0.49321217561439606</v>
      </c>
      <c r="O624" s="6">
        <v>0.49359933292306002</v>
      </c>
      <c r="P624" s="6">
        <v>0.79342980743897606</v>
      </c>
      <c r="Q624" s="6">
        <v>0.78657073409179101</v>
      </c>
      <c r="R624" s="6">
        <v>10.673770190188597</v>
      </c>
      <c r="S624" s="6">
        <v>10.071302683630083</v>
      </c>
      <c r="T624" s="6">
        <v>8.0448799133300781</v>
      </c>
      <c r="U624" s="6" t="str">
        <f>_xll.BDP($A624,"TRAILING_12M_R&amp;D_%_SALES",$A$1,$A$2)</f>
        <v>#N/A N/A</v>
      </c>
      <c r="V624" s="6">
        <v>50</v>
      </c>
      <c r="W624" s="6">
        <v>501010</v>
      </c>
      <c r="X624" s="6">
        <v>50101020</v>
      </c>
      <c r="Y624" s="7" t="s">
        <v>311</v>
      </c>
      <c r="Z624" s="7" t="s">
        <v>346</v>
      </c>
      <c r="AA624" s="7" t="s">
        <v>347</v>
      </c>
      <c r="AB624" s="6">
        <v>73.483551025390625</v>
      </c>
      <c r="AC624" s="6">
        <v>0.76498783855794306</v>
      </c>
      <c r="AD624" s="6">
        <v>16.873026205750243</v>
      </c>
      <c r="AE624" s="6">
        <v>103651</v>
      </c>
      <c r="AF624" s="6">
        <v>122718</v>
      </c>
    </row>
    <row r="625" spans="1:32" s="4" customFormat="1" ht="12.75" x14ac:dyDescent="0.2">
      <c r="A625" s="7" t="s">
        <v>2038</v>
      </c>
      <c r="B625" s="7" t="s">
        <v>2039</v>
      </c>
      <c r="C625" s="7" t="s">
        <v>2040</v>
      </c>
      <c r="D625" s="6">
        <v>-0.42464637756347701</v>
      </c>
      <c r="E625" s="6">
        <v>-0.80849480628967307</v>
      </c>
      <c r="F625" s="6">
        <v>-0.36880686879158003</v>
      </c>
      <c r="G625" s="6">
        <v>-0.74414587020874001</v>
      </c>
      <c r="H625" s="6">
        <v>1.4518651962280269</v>
      </c>
      <c r="I625" s="6">
        <v>-0.11898484826088</v>
      </c>
      <c r="J625" s="6">
        <v>1.8053964376449581</v>
      </c>
      <c r="K625" s="6">
        <v>-1.4987436532974241</v>
      </c>
      <c r="L625" s="6">
        <v>2.224688053131104</v>
      </c>
      <c r="M625" s="6">
        <v>-0.57744973897934004</v>
      </c>
      <c r="N625" s="6">
        <v>0.49321217561439606</v>
      </c>
      <c r="O625" s="6">
        <v>0.46702093492508906</v>
      </c>
      <c r="P625" s="6">
        <v>0.79342980743897606</v>
      </c>
      <c r="Q625" s="6">
        <v>0.74421354423807007</v>
      </c>
      <c r="R625" s="6">
        <v>10.673770190188597</v>
      </c>
      <c r="S625" s="6">
        <v>9.5289742866409561</v>
      </c>
      <c r="T625" s="6">
        <v>8.0448799133300781</v>
      </c>
      <c r="U625" s="6" t="str">
        <f>_xll.BDP($A625,"TRAILING_12M_R&amp;D_%_SALES",$A$1,$A$2)</f>
        <v>#N/A N/A</v>
      </c>
      <c r="V625" s="6">
        <v>50</v>
      </c>
      <c r="W625" s="6">
        <v>501010</v>
      </c>
      <c r="X625" s="6">
        <v>50101020</v>
      </c>
      <c r="Y625" s="7" t="s">
        <v>311</v>
      </c>
      <c r="Z625" s="7" t="s">
        <v>346</v>
      </c>
      <c r="AA625" s="7" t="s">
        <v>347</v>
      </c>
      <c r="AB625" s="6">
        <v>73.483551025390625</v>
      </c>
      <c r="AC625" s="6">
        <v>0.36865536211204702</v>
      </c>
      <c r="AD625" s="6">
        <v>9.0958651159908754</v>
      </c>
      <c r="AE625" s="6">
        <v>103651</v>
      </c>
      <c r="AF625" s="6">
        <v>122718</v>
      </c>
    </row>
    <row r="626" spans="1:32" s="4" customFormat="1" ht="12.75" x14ac:dyDescent="0.2">
      <c r="A626" s="7" t="s">
        <v>2041</v>
      </c>
      <c r="B626" s="7" t="s">
        <v>2042</v>
      </c>
      <c r="C626" s="7" t="s">
        <v>2043</v>
      </c>
      <c r="D626" s="6">
        <v>8.9454695582390012E-2</v>
      </c>
      <c r="E626" s="6">
        <v>-0.99529588222503707</v>
      </c>
      <c r="F626" s="6">
        <v>1.488222479820251</v>
      </c>
      <c r="G626" s="6">
        <v>3.1283218413591003E-2</v>
      </c>
      <c r="H626" s="6">
        <v>0.46800819039344804</v>
      </c>
      <c r="I626" s="6">
        <v>-1.7697916030883789</v>
      </c>
      <c r="J626" s="6">
        <v>2.2337453365325932</v>
      </c>
      <c r="K626" s="6">
        <v>-0.87556678056716908</v>
      </c>
      <c r="L626" s="6">
        <v>2.7482352256774902</v>
      </c>
      <c r="M626" s="6">
        <v>-1.0505117177963259</v>
      </c>
      <c r="N626" s="6">
        <v>1.521079228724268</v>
      </c>
      <c r="O626" s="6">
        <v>2.1469037159908639</v>
      </c>
      <c r="P626" s="6">
        <v>0.89254480450686302</v>
      </c>
      <c r="Q626" s="6">
        <v>0.8312188760647401</v>
      </c>
      <c r="R626" s="6">
        <v>8.8315614622155998</v>
      </c>
      <c r="S626" s="6">
        <v>10.677524729584436</v>
      </c>
      <c r="T626" s="6">
        <v>9.7454290390014648</v>
      </c>
      <c r="U626" s="6" t="str">
        <f>_xll.BDP($A626,"TRAILING_12M_R&amp;D_%_SALES",$A$1,$A$2)</f>
        <v>#N/A N/A</v>
      </c>
      <c r="V626" s="6">
        <v>40</v>
      </c>
      <c r="W626" s="6">
        <v>401010</v>
      </c>
      <c r="X626" s="6">
        <v>40101015</v>
      </c>
      <c r="Y626" s="7" t="s">
        <v>43</v>
      </c>
      <c r="Z626" s="7" t="s">
        <v>67</v>
      </c>
      <c r="AA626" s="7" t="s">
        <v>527</v>
      </c>
      <c r="AB626" s="6">
        <v>54.833518981933594</v>
      </c>
      <c r="AC626" s="6">
        <v>1.5209053153693251</v>
      </c>
      <c r="AD626" s="6">
        <v>-8.8834176179359954</v>
      </c>
      <c r="AE626" s="6">
        <v>53999</v>
      </c>
      <c r="AF626" s="6">
        <v>36484</v>
      </c>
    </row>
    <row r="627" spans="1:32" s="4" customFormat="1" ht="12.75" x14ac:dyDescent="0.2">
      <c r="A627" s="7" t="s">
        <v>2044</v>
      </c>
      <c r="B627" s="7" t="s">
        <v>2045</v>
      </c>
      <c r="C627" s="7" t="s">
        <v>2046</v>
      </c>
      <c r="D627" s="6">
        <v>-0.17887187004089403</v>
      </c>
      <c r="E627" s="6">
        <v>-0.60797494649887107</v>
      </c>
      <c r="F627" s="6">
        <v>0.75644701719284102</v>
      </c>
      <c r="G627" s="6">
        <v>0.52218413352966309</v>
      </c>
      <c r="H627" s="6">
        <v>0.55778300762176503</v>
      </c>
      <c r="I627" s="6">
        <v>-1.46055543422699</v>
      </c>
      <c r="J627" s="6">
        <v>0.60582482814788807</v>
      </c>
      <c r="K627" s="6">
        <v>-0.10546909272670701</v>
      </c>
      <c r="L627" s="6">
        <v>1.1483045816421511</v>
      </c>
      <c r="M627" s="6">
        <v>0.11841939389705701</v>
      </c>
      <c r="N627" s="6">
        <v>0.61431568517736002</v>
      </c>
      <c r="O627" s="6">
        <v>0.61841841496953309</v>
      </c>
      <c r="P627" s="6">
        <v>5.2539844253044583</v>
      </c>
      <c r="Q627" s="6">
        <v>4.520990446598085</v>
      </c>
      <c r="R627" s="6">
        <v>17.542975664010005</v>
      </c>
      <c r="S627" s="6">
        <v>15.7238422867377</v>
      </c>
      <c r="T627" s="6">
        <v>30.867292404174805</v>
      </c>
      <c r="U627" s="6" t="str">
        <f>_xll.BDP($A627,"TRAILING_12M_R&amp;D_%_SALES",$A$1,$A$2)</f>
        <v>#N/A N/A</v>
      </c>
      <c r="V627" s="6">
        <v>30</v>
      </c>
      <c r="W627" s="6">
        <v>301010</v>
      </c>
      <c r="X627" s="6">
        <v>30101040</v>
      </c>
      <c r="Y627" s="7" t="s">
        <v>106</v>
      </c>
      <c r="Z627" s="7" t="s">
        <v>107</v>
      </c>
      <c r="AA627" s="7" t="s">
        <v>243</v>
      </c>
      <c r="AB627" s="6">
        <v>57.720550537109375</v>
      </c>
      <c r="AC627" s="6">
        <v>0.94116944625283105</v>
      </c>
      <c r="AD627" s="6">
        <v>-0.91001984743116504</v>
      </c>
      <c r="AE627" s="6">
        <v>440000</v>
      </c>
      <c r="AF627" s="6">
        <v>360000</v>
      </c>
    </row>
    <row r="628" spans="1:32" s="4" customFormat="1" ht="12.75" x14ac:dyDescent="0.2">
      <c r="A628" s="7" t="s">
        <v>2047</v>
      </c>
      <c r="B628" s="7" t="s">
        <v>2048</v>
      </c>
      <c r="C628" s="7" t="s">
        <v>2049</v>
      </c>
      <c r="D628" s="6">
        <v>-0.75780916213989302</v>
      </c>
      <c r="E628" s="6">
        <v>-0.56791806221008301</v>
      </c>
      <c r="F628" s="6">
        <v>-0.21410651504993403</v>
      </c>
      <c r="G628" s="6">
        <v>2.1663625240325932</v>
      </c>
      <c r="H628" s="6">
        <v>0.74655485153198209</v>
      </c>
      <c r="I628" s="6">
        <v>-1.159881472587585</v>
      </c>
      <c r="J628" s="6">
        <v>2.2603657245635991</v>
      </c>
      <c r="K628" s="6">
        <v>-2.2742224857211002E-2</v>
      </c>
      <c r="L628" s="6">
        <v>-0.276675134897232</v>
      </c>
      <c r="M628" s="6">
        <v>-0.40216103196144104</v>
      </c>
      <c r="N628" s="6">
        <v>0.290892871125773</v>
      </c>
      <c r="O628" s="6"/>
      <c r="P628" s="6">
        <v>0.69705845697089008</v>
      </c>
      <c r="Q628" s="6"/>
      <c r="R628" s="6">
        <v>4.3899441226388838</v>
      </c>
      <c r="S628" s="6"/>
      <c r="T628" s="6">
        <v>16.994817733764648</v>
      </c>
      <c r="U628" s="6" t="str">
        <f>_xll.BDP($A628,"TRAILING_12M_R&amp;D_%_SALES",$A$1,$A$2)</f>
        <v>#N/A N/A</v>
      </c>
      <c r="V628" s="6">
        <v>40</v>
      </c>
      <c r="W628" s="6">
        <v>401010</v>
      </c>
      <c r="X628" s="6">
        <v>40101010</v>
      </c>
      <c r="Y628" s="7" t="s">
        <v>43</v>
      </c>
      <c r="Z628" s="7" t="s">
        <v>67</v>
      </c>
      <c r="AA628" s="7" t="s">
        <v>68</v>
      </c>
      <c r="AB628" s="6">
        <v>54.662509918212891</v>
      </c>
      <c r="AC628" s="6"/>
      <c r="AD628" s="6"/>
      <c r="AE628" s="6">
        <v>20781</v>
      </c>
      <c r="AF628" s="6">
        <v>17851</v>
      </c>
    </row>
    <row r="629" spans="1:32" s="4" customFormat="1" ht="12.75" x14ac:dyDescent="0.2">
      <c r="A629" s="7" t="s">
        <v>2050</v>
      </c>
      <c r="B629" s="7" t="s">
        <v>2051</v>
      </c>
      <c r="C629" s="7" t="s">
        <v>2052</v>
      </c>
      <c r="D629" s="6">
        <v>-0.276054978370667</v>
      </c>
      <c r="E629" s="6">
        <v>0.19890536367893202</v>
      </c>
      <c r="F629" s="6">
        <v>-0.70924723148345903</v>
      </c>
      <c r="G629" s="6">
        <v>-0.43171793222427401</v>
      </c>
      <c r="H629" s="6">
        <v>0.36117780208587602</v>
      </c>
      <c r="I629" s="6">
        <v>0.564092576503754</v>
      </c>
      <c r="J629" s="6">
        <v>-0.16829799115657801</v>
      </c>
      <c r="K629" s="6">
        <v>1.7612142488360003E-2</v>
      </c>
      <c r="L629" s="6">
        <v>-3.7862747907639001E-2</v>
      </c>
      <c r="M629" s="6">
        <v>0.50966972112655606</v>
      </c>
      <c r="N629" s="6">
        <v>2.0695996418219949</v>
      </c>
      <c r="O629" s="6">
        <v>1.899300920904214</v>
      </c>
      <c r="P629" s="6">
        <v>15.661075846358701</v>
      </c>
      <c r="Q629" s="6">
        <v>13.091583810438941</v>
      </c>
      <c r="R629" s="6">
        <v>30.131839013291437</v>
      </c>
      <c r="S629" s="6">
        <v>23.015395475481942</v>
      </c>
      <c r="T629" s="6">
        <v>65.756187438964844</v>
      </c>
      <c r="U629" s="6" t="str">
        <f>_xll.BDP($A629,"TRAILING_12M_R&amp;D_%_SALES",$A$1,$A$2)</f>
        <v>#N/A N/A</v>
      </c>
      <c r="V629" s="6">
        <v>25</v>
      </c>
      <c r="W629" s="6">
        <v>255040</v>
      </c>
      <c r="X629" s="6">
        <v>25504010</v>
      </c>
      <c r="Y629" s="7" t="s">
        <v>85</v>
      </c>
      <c r="Z629" s="7" t="s">
        <v>287</v>
      </c>
      <c r="AA629" s="7" t="s">
        <v>946</v>
      </c>
      <c r="AB629" s="6">
        <v>54.913993835449219</v>
      </c>
      <c r="AC629" s="6">
        <v>0.76699584057400605</v>
      </c>
      <c r="AD629" s="6">
        <v>20.077840520293577</v>
      </c>
      <c r="AE629" s="6">
        <v>329000</v>
      </c>
      <c r="AF629" s="6">
        <v>249000</v>
      </c>
    </row>
    <row r="630" spans="1:32" s="4" customFormat="1" ht="12.75" x14ac:dyDescent="0.2">
      <c r="A630" s="7" t="s">
        <v>2053</v>
      </c>
      <c r="B630" s="7" t="s">
        <v>2054</v>
      </c>
      <c r="C630" s="7" t="s">
        <v>2055</v>
      </c>
      <c r="D630" s="6">
        <v>-0.84980225563049305</v>
      </c>
      <c r="E630" s="6">
        <v>-1.185256719589233</v>
      </c>
      <c r="F630" s="6">
        <v>-1.1377077102661131</v>
      </c>
      <c r="G630" s="6">
        <v>1.6463016271591191</v>
      </c>
      <c r="H630" s="6">
        <v>1.6631859540939331</v>
      </c>
      <c r="I630" s="6">
        <v>0.69769561290741</v>
      </c>
      <c r="J630" s="6">
        <v>1.260897636413574</v>
      </c>
      <c r="K630" s="6">
        <v>-1.803160548210144</v>
      </c>
      <c r="L630" s="6">
        <v>-0.72281217575073209</v>
      </c>
      <c r="M630" s="6">
        <v>-0.72044146060943604</v>
      </c>
      <c r="N630" s="6">
        <v>0.15155234707231802</v>
      </c>
      <c r="O630" s="6">
        <v>0.17444404954256301</v>
      </c>
      <c r="P630" s="6">
        <v>0.45337109107616602</v>
      </c>
      <c r="Q630" s="6">
        <v>0.46358825338407106</v>
      </c>
      <c r="R630" s="6">
        <v>3.192961099556388</v>
      </c>
      <c r="S630" s="6">
        <v>4.7563117683023126</v>
      </c>
      <c r="T630" s="6">
        <v>16.305004119873047</v>
      </c>
      <c r="U630" s="6" t="str">
        <f>_xll.BDP($A630,"TRAILING_12M_R&amp;D_%_SALES",$A$1,$A$2)</f>
        <v>#N/A N/A</v>
      </c>
      <c r="V630" s="6">
        <v>55</v>
      </c>
      <c r="W630" s="6">
        <v>551010</v>
      </c>
      <c r="X630" s="6">
        <v>55101010</v>
      </c>
      <c r="Y630" s="7" t="s">
        <v>154</v>
      </c>
      <c r="Z630" s="7" t="s">
        <v>155</v>
      </c>
      <c r="AA630" s="7" t="s">
        <v>155</v>
      </c>
      <c r="AB630" s="6">
        <v>70.234382629394531</v>
      </c>
      <c r="AC630" s="6">
        <v>0.40991876698871205</v>
      </c>
      <c r="AD630" s="6">
        <v>41.734415663208765</v>
      </c>
      <c r="AE630" s="6">
        <v>38007</v>
      </c>
      <c r="AF630" s="6">
        <v>41515</v>
      </c>
    </row>
    <row r="631" spans="1:32" s="4" customFormat="1" ht="12.75" x14ac:dyDescent="0.2">
      <c r="A631" s="7" t="s">
        <v>2056</v>
      </c>
      <c r="B631" s="7" t="s">
        <v>2057</v>
      </c>
      <c r="C631" s="7" t="s">
        <v>2058</v>
      </c>
      <c r="D631" s="6">
        <v>-0.84980225563049305</v>
      </c>
      <c r="E631" s="6">
        <v>-1.185256719589233</v>
      </c>
      <c r="F631" s="6">
        <v>-1.1377077102661131</v>
      </c>
      <c r="G631" s="6">
        <v>1.6463016271591191</v>
      </c>
      <c r="H631" s="6">
        <v>1.6631859540939331</v>
      </c>
      <c r="I631" s="6">
        <v>0.69769561290741</v>
      </c>
      <c r="J631" s="6">
        <v>1.260897636413574</v>
      </c>
      <c r="K631" s="6">
        <v>-1.803160548210144</v>
      </c>
      <c r="L631" s="6">
        <v>-0.72281217575073209</v>
      </c>
      <c r="M631" s="6">
        <v>-0.72044146060943604</v>
      </c>
      <c r="N631" s="6">
        <v>0.15155234707231802</v>
      </c>
      <c r="O631" s="6"/>
      <c r="P631" s="6">
        <v>0.45337109107616602</v>
      </c>
      <c r="Q631" s="6"/>
      <c r="R631" s="6">
        <v>3.192961099556388</v>
      </c>
      <c r="S631" s="6"/>
      <c r="T631" s="6">
        <v>16.305004119873047</v>
      </c>
      <c r="U631" s="6" t="str">
        <f>_xll.BDP($A631,"TRAILING_12M_R&amp;D_%_SALES",$A$1,$A$2)</f>
        <v>#N/A N/A</v>
      </c>
      <c r="V631" s="6">
        <v>55</v>
      </c>
      <c r="W631" s="6">
        <v>551010</v>
      </c>
      <c r="X631" s="6">
        <v>55101010</v>
      </c>
      <c r="Y631" s="7" t="s">
        <v>154</v>
      </c>
      <c r="Z631" s="7" t="s">
        <v>155</v>
      </c>
      <c r="AA631" s="7" t="s">
        <v>155</v>
      </c>
      <c r="AB631" s="6">
        <v>70.234382629394531</v>
      </c>
      <c r="AC631" s="6">
        <v>0.34701493188892202</v>
      </c>
      <c r="AD631" s="6">
        <v>55.300861360553036</v>
      </c>
      <c r="AE631" s="6">
        <v>38007</v>
      </c>
      <c r="AF631" s="6">
        <v>41515</v>
      </c>
    </row>
    <row r="632" spans="1:32" s="4" customFormat="1" ht="12.75" x14ac:dyDescent="0.2">
      <c r="A632" s="7" t="s">
        <v>2059</v>
      </c>
      <c r="B632" s="7" t="s">
        <v>2060</v>
      </c>
      <c r="C632" s="7" t="s">
        <v>2061</v>
      </c>
      <c r="D632" s="6">
        <v>-3.1171049922705002E-2</v>
      </c>
      <c r="E632" s="6">
        <v>-1.015340924263</v>
      </c>
      <c r="F632" s="6">
        <v>0.81341105699539207</v>
      </c>
      <c r="G632" s="6">
        <v>-0.82128423452377308</v>
      </c>
      <c r="H632" s="6">
        <v>-1.2269760370254521</v>
      </c>
      <c r="I632" s="6">
        <v>0.84002459049224909</v>
      </c>
      <c r="J632" s="6">
        <v>0.80869466066360507</v>
      </c>
      <c r="K632" s="6">
        <v>-1.20496129989624</v>
      </c>
      <c r="L632" s="6">
        <v>0.95390170812606812</v>
      </c>
      <c r="M632" s="6">
        <v>-1.062247037887573</v>
      </c>
      <c r="N632" s="6">
        <v>1.034138139847435</v>
      </c>
      <c r="O632" s="6">
        <v>0.99430170904495108</v>
      </c>
      <c r="P632" s="6">
        <v>1.6194263257563661</v>
      </c>
      <c r="Q632" s="6">
        <v>1.6084665832931611</v>
      </c>
      <c r="R632" s="6">
        <v>14.219804617100232</v>
      </c>
      <c r="S632" s="6">
        <v>11.513879393109008</v>
      </c>
      <c r="T632" s="6">
        <v>12.05302619934082</v>
      </c>
      <c r="U632" s="6" t="str">
        <f>_xll.BDP($A632,"TRAILING_12M_R&amp;D_%_SALES",$A$1,$A$2)</f>
        <v>#N/A N/A</v>
      </c>
      <c r="V632" s="6">
        <v>40</v>
      </c>
      <c r="W632" s="6">
        <v>403010</v>
      </c>
      <c r="X632" s="6">
        <v>40301040</v>
      </c>
      <c r="Y632" s="7" t="s">
        <v>43</v>
      </c>
      <c r="Z632" s="7" t="s">
        <v>44</v>
      </c>
      <c r="AA632" s="7" t="s">
        <v>102</v>
      </c>
      <c r="AB632" s="6">
        <v>48.858264923095703</v>
      </c>
      <c r="AC632" s="6">
        <v>0.126477920110493</v>
      </c>
      <c r="AD632" s="6">
        <v>24.608583302839769</v>
      </c>
      <c r="AE632" s="6">
        <v>43217</v>
      </c>
      <c r="AF632" s="6">
        <v>39191</v>
      </c>
    </row>
    <row r="633" spans="1:32" s="4" customFormat="1" ht="12.75" x14ac:dyDescent="0.2">
      <c r="A633" s="7" t="s">
        <v>2062</v>
      </c>
      <c r="B633" s="7" t="s">
        <v>2063</v>
      </c>
      <c r="C633" s="7" t="s">
        <v>2064</v>
      </c>
      <c r="D633" s="6">
        <v>-3.1171049922705002E-2</v>
      </c>
      <c r="E633" s="6">
        <v>-1.015340924263</v>
      </c>
      <c r="F633" s="6">
        <v>0.81341105699539207</v>
      </c>
      <c r="G633" s="6">
        <v>-0.82128423452377308</v>
      </c>
      <c r="H633" s="6">
        <v>-1.2269760370254521</v>
      </c>
      <c r="I633" s="6">
        <v>0.84002459049224909</v>
      </c>
      <c r="J633" s="6">
        <v>0.80869466066360507</v>
      </c>
      <c r="K633" s="6">
        <v>-1.20496129989624</v>
      </c>
      <c r="L633" s="6">
        <v>0.95390170812606812</v>
      </c>
      <c r="M633" s="6">
        <v>-1.062247037887573</v>
      </c>
      <c r="N633" s="6">
        <v>1.034138139847435</v>
      </c>
      <c r="O633" s="6"/>
      <c r="P633" s="6">
        <v>1.6194263257563661</v>
      </c>
      <c r="Q633" s="6"/>
      <c r="R633" s="6">
        <v>14.219804617100232</v>
      </c>
      <c r="S633" s="6"/>
      <c r="T633" s="6">
        <v>12.05302619934082</v>
      </c>
      <c r="U633" s="6" t="str">
        <f>_xll.BDP($A633,"TRAILING_12M_R&amp;D_%_SALES",$A$1,$A$2)</f>
        <v>#N/A N/A</v>
      </c>
      <c r="V633" s="6">
        <v>40</v>
      </c>
      <c r="W633" s="6">
        <v>403010</v>
      </c>
      <c r="X633" s="6">
        <v>40301040</v>
      </c>
      <c r="Y633" s="7" t="s">
        <v>43</v>
      </c>
      <c r="Z633" s="7" t="s">
        <v>44</v>
      </c>
      <c r="AA633" s="7" t="s">
        <v>102</v>
      </c>
      <c r="AB633" s="6">
        <v>48.858264923095703</v>
      </c>
      <c r="AC633" s="6">
        <v>0.55915231691235401</v>
      </c>
      <c r="AD633" s="6">
        <v>20.844436728475713</v>
      </c>
      <c r="AE633" s="6">
        <v>43217</v>
      </c>
      <c r="AF633" s="6">
        <v>39191</v>
      </c>
    </row>
    <row r="634" spans="1:32" s="4" customFormat="1" ht="12.75" x14ac:dyDescent="0.2">
      <c r="A634" s="7" t="s">
        <v>2065</v>
      </c>
      <c r="B634" s="7" t="s">
        <v>2066</v>
      </c>
      <c r="C634" s="7" t="s">
        <v>2067</v>
      </c>
      <c r="D634" s="6">
        <v>-0.30441352725029003</v>
      </c>
      <c r="E634" s="6">
        <v>-0.79563313722610507</v>
      </c>
      <c r="F634" s="6">
        <v>-0.34835436940193204</v>
      </c>
      <c r="G634" s="6">
        <v>-0.7865520119667051</v>
      </c>
      <c r="H634" s="6">
        <v>0.45646309852600103</v>
      </c>
      <c r="I634" s="6">
        <v>0.40951237082481401</v>
      </c>
      <c r="J634" s="6">
        <v>0.96619486808776911</v>
      </c>
      <c r="K634" s="6">
        <v>-1.38011634349823</v>
      </c>
      <c r="L634" s="6">
        <v>1.2358332872390749</v>
      </c>
      <c r="M634" s="6">
        <v>-0.77907419204711903</v>
      </c>
      <c r="N634" s="6">
        <v>1.5194898377407811</v>
      </c>
      <c r="O634" s="6">
        <v>1.6210030681041501</v>
      </c>
      <c r="P634" s="6">
        <v>0.89956969569907008</v>
      </c>
      <c r="Q634" s="6">
        <v>0.98828051253275706</v>
      </c>
      <c r="R634" s="6">
        <v>32.828570189852783</v>
      </c>
      <c r="S634" s="6">
        <v>8.6994396937743126</v>
      </c>
      <c r="T634" s="6">
        <v>2.7805569171905522</v>
      </c>
      <c r="U634" s="6">
        <f>_xll.BDP($A634,"TRAILING_12M_R&amp;D_%_SALES",$A$1,$A$2)</f>
        <v>15.505934565489</v>
      </c>
      <c r="V634" s="6">
        <v>35</v>
      </c>
      <c r="W634" s="6">
        <v>352020</v>
      </c>
      <c r="X634" s="6">
        <v>35202010</v>
      </c>
      <c r="Y634" s="7" t="s">
        <v>72</v>
      </c>
      <c r="Z634" s="7" t="s">
        <v>325</v>
      </c>
      <c r="AA634" s="7" t="s">
        <v>325</v>
      </c>
      <c r="AB634" s="6">
        <v>60.889247894287109</v>
      </c>
      <c r="AC634" s="6">
        <v>0.32714198277422402</v>
      </c>
      <c r="AD634" s="6">
        <v>-3.475592633875213</v>
      </c>
      <c r="AE634" s="6">
        <v>49095</v>
      </c>
      <c r="AF634" s="6">
        <v>27730</v>
      </c>
    </row>
    <row r="635" spans="1:32" s="4" customFormat="1" ht="12.75" x14ac:dyDescent="0.2">
      <c r="A635" s="7" t="s">
        <v>2068</v>
      </c>
      <c r="B635" s="7" t="s">
        <v>2069</v>
      </c>
      <c r="C635" s="7" t="s">
        <v>2070</v>
      </c>
      <c r="D635" s="6">
        <v>-0.97315400838851907</v>
      </c>
      <c r="E635" s="6">
        <v>-0.61911731958389304</v>
      </c>
      <c r="F635" s="6">
        <v>-1.525153756141663</v>
      </c>
      <c r="G635" s="6">
        <v>-0.83679574728012107</v>
      </c>
      <c r="H635" s="6">
        <v>0.40554541349411005</v>
      </c>
      <c r="I635" s="6">
        <v>-0.49425184726715105</v>
      </c>
      <c r="J635" s="6">
        <v>0.48544093966484103</v>
      </c>
      <c r="K635" s="6">
        <v>-1.2857533693313601</v>
      </c>
      <c r="L635" s="6">
        <v>1.316313505172729</v>
      </c>
      <c r="M635" s="6">
        <v>-0.89564663171768211</v>
      </c>
      <c r="N635" s="6">
        <v>2.013482236197798</v>
      </c>
      <c r="O635" s="6"/>
      <c r="P635" s="6">
        <v>2.969789117352168</v>
      </c>
      <c r="Q635" s="6"/>
      <c r="R635" s="6">
        <v>23.686759922739146</v>
      </c>
      <c r="S635" s="6"/>
      <c r="T635" s="6">
        <v>12.480983734130859</v>
      </c>
      <c r="U635" s="6">
        <f>_xll.BDP($A635,"TRAILING_12M_R&amp;D_%_SALES",$A$1,$A$2)</f>
        <v>0</v>
      </c>
      <c r="V635" s="6">
        <v>50</v>
      </c>
      <c r="W635" s="6">
        <v>501010</v>
      </c>
      <c r="X635" s="6">
        <v>50101020</v>
      </c>
      <c r="Y635" s="7" t="s">
        <v>311</v>
      </c>
      <c r="Z635" s="7" t="s">
        <v>346</v>
      </c>
      <c r="AA635" s="7" t="s">
        <v>347</v>
      </c>
      <c r="AB635" s="6">
        <v>68.353286743164063</v>
      </c>
      <c r="AC635" s="6">
        <v>0.70914965155703502</v>
      </c>
      <c r="AD635" s="6">
        <v>3.685172751410049</v>
      </c>
      <c r="AE635" s="6">
        <v>31761</v>
      </c>
      <c r="AF635" s="6">
        <v>32293</v>
      </c>
    </row>
    <row r="636" spans="1:32" s="4" customFormat="1" ht="12.75" x14ac:dyDescent="0.2">
      <c r="A636" s="7" t="s">
        <v>2071</v>
      </c>
      <c r="B636" s="7" t="s">
        <v>2072</v>
      </c>
      <c r="C636" s="7" t="s">
        <v>2073</v>
      </c>
      <c r="D636" s="6">
        <v>0.23861862719059002</v>
      </c>
      <c r="E636" s="6">
        <v>-0.41156703233718905</v>
      </c>
      <c r="F636" s="6">
        <v>-0.48725402355194103</v>
      </c>
      <c r="G636" s="6">
        <v>-0.612227082252502</v>
      </c>
      <c r="H636" s="6">
        <v>4.5637581497431003E-2</v>
      </c>
      <c r="I636" s="6">
        <v>-0.86368578672409102</v>
      </c>
      <c r="J636" s="6">
        <v>-0.23396912217140201</v>
      </c>
      <c r="K636" s="6">
        <v>-9.1009274125099002E-2</v>
      </c>
      <c r="L636" s="6">
        <v>-0.59647762775421109</v>
      </c>
      <c r="M636" s="6">
        <v>-0.21345444023609203</v>
      </c>
      <c r="N636" s="6">
        <v>4.7345330762783702</v>
      </c>
      <c r="O636" s="6">
        <v>4.781727794502439</v>
      </c>
      <c r="P636" s="6">
        <v>4.5244121074646744</v>
      </c>
      <c r="Q636" s="6">
        <v>4.1036760061693416</v>
      </c>
      <c r="R636" s="6">
        <v>32.321841370667798</v>
      </c>
      <c r="S636" s="6">
        <v>24.381716438506189</v>
      </c>
      <c r="T636" s="6">
        <v>13.369037628173828</v>
      </c>
      <c r="U636" s="6">
        <f>_xll.BDP($A636,"TRAILING_12M_R&amp;D_%_SALES",$A$1,$A$2)</f>
        <v>3.2416800764943217</v>
      </c>
      <c r="V636" s="6">
        <v>35</v>
      </c>
      <c r="W636" s="6">
        <v>352030</v>
      </c>
      <c r="X636" s="6">
        <v>35203010</v>
      </c>
      <c r="Y636" s="7" t="s">
        <v>72</v>
      </c>
      <c r="Z636" s="7" t="s">
        <v>752</v>
      </c>
      <c r="AA636" s="7" t="s">
        <v>752</v>
      </c>
      <c r="AB636" s="6">
        <v>63.766220092773438</v>
      </c>
      <c r="AC636" s="6">
        <v>0.92649501991556804</v>
      </c>
      <c r="AD636" s="6">
        <v>-4.4542851388948197</v>
      </c>
      <c r="AE636" s="6">
        <v>130000</v>
      </c>
      <c r="AF636" s="6">
        <v>70000</v>
      </c>
    </row>
    <row r="637" spans="1:32" s="4" customFormat="1" ht="12.75" x14ac:dyDescent="0.2">
      <c r="A637" s="7" t="s">
        <v>2074</v>
      </c>
      <c r="B637" s="7" t="s">
        <v>2075</v>
      </c>
      <c r="C637" s="7" t="s">
        <v>2076</v>
      </c>
      <c r="D637" s="6">
        <v>0.53743082284927401</v>
      </c>
      <c r="E637" s="6">
        <v>-0.74519556760788008</v>
      </c>
      <c r="F637" s="6">
        <v>-1.3631050586700439</v>
      </c>
      <c r="G637" s="6">
        <v>-0.51279044151306208</v>
      </c>
      <c r="H637" s="6">
        <v>1.191803455352783</v>
      </c>
      <c r="I637" s="6">
        <v>-0.57151955366134599</v>
      </c>
      <c r="J637" s="6">
        <v>0.36322715878486606</v>
      </c>
      <c r="K637" s="6">
        <v>-0.25417098402977001</v>
      </c>
      <c r="L637" s="6">
        <v>0.13105899095535301</v>
      </c>
      <c r="M637" s="6">
        <v>-0.59442782402038608</v>
      </c>
      <c r="N637" s="6">
        <v>2.468109515242928</v>
      </c>
      <c r="O637" s="6">
        <v>2.2983539761165641</v>
      </c>
      <c r="P637" s="6">
        <v>2.879535925902708</v>
      </c>
      <c r="Q637" s="6">
        <v>2.918072582264426</v>
      </c>
      <c r="R637" s="6">
        <v>20.577988509673308</v>
      </c>
      <c r="S637" s="6">
        <v>15.914912050516284</v>
      </c>
      <c r="T637" s="6">
        <v>11.538917541503906</v>
      </c>
      <c r="U637" s="6">
        <f>_xll.BDP($A637,"TRAILING_12M_R&amp;D_%_SALES",$A$1,$A$2)</f>
        <v>0</v>
      </c>
      <c r="V637" s="6">
        <v>50</v>
      </c>
      <c r="W637" s="6">
        <v>501020</v>
      </c>
      <c r="X637" s="6">
        <v>50102010</v>
      </c>
      <c r="Y637" s="7" t="s">
        <v>311</v>
      </c>
      <c r="Z637" s="7" t="s">
        <v>1264</v>
      </c>
      <c r="AA637" s="7" t="s">
        <v>1264</v>
      </c>
      <c r="AB637" s="6">
        <v>66.160346984863281</v>
      </c>
      <c r="AC637" s="6">
        <v>0.58145157538016601</v>
      </c>
      <c r="AD637" s="6">
        <v>15.511259486976092</v>
      </c>
      <c r="AE637" s="6">
        <v>71000</v>
      </c>
      <c r="AF637" s="6">
        <v>51000</v>
      </c>
    </row>
    <row r="638" spans="1:32" s="4" customFormat="1" ht="12.75" x14ac:dyDescent="0.2">
      <c r="A638" s="7" t="s">
        <v>2077</v>
      </c>
      <c r="B638" s="7" t="s">
        <v>2078</v>
      </c>
      <c r="C638" s="7" t="s">
        <v>2079</v>
      </c>
      <c r="D638" s="6">
        <v>-0.89388370513916005</v>
      </c>
      <c r="E638" s="6">
        <v>0.41643115878105202</v>
      </c>
      <c r="F638" s="6">
        <v>0.38571658730506903</v>
      </c>
      <c r="G638" s="6">
        <v>0.181876420974731</v>
      </c>
      <c r="H638" s="6">
        <v>-1.362177729606628</v>
      </c>
      <c r="I638" s="6">
        <v>1.0913853645324709</v>
      </c>
      <c r="J638" s="6">
        <v>-8.5398599505424E-2</v>
      </c>
      <c r="K638" s="6">
        <v>0.74737459421157804</v>
      </c>
      <c r="L638" s="6">
        <v>2.6618601754308004E-2</v>
      </c>
      <c r="M638" s="6">
        <v>0.38962274789810203</v>
      </c>
      <c r="N638" s="6">
        <v>6.392245005178026</v>
      </c>
      <c r="O638" s="6">
        <v>6.1412802555073904</v>
      </c>
      <c r="P638" s="6">
        <v>7.6382638292995804</v>
      </c>
      <c r="Q638" s="6">
        <v>6.4750017444655787</v>
      </c>
      <c r="R638" s="6">
        <v>34.531557136909932</v>
      </c>
      <c r="S638" s="6">
        <v>30.787189136024921</v>
      </c>
      <c r="T638" s="6">
        <v>22.61260986328125</v>
      </c>
      <c r="U638" s="6">
        <f>_xll.BDP($A638,"TRAILING_12M_R&amp;D_%_SALES",$A$1,$A$2)</f>
        <v>10.144487163319861</v>
      </c>
      <c r="V638" s="6">
        <v>45</v>
      </c>
      <c r="W638" s="6">
        <v>453010</v>
      </c>
      <c r="X638" s="6">
        <v>45301010</v>
      </c>
      <c r="Y638" s="7" t="s">
        <v>56</v>
      </c>
      <c r="Z638" s="7" t="s">
        <v>130</v>
      </c>
      <c r="AA638" s="7" t="s">
        <v>192</v>
      </c>
      <c r="AB638" s="6">
        <v>61.704055786132813</v>
      </c>
      <c r="AC638" s="6">
        <v>0.71096584768053006</v>
      </c>
      <c r="AD638" s="6">
        <v>88.558875771436135</v>
      </c>
      <c r="AE638" s="6">
        <v>17204</v>
      </c>
      <c r="AF638" s="6">
        <v>11946</v>
      </c>
    </row>
    <row r="639" spans="1:32" s="4" customFormat="1" ht="12.75" x14ac:dyDescent="0.2">
      <c r="A639" s="7" t="s">
        <v>2080</v>
      </c>
      <c r="B639" s="7" t="s">
        <v>2081</v>
      </c>
      <c r="C639" s="7" t="s">
        <v>2082</v>
      </c>
      <c r="D639" s="6">
        <v>-0.89388370513916005</v>
      </c>
      <c r="E639" s="6">
        <v>0.41643115878105202</v>
      </c>
      <c r="F639" s="6">
        <v>0.38571658730506903</v>
      </c>
      <c r="G639" s="6">
        <v>0.181876420974731</v>
      </c>
      <c r="H639" s="6">
        <v>-1.362177729606628</v>
      </c>
      <c r="I639" s="6">
        <v>1.0913853645324709</v>
      </c>
      <c r="J639" s="6">
        <v>-8.5398599505424E-2</v>
      </c>
      <c r="K639" s="6">
        <v>0.74737459421157804</v>
      </c>
      <c r="L639" s="6">
        <v>2.6618601754308004E-2</v>
      </c>
      <c r="M639" s="6">
        <v>0.38962274789810203</v>
      </c>
      <c r="N639" s="6">
        <v>6.392245005178026</v>
      </c>
      <c r="O639" s="6"/>
      <c r="P639" s="6">
        <v>7.6382638292995804</v>
      </c>
      <c r="Q639" s="6"/>
      <c r="R639" s="6">
        <v>34.531557136909932</v>
      </c>
      <c r="S639" s="6"/>
      <c r="T639" s="6">
        <v>22.61260986328125</v>
      </c>
      <c r="U639" s="6">
        <f>_xll.BDP($A639,"TRAILING_12M_R&amp;D_%_SALES",$A$1,$A$2)</f>
        <v>10.144487163319861</v>
      </c>
      <c r="V639" s="6">
        <v>45</v>
      </c>
      <c r="W639" s="6">
        <v>453010</v>
      </c>
      <c r="X639" s="6">
        <v>45301010</v>
      </c>
      <c r="Y639" s="7" t="s">
        <v>56</v>
      </c>
      <c r="Z639" s="7" t="s">
        <v>130</v>
      </c>
      <c r="AA639" s="7" t="s">
        <v>192</v>
      </c>
      <c r="AB639" s="6">
        <v>61.704055786132813</v>
      </c>
      <c r="AC639" s="6">
        <v>1.1455337441317239</v>
      </c>
      <c r="AD639" s="6">
        <v>82.862611390434822</v>
      </c>
      <c r="AE639" s="6">
        <v>17204</v>
      </c>
      <c r="AF639" s="6">
        <v>11946</v>
      </c>
    </row>
    <row r="640" spans="1:32" s="4" customFormat="1" ht="12.75" x14ac:dyDescent="0.2">
      <c r="A640" s="7" t="s">
        <v>2083</v>
      </c>
      <c r="B640" s="7" t="s">
        <v>2084</v>
      </c>
      <c r="C640" s="7" t="s">
        <v>2085</v>
      </c>
      <c r="D640" s="6">
        <v>-0.66021430492401101</v>
      </c>
      <c r="E640" s="6">
        <v>-0.74080997705459606</v>
      </c>
      <c r="F640" s="6">
        <v>0.34803861379623402</v>
      </c>
      <c r="G640" s="6">
        <v>0.15800431370735202</v>
      </c>
      <c r="H640" s="6">
        <v>1.5527523756027222</v>
      </c>
      <c r="I640" s="6">
        <v>-1.0183811187744141</v>
      </c>
      <c r="J640" s="6">
        <v>0.54793447256088301</v>
      </c>
      <c r="K640" s="6">
        <v>-1.196986317634583</v>
      </c>
      <c r="L640" s="6">
        <v>3.0000102519989009</v>
      </c>
      <c r="M640" s="6">
        <v>-0.99371790885925304</v>
      </c>
      <c r="N640" s="6">
        <v>3.36965051689499</v>
      </c>
      <c r="O640" s="6">
        <v>3.2800867295574689</v>
      </c>
      <c r="P640" s="6">
        <v>1.7235050863354731</v>
      </c>
      <c r="Q640" s="6">
        <v>1.71242411617947</v>
      </c>
      <c r="R640" s="6">
        <v>12.597477547067946</v>
      </c>
      <c r="S640" s="6">
        <v>12.813800304190124</v>
      </c>
      <c r="T640" s="6">
        <v>-0.25148600339889504</v>
      </c>
      <c r="U640" s="6" t="str">
        <f>_xll.BDP($A640,"TRAILING_12M_R&amp;D_%_SALES",$A$1,$A$2)</f>
        <v>#N/A N/A</v>
      </c>
      <c r="V640" s="6">
        <v>10</v>
      </c>
      <c r="W640" s="6">
        <v>101020</v>
      </c>
      <c r="X640" s="6">
        <v>10102040</v>
      </c>
      <c r="Y640" s="7" t="s">
        <v>387</v>
      </c>
      <c r="Z640" s="7" t="s">
        <v>516</v>
      </c>
      <c r="AA640" s="7" t="s">
        <v>849</v>
      </c>
      <c r="AB640" s="6">
        <v>77.205513000488281</v>
      </c>
      <c r="AC640" s="6">
        <v>0.81089220534252204</v>
      </c>
      <c r="AD640" s="6">
        <v>5.9982379846201814</v>
      </c>
      <c r="AE640" s="6"/>
      <c r="AF640" s="6">
        <v>7500</v>
      </c>
    </row>
    <row r="641" spans="1:32" s="4" customFormat="1" ht="12.75" x14ac:dyDescent="0.2">
      <c r="A641" s="7" t="s">
        <v>2086</v>
      </c>
      <c r="B641" s="7" t="s">
        <v>2087</v>
      </c>
      <c r="C641" s="7" t="s">
        <v>2088</v>
      </c>
      <c r="D641" s="6">
        <v>-0.274459809064865</v>
      </c>
      <c r="E641" s="6">
        <v>-0.95859056711196911</v>
      </c>
      <c r="F641" s="6">
        <v>-0.55316466093063399</v>
      </c>
      <c r="G641" s="6">
        <v>-0.24345706403255502</v>
      </c>
      <c r="H641" s="6">
        <v>-0.55200988054275502</v>
      </c>
      <c r="I641" s="6">
        <v>-0.40506130456924405</v>
      </c>
      <c r="J641" s="6">
        <v>0.84830635786056507</v>
      </c>
      <c r="K641" s="6">
        <v>-0.56944620609283403</v>
      </c>
      <c r="L641" s="6">
        <v>0.39326319098472601</v>
      </c>
      <c r="M641" s="6">
        <v>-0.93591845035553012</v>
      </c>
      <c r="N641" s="6">
        <v>1.0970030390675021</v>
      </c>
      <c r="O641" s="6">
        <v>0.94503918273779808</v>
      </c>
      <c r="P641" s="6">
        <v>2.177791415677035</v>
      </c>
      <c r="Q641" s="6">
        <v>1.8451539879471852</v>
      </c>
      <c r="R641" s="6">
        <v>20.002750216076887</v>
      </c>
      <c r="S641" s="6">
        <v>10.91770933632076</v>
      </c>
      <c r="T641" s="6">
        <v>10.871526718139648</v>
      </c>
      <c r="U641" s="6" t="str">
        <f>_xll.BDP($A641,"TRAILING_12M_R&amp;D_%_SALES",$A$1,$A$2)</f>
        <v>#N/A N/A</v>
      </c>
      <c r="V641" s="6">
        <v>40</v>
      </c>
      <c r="W641" s="6">
        <v>403010</v>
      </c>
      <c r="X641" s="6">
        <v>40301040</v>
      </c>
      <c r="Y641" s="7" t="s">
        <v>43</v>
      </c>
      <c r="Z641" s="7" t="s">
        <v>44</v>
      </c>
      <c r="AA641" s="7" t="s">
        <v>102</v>
      </c>
      <c r="AB641" s="6">
        <v>53.445327758789063</v>
      </c>
      <c r="AC641" s="6">
        <v>0.69169299176607402</v>
      </c>
      <c r="AD641" s="6">
        <v>2.865097075386958</v>
      </c>
      <c r="AE641" s="6">
        <v>31850</v>
      </c>
      <c r="AF641" s="6">
        <v>30900</v>
      </c>
    </row>
    <row r="642" spans="1:32" s="4" customFormat="1" ht="12.75" x14ac:dyDescent="0.2">
      <c r="A642" s="7" t="s">
        <v>2089</v>
      </c>
      <c r="B642" s="7" t="s">
        <v>2090</v>
      </c>
      <c r="C642" s="7" t="s">
        <v>2091</v>
      </c>
      <c r="D642" s="6">
        <v>-0.45790439844131503</v>
      </c>
      <c r="E642" s="6">
        <v>-0.96465843915939309</v>
      </c>
      <c r="F642" s="6">
        <v>0.5743633508682251</v>
      </c>
      <c r="G642" s="6">
        <v>-0.99146509170532204</v>
      </c>
      <c r="H642" s="6">
        <v>0.621007800102234</v>
      </c>
      <c r="I642" s="6">
        <v>-1.6047660261393003E-2</v>
      </c>
      <c r="J642" s="6">
        <v>1.0517562627792361</v>
      </c>
      <c r="K642" s="6">
        <v>-1.185705184936523</v>
      </c>
      <c r="L642" s="6">
        <v>1.1028697490692141</v>
      </c>
      <c r="M642" s="6">
        <v>-0.305845826864243</v>
      </c>
      <c r="N642" s="6">
        <v>0.31235642750513204</v>
      </c>
      <c r="O642" s="6">
        <v>0.28632481020450801</v>
      </c>
      <c r="P642" s="6">
        <v>1.716355092299614</v>
      </c>
      <c r="Q642" s="6">
        <v>1.584873473710789</v>
      </c>
      <c r="R642" s="6">
        <v>14.774615741160371</v>
      </c>
      <c r="S642" s="6">
        <v>11.242855018491058</v>
      </c>
      <c r="T642" s="6">
        <v>11.064061164855957</v>
      </c>
      <c r="U642" s="6">
        <f>_xll.BDP($A642,"TRAILING_12M_R&amp;D_%_SALES",$A$1,$A$2)</f>
        <v>0</v>
      </c>
      <c r="V642" s="6">
        <v>30</v>
      </c>
      <c r="W642" s="6">
        <v>301010</v>
      </c>
      <c r="X642" s="6">
        <v>30101030</v>
      </c>
      <c r="Y642" s="7" t="s">
        <v>106</v>
      </c>
      <c r="Z642" s="7" t="s">
        <v>107</v>
      </c>
      <c r="AA642" s="7" t="s">
        <v>108</v>
      </c>
      <c r="AB642" s="6">
        <v>51.624584197998047</v>
      </c>
      <c r="AC642" s="6">
        <v>0.65351801988827807</v>
      </c>
      <c r="AD642" s="6">
        <v>42.164707627623898</v>
      </c>
      <c r="AE642" s="6">
        <v>336926</v>
      </c>
      <c r="AF642" s="6">
        <v>327916</v>
      </c>
    </row>
    <row r="643" spans="1:32" s="4" customFormat="1" ht="12.75" x14ac:dyDescent="0.2">
      <c r="A643" s="7" t="s">
        <v>2092</v>
      </c>
      <c r="B643" s="7" t="s">
        <v>2093</v>
      </c>
      <c r="C643" s="7" t="s">
        <v>2094</v>
      </c>
      <c r="D643" s="6">
        <v>-0.45790439844131503</v>
      </c>
      <c r="E643" s="6">
        <v>-0.96465843915939309</v>
      </c>
      <c r="F643" s="6">
        <v>0.5743633508682251</v>
      </c>
      <c r="G643" s="6">
        <v>-0.99146509170532204</v>
      </c>
      <c r="H643" s="6">
        <v>0.621007800102234</v>
      </c>
      <c r="I643" s="6">
        <v>-1.6047660261393003E-2</v>
      </c>
      <c r="J643" s="6">
        <v>1.0517562627792361</v>
      </c>
      <c r="K643" s="6">
        <v>-1.185705184936523</v>
      </c>
      <c r="L643" s="6">
        <v>1.1028697490692141</v>
      </c>
      <c r="M643" s="6">
        <v>-0.305845826864243</v>
      </c>
      <c r="N643" s="6">
        <v>0.31235642750513204</v>
      </c>
      <c r="O643" s="6">
        <v>0.29504939663062002</v>
      </c>
      <c r="P643" s="6">
        <v>1.716355092299614</v>
      </c>
      <c r="Q643" s="6">
        <v>1.6331628021281519</v>
      </c>
      <c r="R643" s="6">
        <v>14.774615741160371</v>
      </c>
      <c r="S643" s="6">
        <v>11.585447133586404</v>
      </c>
      <c r="T643" s="6">
        <v>11.064061164855957</v>
      </c>
      <c r="U643" s="6">
        <f>_xll.BDP($A643,"TRAILING_12M_R&amp;D_%_SALES",$A$1,$A$2)</f>
        <v>0</v>
      </c>
      <c r="V643" s="6">
        <v>30</v>
      </c>
      <c r="W643" s="6">
        <v>301010</v>
      </c>
      <c r="X643" s="6">
        <v>30101030</v>
      </c>
      <c r="Y643" s="7" t="s">
        <v>106</v>
      </c>
      <c r="Z643" s="7" t="s">
        <v>107</v>
      </c>
      <c r="AA643" s="7" t="s">
        <v>108</v>
      </c>
      <c r="AB643" s="6">
        <v>51.624584197998047</v>
      </c>
      <c r="AC643" s="6">
        <v>0.65702809624241609</v>
      </c>
      <c r="AD643" s="6">
        <v>43.615751515379486</v>
      </c>
      <c r="AE643" s="6">
        <v>336926</v>
      </c>
      <c r="AF643" s="6">
        <v>327916</v>
      </c>
    </row>
    <row r="644" spans="1:32" s="4" customFormat="1" ht="12.75" x14ac:dyDescent="0.2">
      <c r="A644" s="7" t="s">
        <v>2095</v>
      </c>
      <c r="B644" s="7" t="s">
        <v>2096</v>
      </c>
      <c r="C644" s="7" t="s">
        <v>2097</v>
      </c>
      <c r="D644" s="6">
        <v>0.89064013957977306</v>
      </c>
      <c r="E644" s="6">
        <v>-0.15749412775039701</v>
      </c>
      <c r="F644" s="6">
        <v>0.48853671550750705</v>
      </c>
      <c r="G644" s="6">
        <v>3.0002281665802002</v>
      </c>
      <c r="H644" s="6">
        <v>-1.200098872184753</v>
      </c>
      <c r="I644" s="6">
        <v>-0.46424075961113004</v>
      </c>
      <c r="J644" s="6">
        <v>-0.64829981327056907</v>
      </c>
      <c r="K644" s="6">
        <v>3.000004768371582</v>
      </c>
      <c r="L644" s="6">
        <v>-0.72281217575073209</v>
      </c>
      <c r="M644" s="6">
        <v>2.1073899269103999</v>
      </c>
      <c r="N644" s="6">
        <v>8.2068580533347806</v>
      </c>
      <c r="O644" s="6">
        <v>6.7295841563870304</v>
      </c>
      <c r="P644" s="6">
        <v>14.77420961571088</v>
      </c>
      <c r="Q644" s="6">
        <v>12.346096091471461</v>
      </c>
      <c r="R644" s="6">
        <v>79.69880568866509</v>
      </c>
      <c r="S644" s="6">
        <v>64.931026869043009</v>
      </c>
      <c r="T644" s="6">
        <v>23.052606582641602</v>
      </c>
      <c r="U644" s="6">
        <f>_xll.BDP($A644,"TRAILING_12M_R&amp;D_%_SALES",$A$1,$A$2)</f>
        <v>4.6473538745009719</v>
      </c>
      <c r="V644" s="6">
        <v>25</v>
      </c>
      <c r="W644" s="6">
        <v>251020</v>
      </c>
      <c r="X644" s="6">
        <v>25102010</v>
      </c>
      <c r="Y644" s="7" t="s">
        <v>85</v>
      </c>
      <c r="Z644" s="7" t="s">
        <v>316</v>
      </c>
      <c r="AA644" s="7" t="s">
        <v>317</v>
      </c>
      <c r="AB644" s="6">
        <v>53.042953491210938</v>
      </c>
      <c r="AC644" s="6">
        <v>1.8335127506015441</v>
      </c>
      <c r="AD644" s="6">
        <v>103.97307203251968</v>
      </c>
      <c r="AE644" s="6">
        <v>127855</v>
      </c>
      <c r="AF644" s="6">
        <v>37543</v>
      </c>
    </row>
    <row r="645" spans="1:32" s="4" customFormat="1" ht="12.75" x14ac:dyDescent="0.2">
      <c r="A645" s="7" t="s">
        <v>2098</v>
      </c>
      <c r="B645" s="7" t="s">
        <v>2099</v>
      </c>
      <c r="C645" s="7" t="s">
        <v>2100</v>
      </c>
      <c r="D645" s="6">
        <v>-0.79581528902053811</v>
      </c>
      <c r="E645" s="6">
        <v>-1.2212400436401369</v>
      </c>
      <c r="F645" s="6">
        <v>0.18925319612026201</v>
      </c>
      <c r="G645" s="6">
        <v>0.556329965591431</v>
      </c>
      <c r="H645" s="6">
        <v>0.23262058198452001</v>
      </c>
      <c r="I645" s="6">
        <v>-1.3561331033706669</v>
      </c>
      <c r="J645" s="6">
        <v>0.60524582862854004</v>
      </c>
      <c r="K645" s="6">
        <v>-0.58226382732391402</v>
      </c>
      <c r="L645" s="6">
        <v>1.0776815414428711</v>
      </c>
      <c r="M645" s="6">
        <v>-0.262333333492279</v>
      </c>
      <c r="N645" s="6">
        <v>0.35756524496595904</v>
      </c>
      <c r="O645" s="6">
        <v>0.35892107474605101</v>
      </c>
      <c r="P645" s="6">
        <v>1.055258347408198</v>
      </c>
      <c r="Q645" s="6">
        <v>1.0160245826943839</v>
      </c>
      <c r="R645" s="6">
        <v>42.14621834236317</v>
      </c>
      <c r="S645" s="6">
        <v>23.600022606370214</v>
      </c>
      <c r="T645" s="6">
        <v>-3.425400018692017</v>
      </c>
      <c r="U645" s="6" t="str">
        <f>_xll.BDP($A645,"TRAILING_12M_R&amp;D_%_SALES",$A$1,$A$2)</f>
        <v>#N/A N/A</v>
      </c>
      <c r="V645" s="6">
        <v>30</v>
      </c>
      <c r="W645" s="6">
        <v>302020</v>
      </c>
      <c r="X645" s="6">
        <v>30202030</v>
      </c>
      <c r="Y645" s="7" t="s">
        <v>106</v>
      </c>
      <c r="Z645" s="7" t="s">
        <v>135</v>
      </c>
      <c r="AA645" s="7" t="s">
        <v>710</v>
      </c>
      <c r="AB645" s="6">
        <v>43.406097412109375</v>
      </c>
      <c r="AC645" s="6">
        <v>0.7127406144006011</v>
      </c>
      <c r="AD645" s="6">
        <v>-9.7436969633146742</v>
      </c>
      <c r="AE645" s="6">
        <v>139000</v>
      </c>
      <c r="AF645" s="6">
        <v>121000</v>
      </c>
    </row>
    <row r="646" spans="1:32" s="4" customFormat="1" ht="12.75" x14ac:dyDescent="0.2">
      <c r="A646" s="7" t="s">
        <v>2101</v>
      </c>
      <c r="B646" s="7" t="s">
        <v>2102</v>
      </c>
      <c r="C646" s="7" t="s">
        <v>2103</v>
      </c>
      <c r="D646" s="6">
        <v>-0.91140580177307107</v>
      </c>
      <c r="E646" s="6">
        <v>0.20102605223655701</v>
      </c>
      <c r="F646" s="6">
        <v>-0.28309702873230003</v>
      </c>
      <c r="G646" s="6">
        <v>-0.21649217605590801</v>
      </c>
      <c r="H646" s="6">
        <v>-0.20042228698730502</v>
      </c>
      <c r="I646" s="6">
        <v>0.22533021867275202</v>
      </c>
      <c r="J646" s="6">
        <v>-0.16851705312728901</v>
      </c>
      <c r="K646" s="6">
        <v>-0.81281769275665305</v>
      </c>
      <c r="L646" s="6">
        <v>-4.4027384370565005E-2</v>
      </c>
      <c r="M646" s="6">
        <v>-0.56359183788299605</v>
      </c>
      <c r="N646" s="6">
        <v>3.2319137590457601</v>
      </c>
      <c r="O646" s="6">
        <v>2.975167170959828</v>
      </c>
      <c r="P646" s="6">
        <v>8.3151875816041869</v>
      </c>
      <c r="Q646" s="6">
        <v>7.6426769998788524</v>
      </c>
      <c r="R646" s="6">
        <v>28.821726019792987</v>
      </c>
      <c r="S646" s="6">
        <v>24.411238071911818</v>
      </c>
      <c r="T646" s="6">
        <v>31.238985061645508</v>
      </c>
      <c r="U646" s="6" t="str">
        <f>_xll.BDP($A646,"TRAILING_12M_R&amp;D_%_SALES",$A$1,$A$2)</f>
        <v>#N/A N/A</v>
      </c>
      <c r="V646" s="6">
        <v>20</v>
      </c>
      <c r="W646" s="6">
        <v>201020</v>
      </c>
      <c r="X646" s="6">
        <v>20102010</v>
      </c>
      <c r="Y646" s="7" t="s">
        <v>38</v>
      </c>
      <c r="Z646" s="7" t="s">
        <v>489</v>
      </c>
      <c r="AA646" s="7" t="s">
        <v>489</v>
      </c>
      <c r="AB646" s="6">
        <v>71.833816528320313</v>
      </c>
      <c r="AC646" s="6">
        <v>1.0516965002410601</v>
      </c>
      <c r="AD646" s="6">
        <v>45.341082442687977</v>
      </c>
      <c r="AE646" s="6">
        <v>39000</v>
      </c>
      <c r="AF646" s="6">
        <v>46000</v>
      </c>
    </row>
    <row r="647" spans="1:32" s="4" customFormat="1" ht="12.75" x14ac:dyDescent="0.2">
      <c r="A647" s="7" t="s">
        <v>2104</v>
      </c>
      <c r="B647" s="7" t="s">
        <v>2105</v>
      </c>
      <c r="C647" s="7" t="s">
        <v>2106</v>
      </c>
      <c r="D647" s="6">
        <v>0.8465301990509031</v>
      </c>
      <c r="E647" s="6">
        <v>-0.52876782417297408</v>
      </c>
      <c r="F647" s="6">
        <v>0.86711245775222812</v>
      </c>
      <c r="G647" s="6">
        <v>-0.93061310052871704</v>
      </c>
      <c r="H647" s="6">
        <v>-0.35704344511032104</v>
      </c>
      <c r="I647" s="6">
        <v>0.41350144147872903</v>
      </c>
      <c r="J647" s="6">
        <v>2.0144791603088379</v>
      </c>
      <c r="K647" s="6">
        <v>-0.68187832832336404</v>
      </c>
      <c r="L647" s="6">
        <v>1.4729113578796391</v>
      </c>
      <c r="M647" s="6">
        <v>-5.8716986328363002E-2</v>
      </c>
      <c r="N647" s="6">
        <v>0.74234833712587911</v>
      </c>
      <c r="O647" s="6">
        <v>0.68377254301690005</v>
      </c>
      <c r="P647" s="6">
        <v>1.420138594123342</v>
      </c>
      <c r="Q647" s="6">
        <v>1.2218318600849991</v>
      </c>
      <c r="R647" s="6">
        <v>8.6380527203310624</v>
      </c>
      <c r="S647" s="6">
        <v>6.8272594282414483</v>
      </c>
      <c r="T647" s="6">
        <v>16.768840789794922</v>
      </c>
      <c r="U647" s="6" t="str">
        <f>_xll.BDP($A647,"TRAILING_12M_R&amp;D_%_SALES",$A$1,$A$2)</f>
        <v>#N/A N/A</v>
      </c>
      <c r="V647" s="6">
        <v>10</v>
      </c>
      <c r="W647" s="6">
        <v>101020</v>
      </c>
      <c r="X647" s="6">
        <v>10102010</v>
      </c>
      <c r="Y647" s="7" t="s">
        <v>387</v>
      </c>
      <c r="Z647" s="7" t="s">
        <v>516</v>
      </c>
      <c r="AA647" s="7" t="s">
        <v>693</v>
      </c>
      <c r="AB647" s="6">
        <v>74.549842834472656</v>
      </c>
      <c r="AC647" s="6">
        <v>0.70513300649490307</v>
      </c>
      <c r="AD647" s="6">
        <v>14.031046481923571</v>
      </c>
      <c r="AE647" s="6">
        <v>101279</v>
      </c>
      <c r="AF647" s="6">
        <v>98277</v>
      </c>
    </row>
    <row r="648" spans="1:32" s="4" customFormat="1" ht="12.75" x14ac:dyDescent="0.2">
      <c r="A648" s="7" t="s">
        <v>2107</v>
      </c>
      <c r="B648" s="7" t="s">
        <v>2108</v>
      </c>
      <c r="C648" s="7" t="s">
        <v>2109</v>
      </c>
      <c r="D648" s="6">
        <v>0.8465301990509031</v>
      </c>
      <c r="E648" s="6">
        <v>-0.52876782417297408</v>
      </c>
      <c r="F648" s="6">
        <v>0.86711245775222812</v>
      </c>
      <c r="G648" s="6">
        <v>-0.93061310052871704</v>
      </c>
      <c r="H648" s="6">
        <v>-0.35704344511032104</v>
      </c>
      <c r="I648" s="6">
        <v>0.41350144147872903</v>
      </c>
      <c r="J648" s="6">
        <v>2.0144791603088379</v>
      </c>
      <c r="K648" s="6">
        <v>-0.68187832832336404</v>
      </c>
      <c r="L648" s="6">
        <v>1.4729113578796391</v>
      </c>
      <c r="M648" s="6">
        <v>-5.8716986328363002E-2</v>
      </c>
      <c r="N648" s="6">
        <v>0.74234833712587911</v>
      </c>
      <c r="O648" s="6">
        <v>0.680118267353088</v>
      </c>
      <c r="P648" s="6">
        <v>1.420138594123342</v>
      </c>
      <c r="Q648" s="6">
        <v>1.2153020082417609</v>
      </c>
      <c r="R648" s="6">
        <v>8.6380527203310624</v>
      </c>
      <c r="S648" s="6">
        <v>6.7907724172065027</v>
      </c>
      <c r="T648" s="6">
        <v>16.768840789794922</v>
      </c>
      <c r="U648" s="6" t="str">
        <f>_xll.BDP($A648,"TRAILING_12M_R&amp;D_%_SALES",$A$1,$A$2)</f>
        <v>#N/A N/A</v>
      </c>
      <c r="V648" s="6">
        <v>10</v>
      </c>
      <c r="W648" s="6">
        <v>101020</v>
      </c>
      <c r="X648" s="6">
        <v>10102010</v>
      </c>
      <c r="Y648" s="7" t="s">
        <v>387</v>
      </c>
      <c r="Z648" s="7" t="s">
        <v>516</v>
      </c>
      <c r="AA648" s="7" t="s">
        <v>693</v>
      </c>
      <c r="AB648" s="6">
        <v>74.549842834472656</v>
      </c>
      <c r="AC648" s="6">
        <v>0.51000121311702706</v>
      </c>
      <c r="AD648" s="6">
        <v>12.697373226129915</v>
      </c>
      <c r="AE648" s="6">
        <v>101279</v>
      </c>
      <c r="AF648" s="6">
        <v>98277</v>
      </c>
    </row>
    <row r="649" spans="1:32" s="4" customFormat="1" ht="12.75" x14ac:dyDescent="0.2">
      <c r="A649" s="7" t="s">
        <v>2110</v>
      </c>
      <c r="B649" s="7" t="s">
        <v>2069</v>
      </c>
      <c r="C649" s="7" t="s">
        <v>2111</v>
      </c>
      <c r="D649" s="6">
        <v>-0.97315400838851907</v>
      </c>
      <c r="E649" s="6">
        <v>-0.61911731958389304</v>
      </c>
      <c r="F649" s="6">
        <v>-1.525153756141663</v>
      </c>
      <c r="G649" s="6">
        <v>-0.83679574728012107</v>
      </c>
      <c r="H649" s="6">
        <v>0.40554541349411005</v>
      </c>
      <c r="I649" s="6">
        <v>-0.49425184726715105</v>
      </c>
      <c r="J649" s="6">
        <v>0.48544093966484103</v>
      </c>
      <c r="K649" s="6">
        <v>-1.2857533693313601</v>
      </c>
      <c r="L649" s="6">
        <v>1.316313505172729</v>
      </c>
      <c r="M649" s="6">
        <v>-0.89564663171768211</v>
      </c>
      <c r="N649" s="6">
        <v>2.013482236197798</v>
      </c>
      <c r="O649" s="6">
        <v>1.8812497336332159</v>
      </c>
      <c r="P649" s="6">
        <v>2.969789117352168</v>
      </c>
      <c r="Q649" s="6">
        <v>2.921302937170307</v>
      </c>
      <c r="R649" s="6">
        <v>23.686759922739146</v>
      </c>
      <c r="S649" s="6">
        <v>20.56335894271653</v>
      </c>
      <c r="T649" s="6">
        <v>12.480983734130859</v>
      </c>
      <c r="U649" s="6">
        <f>_xll.BDP($A649,"TRAILING_12M_R&amp;D_%_SALES",$A$1,$A$2)</f>
        <v>0</v>
      </c>
      <c r="V649" s="6">
        <v>50</v>
      </c>
      <c r="W649" s="6">
        <v>501010</v>
      </c>
      <c r="X649" s="6">
        <v>50101020</v>
      </c>
      <c r="Y649" s="7" t="s">
        <v>311</v>
      </c>
      <c r="Z649" s="7" t="s">
        <v>346</v>
      </c>
      <c r="AA649" s="7" t="s">
        <v>347</v>
      </c>
      <c r="AB649" s="6">
        <v>68.353286743164063</v>
      </c>
      <c r="AC649" s="6">
        <v>0.339519775108652</v>
      </c>
      <c r="AD649" s="6">
        <v>3.149241411712445</v>
      </c>
      <c r="AE649" s="6">
        <v>31761</v>
      </c>
      <c r="AF649" s="6">
        <v>32293</v>
      </c>
    </row>
    <row r="650" spans="1:32" s="4" customFormat="1" ht="12.75" x14ac:dyDescent="0.2">
      <c r="A650" s="7" t="s">
        <v>2112</v>
      </c>
      <c r="B650" s="7" t="s">
        <v>2113</v>
      </c>
      <c r="C650" s="7" t="s">
        <v>2114</v>
      </c>
      <c r="D650" s="6">
        <v>-0.9419779181480411</v>
      </c>
      <c r="E650" s="6">
        <v>-0.80510979890823409</v>
      </c>
      <c r="F650" s="6">
        <v>-1.0144698619842529</v>
      </c>
      <c r="G650" s="6">
        <v>-0.6472502946853641</v>
      </c>
      <c r="H650" s="6">
        <v>1.208077549934387</v>
      </c>
      <c r="I650" s="6">
        <v>-1.018504858016968</v>
      </c>
      <c r="J650" s="6">
        <v>0.39336949586868303</v>
      </c>
      <c r="K650" s="6">
        <v>-0.53031563758850109</v>
      </c>
      <c r="L650" s="6">
        <v>2.2422645092010498</v>
      </c>
      <c r="M650" s="6">
        <v>-0.92662739753723111</v>
      </c>
      <c r="N650" s="6">
        <v>1.7023360454176191</v>
      </c>
      <c r="O650" s="6">
        <v>1.6253490661599659</v>
      </c>
      <c r="P650" s="6">
        <v>2.102647589947773</v>
      </c>
      <c r="Q650" s="6">
        <v>2.3409341650511108</v>
      </c>
      <c r="R650" s="6">
        <v>23.648532847586253</v>
      </c>
      <c r="S650" s="6">
        <v>21.437276876855712</v>
      </c>
      <c r="T650" s="6">
        <v>4.8403182029724121</v>
      </c>
      <c r="U650" s="6">
        <f>_xll.BDP($A650,"TRAILING_12M_R&amp;D_%_SALES",$A$1,$A$2)</f>
        <v>0</v>
      </c>
      <c r="V650" s="6">
        <v>50</v>
      </c>
      <c r="W650" s="6">
        <v>501010</v>
      </c>
      <c r="X650" s="6">
        <v>50101020</v>
      </c>
      <c r="Y650" s="7" t="s">
        <v>311</v>
      </c>
      <c r="Z650" s="7" t="s">
        <v>346</v>
      </c>
      <c r="AA650" s="7" t="s">
        <v>347</v>
      </c>
      <c r="AB650" s="6">
        <v>67.297050476074219</v>
      </c>
      <c r="AC650" s="6">
        <v>0.8019826097325381</v>
      </c>
      <c r="AD650" s="6">
        <v>-3.2706203774724552</v>
      </c>
      <c r="AE650" s="6">
        <v>108500</v>
      </c>
      <c r="AF650" s="6">
        <v>50500</v>
      </c>
    </row>
    <row r="651" spans="1:32" s="4" customFormat="1" ht="12.75" x14ac:dyDescent="0.2">
      <c r="A651" s="7" t="s">
        <v>2115</v>
      </c>
      <c r="B651" s="7" t="s">
        <v>2116</v>
      </c>
      <c r="C651" s="7" t="s">
        <v>2117</v>
      </c>
      <c r="D651" s="6">
        <v>-0.36318081617355302</v>
      </c>
      <c r="E651" s="6">
        <v>0.92902535200119007</v>
      </c>
      <c r="F651" s="6">
        <v>-0.93350082635879505</v>
      </c>
      <c r="G651" s="6">
        <v>-0.22021773457527202</v>
      </c>
      <c r="H651" s="6">
        <v>-4.7093018889427005E-2</v>
      </c>
      <c r="I651" s="6">
        <v>-0.5336585044860841</v>
      </c>
      <c r="J651" s="6">
        <v>-0.15040493011474601</v>
      </c>
      <c r="K651" s="6">
        <v>0.23252217471599601</v>
      </c>
      <c r="L651" s="6">
        <v>0.76969212293624911</v>
      </c>
      <c r="M651" s="6">
        <v>0.14721156656742101</v>
      </c>
      <c r="N651" s="6">
        <v>8.5384525117374288</v>
      </c>
      <c r="O651" s="6">
        <v>8.7517570774568227</v>
      </c>
      <c r="P651" s="6">
        <v>9.3065778046215204</v>
      </c>
      <c r="Q651" s="6">
        <v>8.8601746216115362</v>
      </c>
      <c r="R651" s="6">
        <v>22.320801212394546</v>
      </c>
      <c r="S651" s="6">
        <v>25.606437787331508</v>
      </c>
      <c r="T651" s="6">
        <v>45.378635406494141</v>
      </c>
      <c r="U651" s="6">
        <f>_xll.BDP($A651,"TRAILING_12M_R&amp;D_%_SALES",$A$1,$A$2)</f>
        <v>12.524774630778083</v>
      </c>
      <c r="V651" s="6">
        <v>45</v>
      </c>
      <c r="W651" s="6">
        <v>453010</v>
      </c>
      <c r="X651" s="6">
        <v>45301020</v>
      </c>
      <c r="Y651" s="7" t="s">
        <v>56</v>
      </c>
      <c r="Z651" s="7" t="s">
        <v>130</v>
      </c>
      <c r="AA651" s="7" t="s">
        <v>131</v>
      </c>
      <c r="AB651" s="6">
        <v>72.236190795898438</v>
      </c>
      <c r="AC651" s="6">
        <v>1.159178981758507</v>
      </c>
      <c r="AD651" s="6">
        <v>6.5195947603643001</v>
      </c>
      <c r="AE651" s="6">
        <v>33000</v>
      </c>
      <c r="AF651" s="6">
        <v>29714</v>
      </c>
    </row>
    <row r="652" spans="1:32" s="4" customFormat="1" ht="12.75" x14ac:dyDescent="0.2">
      <c r="A652" s="7" t="s">
        <v>2118</v>
      </c>
      <c r="B652" s="7" t="s">
        <v>2119</v>
      </c>
      <c r="C652" s="7" t="s">
        <v>2120</v>
      </c>
      <c r="D652" s="6">
        <v>-0.33623817563056901</v>
      </c>
      <c r="E652" s="6">
        <v>-0.52282178401946999</v>
      </c>
      <c r="F652" s="6">
        <v>0.27225255966186501</v>
      </c>
      <c r="G652" s="6">
        <v>0.20872382819652602</v>
      </c>
      <c r="H652" s="6">
        <v>0.95524811744689908</v>
      </c>
      <c r="I652" s="6">
        <v>-0.45715281367301902</v>
      </c>
      <c r="J652" s="6">
        <v>2.5064952373504639</v>
      </c>
      <c r="K652" s="6">
        <v>-0.25205209851265004</v>
      </c>
      <c r="L652" s="6">
        <v>0.42688301205635104</v>
      </c>
      <c r="M652" s="6">
        <v>-0.64097303152084406</v>
      </c>
      <c r="N652" s="6">
        <v>0.664863016860057</v>
      </c>
      <c r="O652" s="6"/>
      <c r="P652" s="6">
        <v>1.056609334082637</v>
      </c>
      <c r="Q652" s="6"/>
      <c r="R652" s="6">
        <v>3.0948711418286581</v>
      </c>
      <c r="S652" s="6"/>
      <c r="T652" s="6">
        <v>41.057289123535156</v>
      </c>
      <c r="U652" s="6" t="str">
        <f>_xll.BDP($A652,"TRAILING_12M_R&amp;D_%_SALES",$A$1,$A$2)</f>
        <v>#N/A N/A</v>
      </c>
      <c r="V652" s="6">
        <v>40</v>
      </c>
      <c r="W652" s="6">
        <v>401010</v>
      </c>
      <c r="X652" s="6">
        <v>40101010</v>
      </c>
      <c r="Y652" s="7" t="s">
        <v>43</v>
      </c>
      <c r="Z652" s="7" t="s">
        <v>67</v>
      </c>
      <c r="AA652" s="7" t="s">
        <v>68</v>
      </c>
      <c r="AB652" s="6">
        <v>48.033397674560547</v>
      </c>
      <c r="AC652" s="6"/>
      <c r="AD652" s="6"/>
      <c r="AE652" s="6">
        <v>28097</v>
      </c>
      <c r="AF652" s="6"/>
    </row>
    <row r="653" spans="1:32" s="4" customFormat="1" ht="12.75" x14ac:dyDescent="0.2">
      <c r="A653" s="7" t="s">
        <v>2121</v>
      </c>
      <c r="B653" s="7" t="s">
        <v>2122</v>
      </c>
      <c r="C653" s="7" t="s">
        <v>2123</v>
      </c>
      <c r="D653" s="6">
        <v>-0.69329661130905207</v>
      </c>
      <c r="E653" s="6">
        <v>-0.601923227310181</v>
      </c>
      <c r="F653" s="6">
        <v>-0.56447088718414307</v>
      </c>
      <c r="G653" s="6">
        <v>3.0002281665802002</v>
      </c>
      <c r="H653" s="6">
        <v>1.8436753749847412</v>
      </c>
      <c r="I653" s="6">
        <v>0.12467646598815901</v>
      </c>
      <c r="J653" s="6">
        <v>2.4641156196594238</v>
      </c>
      <c r="K653" s="6">
        <v>-0.55672645568847701</v>
      </c>
      <c r="L653" s="6">
        <v>-0.72281217575073209</v>
      </c>
      <c r="M653" s="6">
        <v>0.27282729744911199</v>
      </c>
      <c r="N653" s="6">
        <v>0.25816093403130302</v>
      </c>
      <c r="O653" s="6">
        <v>0.24074999353350202</v>
      </c>
      <c r="P653" s="6">
        <v>1.52872779357316</v>
      </c>
      <c r="Q653" s="6">
        <v>1.1545036542887339</v>
      </c>
      <c r="R653" s="6">
        <v>4.156879796211328</v>
      </c>
      <c r="S653" s="6">
        <v>4.4078699351527995</v>
      </c>
      <c r="T653" s="6">
        <v>41.611518859863281</v>
      </c>
      <c r="U653" s="6" t="str">
        <f>_xll.BDP($A653,"TRAILING_12M_R&amp;D_%_SALES",$A$1,$A$2)</f>
        <v>#N/A N/A</v>
      </c>
      <c r="V653" s="6">
        <v>20</v>
      </c>
      <c r="W653" s="6">
        <v>203020</v>
      </c>
      <c r="X653" s="6">
        <v>20302010</v>
      </c>
      <c r="Y653" s="7" t="s">
        <v>38</v>
      </c>
      <c r="Z653" s="7" t="s">
        <v>52</v>
      </c>
      <c r="AA653" s="7" t="s">
        <v>52</v>
      </c>
      <c r="AB653" s="6">
        <v>58.535358428955078</v>
      </c>
      <c r="AC653" s="6">
        <v>1.188608172178907</v>
      </c>
      <c r="AD653" s="6">
        <v>8.8080177053468045</v>
      </c>
      <c r="AE653" s="6">
        <v>92800</v>
      </c>
      <c r="AF653" s="6">
        <v>89800</v>
      </c>
    </row>
    <row r="654" spans="1:32" s="4" customFormat="1" ht="12.75" x14ac:dyDescent="0.2">
      <c r="A654" s="7" t="s">
        <v>2124</v>
      </c>
      <c r="B654" s="7" t="s">
        <v>2125</v>
      </c>
      <c r="C654" s="7" t="s">
        <v>2126</v>
      </c>
      <c r="D654" s="6">
        <v>-0.34692656993866</v>
      </c>
      <c r="E654" s="6">
        <v>-1.475317120552063</v>
      </c>
      <c r="F654" s="6">
        <v>-0.60185337066650402</v>
      </c>
      <c r="G654" s="6">
        <v>1.063784003257751</v>
      </c>
      <c r="H654" s="6">
        <v>0.17354688048362701</v>
      </c>
      <c r="I654" s="6">
        <v>0.79647135734558105</v>
      </c>
      <c r="J654" s="6">
        <v>-0.61714458465576205</v>
      </c>
      <c r="K654" s="6">
        <v>1.158237099647522</v>
      </c>
      <c r="L654" s="6">
        <v>-0.72281217575073209</v>
      </c>
      <c r="M654" s="6">
        <v>1.8482193946838381</v>
      </c>
      <c r="N654" s="6">
        <v>3.458280643123786</v>
      </c>
      <c r="O654" s="6">
        <v>2.9539576711765352</v>
      </c>
      <c r="P654" s="6">
        <v>12.486923856750739</v>
      </c>
      <c r="Q654" s="6">
        <v>8.5012083057167196</v>
      </c>
      <c r="R654" s="6">
        <v>1437.9131677306439</v>
      </c>
      <c r="S654" s="6">
        <v>40.09820954711526</v>
      </c>
      <c r="T654" s="6">
        <v>12.319392204284668</v>
      </c>
      <c r="U654" s="6">
        <f>_xll.BDP($A654,"TRAILING_12M_R&amp;D_%_SALES",$A$1,$A$2)</f>
        <v>7.0694438128154982</v>
      </c>
      <c r="V654" s="6">
        <v>20</v>
      </c>
      <c r="W654" s="6">
        <v>203040</v>
      </c>
      <c r="X654" s="6">
        <v>20304040</v>
      </c>
      <c r="Y654" s="7" t="s">
        <v>38</v>
      </c>
      <c r="Z654" s="7" t="s">
        <v>561</v>
      </c>
      <c r="AA654" s="7" t="s">
        <v>2127</v>
      </c>
      <c r="AB654" s="6">
        <v>52.801528930664063</v>
      </c>
      <c r="AC654" s="6">
        <v>1.259362600416756</v>
      </c>
      <c r="AD654" s="6">
        <v>147.16981160969658</v>
      </c>
      <c r="AE654" s="6">
        <v>32500</v>
      </c>
      <c r="AF654" s="6"/>
    </row>
    <row r="655" spans="1:32" s="4" customFormat="1" ht="12.75" x14ac:dyDescent="0.2">
      <c r="A655" s="7" t="s">
        <v>2128</v>
      </c>
      <c r="B655" s="7" t="s">
        <v>2129</v>
      </c>
      <c r="C655" s="7" t="s">
        <v>2130</v>
      </c>
      <c r="D655" s="6">
        <v>0.21652400493621801</v>
      </c>
      <c r="E655" s="6">
        <v>-0.92705810070037808</v>
      </c>
      <c r="F655" s="6">
        <v>7.0520520210266002E-2</v>
      </c>
      <c r="G655" s="6">
        <v>0.35133206844329801</v>
      </c>
      <c r="H655" s="6">
        <v>1.071300268173218</v>
      </c>
      <c r="I655" s="6">
        <v>2.2131211757659912</v>
      </c>
      <c r="J655" s="6">
        <v>1.0527570247650151</v>
      </c>
      <c r="K655" s="6">
        <v>-1.406927347183228</v>
      </c>
      <c r="L655" s="6">
        <v>1.354709386825562</v>
      </c>
      <c r="M655" s="6">
        <v>-0.49130281805992104</v>
      </c>
      <c r="N655" s="6">
        <v>1.9436796099823401</v>
      </c>
      <c r="O655" s="6">
        <v>1.9355433491877072</v>
      </c>
      <c r="P655" s="6">
        <v>0.75767167622467801</v>
      </c>
      <c r="Q655" s="6">
        <v>0.64976357557722009</v>
      </c>
      <c r="R655" s="6">
        <v>5.1261142889311158</v>
      </c>
      <c r="S655" s="6">
        <v>5.5989085954013369</v>
      </c>
      <c r="T655" s="6">
        <v>15.964862823486328</v>
      </c>
      <c r="U655" s="6" t="str">
        <f>_xll.BDP($A655,"TRAILING_12M_R&amp;D_%_SALES",$A$1,$A$2)</f>
        <v>#N/A N/A</v>
      </c>
      <c r="V655" s="6">
        <v>40</v>
      </c>
      <c r="W655" s="6">
        <v>401010</v>
      </c>
      <c r="X655" s="6">
        <v>40101010</v>
      </c>
      <c r="Y655" s="7" t="s">
        <v>43</v>
      </c>
      <c r="Z655" s="7" t="s">
        <v>67</v>
      </c>
      <c r="AA655" s="7" t="s">
        <v>68</v>
      </c>
      <c r="AB655" s="6">
        <v>65.697616577148438</v>
      </c>
      <c r="AC655" s="6">
        <v>0.56302871054618009</v>
      </c>
      <c r="AD655" s="6">
        <v>106.18718005675501</v>
      </c>
      <c r="AE655" s="6">
        <v>75040</v>
      </c>
      <c r="AF655" s="6">
        <v>103771</v>
      </c>
    </row>
    <row r="656" spans="1:32" s="4" customFormat="1" ht="12.75" x14ac:dyDescent="0.2">
      <c r="A656" s="7" t="s">
        <v>2131</v>
      </c>
      <c r="B656" s="7" t="s">
        <v>2132</v>
      </c>
      <c r="C656" s="7" t="s">
        <v>2133</v>
      </c>
      <c r="D656" s="6">
        <v>0.21652400493621801</v>
      </c>
      <c r="E656" s="6">
        <v>-0.92705810070037808</v>
      </c>
      <c r="F656" s="6">
        <v>7.0520520210266002E-2</v>
      </c>
      <c r="G656" s="6">
        <v>0.35133206844329801</v>
      </c>
      <c r="H656" s="6">
        <v>1.071300268173218</v>
      </c>
      <c r="I656" s="6">
        <v>2.2131211757659912</v>
      </c>
      <c r="J656" s="6">
        <v>1.0527570247650151</v>
      </c>
      <c r="K656" s="6">
        <v>-1.406927347183228</v>
      </c>
      <c r="L656" s="6">
        <v>1.354709386825562</v>
      </c>
      <c r="M656" s="6">
        <v>-0.49130281805992104</v>
      </c>
      <c r="N656" s="6">
        <v>1.9436796099823401</v>
      </c>
      <c r="O656" s="6"/>
      <c r="P656" s="6">
        <v>0.75767167622467801</v>
      </c>
      <c r="Q656" s="6"/>
      <c r="R656" s="6">
        <v>5.1261142889311158</v>
      </c>
      <c r="S656" s="6"/>
      <c r="T656" s="6">
        <v>15.964862823486328</v>
      </c>
      <c r="U656" s="6" t="str">
        <f>_xll.BDP($A656,"TRAILING_12M_R&amp;D_%_SALES",$A$1,$A$2)</f>
        <v>#N/A N/A</v>
      </c>
      <c r="V656" s="6">
        <v>40</v>
      </c>
      <c r="W656" s="6">
        <v>401010</v>
      </c>
      <c r="X656" s="6">
        <v>40101010</v>
      </c>
      <c r="Y656" s="7" t="s">
        <v>43</v>
      </c>
      <c r="Z656" s="7" t="s">
        <v>67</v>
      </c>
      <c r="AA656" s="7" t="s">
        <v>68</v>
      </c>
      <c r="AB656" s="6">
        <v>65.697616577148438</v>
      </c>
      <c r="AC656" s="6">
        <v>1.1241179586332781</v>
      </c>
      <c r="AD656" s="6">
        <v>103.3064476062858</v>
      </c>
      <c r="AE656" s="6">
        <v>75040</v>
      </c>
      <c r="AF656" s="6">
        <v>103771</v>
      </c>
    </row>
    <row r="657" spans="1:32" s="4" customFormat="1" ht="12.75" x14ac:dyDescent="0.2">
      <c r="A657" s="7" t="s">
        <v>2134</v>
      </c>
      <c r="B657" s="7" t="s">
        <v>2135</v>
      </c>
      <c r="C657" s="7" t="s">
        <v>2136</v>
      </c>
      <c r="D657" s="6">
        <v>1.312480092048645</v>
      </c>
      <c r="E657" s="6">
        <v>-0.35089191794395402</v>
      </c>
      <c r="F657" s="6">
        <v>0.15064139664173101</v>
      </c>
      <c r="G657" s="6">
        <v>-0.67872244119644209</v>
      </c>
      <c r="H657" s="6">
        <v>-0.20028112828731501</v>
      </c>
      <c r="I657" s="6">
        <v>-0.62995052337646507</v>
      </c>
      <c r="J657" s="6">
        <v>4.3373484164476006E-2</v>
      </c>
      <c r="K657" s="6">
        <v>0.17479954659938801</v>
      </c>
      <c r="L657" s="6">
        <v>-5.5072933435440001E-2</v>
      </c>
      <c r="M657" s="6">
        <v>3.3827744424343005E-2</v>
      </c>
      <c r="N657" s="6">
        <v>1.3653601101034061</v>
      </c>
      <c r="O657" s="6">
        <v>1.2231828808993961</v>
      </c>
      <c r="P657" s="6">
        <v>5.7635421223888841</v>
      </c>
      <c r="Q657" s="6">
        <v>4.7618916570614047</v>
      </c>
      <c r="R657" s="6">
        <v>22.850259182933733</v>
      </c>
      <c r="S657" s="6">
        <v>18.864143828510645</v>
      </c>
      <c r="T657" s="6">
        <v>27.255247116088867</v>
      </c>
      <c r="U657" s="6" t="str">
        <f>_xll.BDP($A657,"TRAILING_12M_R&amp;D_%_SALES",$A$1,$A$2)</f>
        <v>#N/A N/A</v>
      </c>
      <c r="V657" s="6">
        <v>35</v>
      </c>
      <c r="W657" s="6">
        <v>351020</v>
      </c>
      <c r="X657" s="6">
        <v>35102030</v>
      </c>
      <c r="Y657" s="7" t="s">
        <v>72</v>
      </c>
      <c r="Z657" s="7" t="s">
        <v>467</v>
      </c>
      <c r="AA657" s="7" t="s">
        <v>592</v>
      </c>
      <c r="AB657" s="6">
        <v>56.312240600585938</v>
      </c>
      <c r="AC657" s="6">
        <v>0.521221816060638</v>
      </c>
      <c r="AD657" s="6">
        <v>0.85177624770647109</v>
      </c>
      <c r="AE657" s="6">
        <v>400000</v>
      </c>
      <c r="AF657" s="6">
        <v>260000</v>
      </c>
    </row>
    <row r="658" spans="1:32" s="4" customFormat="1" ht="12.75" x14ac:dyDescent="0.2">
      <c r="A658" s="7" t="s">
        <v>2137</v>
      </c>
      <c r="B658" s="7" t="s">
        <v>2138</v>
      </c>
      <c r="C658" s="7" t="s">
        <v>2139</v>
      </c>
      <c r="D658" s="6">
        <v>-0.140077143907547</v>
      </c>
      <c r="E658" s="6">
        <v>0.15747080743312802</v>
      </c>
      <c r="F658" s="6">
        <v>0.38663375377655002</v>
      </c>
      <c r="G658" s="6">
        <v>-0.43539986014366105</v>
      </c>
      <c r="H658" s="6">
        <v>0.96316456794738803</v>
      </c>
      <c r="I658" s="6">
        <v>-0.53711378574371305</v>
      </c>
      <c r="J658" s="6">
        <v>-2.3228868842125001E-2</v>
      </c>
      <c r="K658" s="6">
        <v>-0.91067790985107411</v>
      </c>
      <c r="L658" s="6">
        <v>0.44281253218650801</v>
      </c>
      <c r="M658" s="6">
        <v>-0.95779973268508911</v>
      </c>
      <c r="N658" s="6">
        <v>6.208632385248003</v>
      </c>
      <c r="O658" s="6">
        <v>5.9878557381796806</v>
      </c>
      <c r="P658" s="6">
        <v>10.69129450927961</v>
      </c>
      <c r="Q658" s="6">
        <v>9.7614670442623854</v>
      </c>
      <c r="R658" s="6">
        <v>23.63480848750315</v>
      </c>
      <c r="S658" s="6">
        <v>21.656937586610518</v>
      </c>
      <c r="T658" s="6">
        <v>49.442653656005859</v>
      </c>
      <c r="U658" s="6">
        <f>_xll.BDP($A658,"TRAILING_12M_R&amp;D_%_SALES",$A$1,$A$2)</f>
        <v>0</v>
      </c>
      <c r="V658" s="6">
        <v>20</v>
      </c>
      <c r="W658" s="6">
        <v>203040</v>
      </c>
      <c r="X658" s="6">
        <v>20304010</v>
      </c>
      <c r="Y658" s="7" t="s">
        <v>38</v>
      </c>
      <c r="Z658" s="7" t="s">
        <v>561</v>
      </c>
      <c r="AA658" s="7" t="s">
        <v>562</v>
      </c>
      <c r="AB658" s="6">
        <v>72.839752197265625</v>
      </c>
      <c r="AC658" s="6">
        <v>0.91262004948785302</v>
      </c>
      <c r="AD658" s="6">
        <v>20.273141964199183</v>
      </c>
      <c r="AE658" s="6">
        <v>30717</v>
      </c>
      <c r="AF658" s="6"/>
    </row>
    <row r="659" spans="1:32" s="4" customFormat="1" ht="12.75" x14ac:dyDescent="0.2">
      <c r="A659" s="7" t="s">
        <v>2140</v>
      </c>
      <c r="B659" s="7" t="s">
        <v>2141</v>
      </c>
      <c r="C659" s="7" t="s">
        <v>2142</v>
      </c>
      <c r="D659" s="6">
        <v>0.20405764877796201</v>
      </c>
      <c r="E659" s="6">
        <v>0.13233228027820601</v>
      </c>
      <c r="F659" s="6">
        <v>0.256647318601608</v>
      </c>
      <c r="G659" s="6">
        <v>-0.48068022727966303</v>
      </c>
      <c r="H659" s="6">
        <v>0.24097092449665103</v>
      </c>
      <c r="I659" s="6">
        <v>-1.031139135360718</v>
      </c>
      <c r="J659" s="6">
        <v>0.28726735711097701</v>
      </c>
      <c r="K659" s="6">
        <v>5.0418723374605005E-2</v>
      </c>
      <c r="L659" s="6">
        <v>1.188499450683594</v>
      </c>
      <c r="M659" s="6">
        <v>2.5168823078275001E-2</v>
      </c>
      <c r="N659" s="6">
        <v>1.4558916599497631</v>
      </c>
      <c r="O659" s="6">
        <v>1.398035153888036</v>
      </c>
      <c r="P659" s="6">
        <v>6.9870882560877394</v>
      </c>
      <c r="Q659" s="6">
        <v>6.103482993443075</v>
      </c>
      <c r="R659" s="6">
        <v>15.84119240073381</v>
      </c>
      <c r="S659" s="6">
        <v>16.543681846127974</v>
      </c>
      <c r="T659" s="6">
        <v>47.354438781738281</v>
      </c>
      <c r="U659" s="6">
        <f>_xll.BDP($A659,"TRAILING_12M_R&amp;D_%_SALES",$A$1,$A$2)</f>
        <v>0</v>
      </c>
      <c r="V659" s="6">
        <v>20</v>
      </c>
      <c r="W659" s="6">
        <v>203010</v>
      </c>
      <c r="X659" s="6">
        <v>20301010</v>
      </c>
      <c r="Y659" s="7" t="s">
        <v>38</v>
      </c>
      <c r="Z659" s="7" t="s">
        <v>748</v>
      </c>
      <c r="AA659" s="7" t="s">
        <v>748</v>
      </c>
      <c r="AB659" s="6">
        <v>61.030078887939453</v>
      </c>
      <c r="AC659" s="6">
        <v>1.064984195707138</v>
      </c>
      <c r="AD659" s="6">
        <v>-6.9645079695564664</v>
      </c>
      <c r="AE659" s="6">
        <v>536000</v>
      </c>
      <c r="AF659" s="6">
        <v>454000</v>
      </c>
    </row>
    <row r="660" spans="1:32" s="4" customFormat="1" ht="12.75" x14ac:dyDescent="0.2">
      <c r="A660" s="7" t="s">
        <v>2143</v>
      </c>
      <c r="B660" s="7" t="s">
        <v>2144</v>
      </c>
      <c r="C660" s="7" t="s">
        <v>2145</v>
      </c>
      <c r="D660" s="6">
        <v>0.27766239643096902</v>
      </c>
      <c r="E660" s="6">
        <v>-0.97410047054290805</v>
      </c>
      <c r="F660" s="6">
        <v>0.56509470939636208</v>
      </c>
      <c r="G660" s="6">
        <v>0.102692969143391</v>
      </c>
      <c r="H660" s="6">
        <v>0.35853764414787304</v>
      </c>
      <c r="I660" s="6">
        <v>-1.1070690155029299</v>
      </c>
      <c r="J660" s="6">
        <v>1.778914332389832</v>
      </c>
      <c r="K660" s="6">
        <v>-1.046037077903748</v>
      </c>
      <c r="L660" s="6">
        <v>2.0638034343719478</v>
      </c>
      <c r="M660" s="6">
        <v>-1.0426429510116579</v>
      </c>
      <c r="N660" s="6">
        <v>1.730830536008874</v>
      </c>
      <c r="O660" s="6">
        <v>2.4091141452937199</v>
      </c>
      <c r="P660" s="6">
        <v>1.462151078655499</v>
      </c>
      <c r="Q660" s="6">
        <v>1.3127921301842309</v>
      </c>
      <c r="R660" s="6">
        <v>11.305801584629197</v>
      </c>
      <c r="S660" s="6">
        <v>10.609923758887218</v>
      </c>
      <c r="T660" s="6">
        <v>11.869613647460938</v>
      </c>
      <c r="U660" s="6" t="str">
        <f>_xll.BDP($A660,"TRAILING_12M_R&amp;D_%_SALES",$A$1,$A$2)</f>
        <v>#N/A N/A</v>
      </c>
      <c r="V660" s="6">
        <v>40</v>
      </c>
      <c r="W660" s="6">
        <v>401010</v>
      </c>
      <c r="X660" s="6">
        <v>40101010</v>
      </c>
      <c r="Y660" s="7" t="s">
        <v>43</v>
      </c>
      <c r="Z660" s="7" t="s">
        <v>67</v>
      </c>
      <c r="AA660" s="7" t="s">
        <v>68</v>
      </c>
      <c r="AB660" s="6">
        <v>48.928680419921875</v>
      </c>
      <c r="AC660" s="6">
        <v>1.462944783034013</v>
      </c>
      <c r="AD660" s="6">
        <v>4.8289386321188621</v>
      </c>
      <c r="AE660" s="6">
        <v>76646</v>
      </c>
      <c r="AF660" s="6">
        <v>72402</v>
      </c>
    </row>
    <row r="661" spans="1:32" s="4" customFormat="1" ht="12.75" x14ac:dyDescent="0.2">
      <c r="A661" s="7" t="s">
        <v>2146</v>
      </c>
      <c r="B661" s="7" t="s">
        <v>2147</v>
      </c>
      <c r="C661" s="7" t="s">
        <v>2148</v>
      </c>
      <c r="D661" s="6">
        <v>0</v>
      </c>
      <c r="E661" s="6">
        <v>0</v>
      </c>
      <c r="F661" s="6">
        <v>0</v>
      </c>
      <c r="G661" s="6">
        <v>0</v>
      </c>
      <c r="H661" s="6">
        <v>0</v>
      </c>
      <c r="I661" s="6">
        <v>0</v>
      </c>
      <c r="J661" s="6">
        <v>0</v>
      </c>
      <c r="K661" s="6">
        <v>0</v>
      </c>
      <c r="L661" s="6">
        <v>0</v>
      </c>
      <c r="M661" s="6">
        <v>0</v>
      </c>
      <c r="N661" s="6"/>
      <c r="O661" s="6"/>
      <c r="P661" s="6"/>
      <c r="Q661" s="6"/>
      <c r="R661" s="6"/>
      <c r="S661" s="6"/>
      <c r="T661" s="6"/>
      <c r="U661" s="6" t="str">
        <f>_xll.BDP($A661,"TRAILING_12M_R&amp;D_%_SALES",$A$1,$A$2)</f>
        <v>#N/A Field Not Applicable</v>
      </c>
      <c r="V661" s="6"/>
      <c r="W661" s="6"/>
      <c r="X661" s="6"/>
      <c r="Y661" s="7" t="s">
        <v>918</v>
      </c>
      <c r="Z661" s="7" t="s">
        <v>918</v>
      </c>
      <c r="AA661" s="7" t="s">
        <v>918</v>
      </c>
      <c r="AB661" s="6"/>
      <c r="AC661" s="6">
        <v>-2.7376830230478708</v>
      </c>
      <c r="AD661" s="6">
        <v>-87.750363725009166</v>
      </c>
      <c r="AE661" s="6"/>
      <c r="AF661" s="6"/>
    </row>
    <row r="662" spans="1:32" s="4" customFormat="1" ht="12.75" x14ac:dyDescent="0.2">
      <c r="A662" s="7" t="s">
        <v>2149</v>
      </c>
      <c r="B662" s="7" t="s">
        <v>2150</v>
      </c>
      <c r="C662" s="7" t="s">
        <v>2151</v>
      </c>
      <c r="D662" s="6">
        <v>0.46070012450218206</v>
      </c>
      <c r="E662" s="6">
        <v>1.538171529769897</v>
      </c>
      <c r="F662" s="6">
        <v>-0.161414384841919</v>
      </c>
      <c r="G662" s="6">
        <v>-0.56087523698806807</v>
      </c>
      <c r="H662" s="6">
        <v>-0.39036652445793202</v>
      </c>
      <c r="I662" s="6">
        <v>7.0616148412228005E-2</v>
      </c>
      <c r="J662" s="6">
        <v>-0.37511065602302601</v>
      </c>
      <c r="K662" s="6">
        <v>-0.29715913534164401</v>
      </c>
      <c r="L662" s="6">
        <v>-0.369845271110535</v>
      </c>
      <c r="M662" s="6">
        <v>-0.41526320576667802</v>
      </c>
      <c r="N662" s="6">
        <v>12.893743175651771</v>
      </c>
      <c r="O662" s="6">
        <v>14.56646072828744</v>
      </c>
      <c r="P662" s="6">
        <v>12.998168712513767</v>
      </c>
      <c r="Q662" s="6">
        <v>12.584049939106459</v>
      </c>
      <c r="R662" s="6">
        <v>29.915162443994703</v>
      </c>
      <c r="S662" s="6">
        <v>25.452111947523125</v>
      </c>
      <c r="T662" s="6">
        <v>49.146419525146484</v>
      </c>
      <c r="U662" s="6" t="str">
        <f>_xll.BDP($A662,"TRAILING_12M_R&amp;D_%_SALES",$A$1,$A$2)</f>
        <v>#N/A N/A</v>
      </c>
      <c r="V662" s="6">
        <v>40</v>
      </c>
      <c r="W662" s="6">
        <v>402010</v>
      </c>
      <c r="X662" s="6">
        <v>40201060</v>
      </c>
      <c r="Y662" s="7" t="s">
        <v>43</v>
      </c>
      <c r="Z662" s="7" t="s">
        <v>255</v>
      </c>
      <c r="AA662" s="7" t="s">
        <v>445</v>
      </c>
      <c r="AB662" s="6">
        <v>51.554168701171875</v>
      </c>
      <c r="AC662" s="6">
        <v>0.8443311482012501</v>
      </c>
      <c r="AD662" s="6">
        <v>26.12563052473762</v>
      </c>
      <c r="AE662" s="6">
        <v>28800</v>
      </c>
      <c r="AF662" s="6">
        <v>17000</v>
      </c>
    </row>
    <row r="663" spans="1:32" s="4" customFormat="1" ht="12.75" x14ac:dyDescent="0.2">
      <c r="A663" s="7" t="s">
        <v>2152</v>
      </c>
      <c r="B663" s="7" t="s">
        <v>2153</v>
      </c>
      <c r="C663" s="7" t="s">
        <v>2154</v>
      </c>
      <c r="D663" s="6">
        <v>-0.199711069464684</v>
      </c>
      <c r="E663" s="6">
        <v>-3.9050880819559E-2</v>
      </c>
      <c r="F663" s="6">
        <v>0.37300446629524203</v>
      </c>
      <c r="G663" s="6">
        <v>-0.15045875310897802</v>
      </c>
      <c r="H663" s="6">
        <v>-0.41839903593063404</v>
      </c>
      <c r="I663" s="6">
        <v>-0.50978702306747403</v>
      </c>
      <c r="J663" s="6">
        <v>1.8716368675231929</v>
      </c>
      <c r="K663" s="6">
        <v>-0.67993366718292203</v>
      </c>
      <c r="L663" s="6">
        <v>0.53521877527236905</v>
      </c>
      <c r="M663" s="6">
        <v>0.46984955668449402</v>
      </c>
      <c r="N663" s="6">
        <v>1.65650745804292</v>
      </c>
      <c r="O663" s="6">
        <v>1.652668985801558</v>
      </c>
      <c r="P663" s="6">
        <v>1.746736184482125</v>
      </c>
      <c r="Q663" s="6">
        <v>1.493016047125225</v>
      </c>
      <c r="R663" s="6">
        <v>7.2078123631180357</v>
      </c>
      <c r="S663" s="6">
        <v>6.2720057401547828</v>
      </c>
      <c r="T663" s="6">
        <v>25.705011367797852</v>
      </c>
      <c r="U663" s="6">
        <f>_xll.BDP($A663,"TRAILING_12M_R&amp;D_%_SALES",$A$1,$A$2)</f>
        <v>2.0907259532535618</v>
      </c>
      <c r="V663" s="6">
        <v>15</v>
      </c>
      <c r="W663" s="6">
        <v>151040</v>
      </c>
      <c r="X663" s="6">
        <v>15104050</v>
      </c>
      <c r="Y663" s="7" t="s">
        <v>61</v>
      </c>
      <c r="Z663" s="7" t="s">
        <v>62</v>
      </c>
      <c r="AA663" s="7" t="s">
        <v>217</v>
      </c>
      <c r="AB663" s="6">
        <v>67.940849304199219</v>
      </c>
      <c r="AC663" s="6">
        <v>0.99282305791133207</v>
      </c>
      <c r="AD663" s="6">
        <v>2.0802114376457399</v>
      </c>
      <c r="AE663" s="6">
        <v>64516</v>
      </c>
      <c r="AF663" s="6">
        <v>65539</v>
      </c>
    </row>
    <row r="664" spans="1:32" s="4" customFormat="1" ht="12.75" x14ac:dyDescent="0.2">
      <c r="A664" s="7" t="s">
        <v>2155</v>
      </c>
      <c r="B664" s="7" t="s">
        <v>2156</v>
      </c>
      <c r="C664" s="7" t="s">
        <v>2157</v>
      </c>
      <c r="D664" s="6">
        <v>-0.56379729509353604</v>
      </c>
      <c r="E664" s="6">
        <v>-0.93870103359222412</v>
      </c>
      <c r="F664" s="6">
        <v>0.56745135784149203</v>
      </c>
      <c r="G664" s="6">
        <v>-0.86470282077789307</v>
      </c>
      <c r="H664" s="6">
        <v>1.061023354530334</v>
      </c>
      <c r="I664" s="6">
        <v>0.53034585714340199</v>
      </c>
      <c r="J664" s="6">
        <v>1.0281844139099121</v>
      </c>
      <c r="K664" s="6">
        <v>-0.22403965890407601</v>
      </c>
      <c r="L664" s="6">
        <v>1.210245609283447</v>
      </c>
      <c r="M664" s="6">
        <v>-0.6288316249847411</v>
      </c>
      <c r="N664" s="6">
        <v>0.43294754821701903</v>
      </c>
      <c r="O664" s="6">
        <v>0.44603718388573704</v>
      </c>
      <c r="P664" s="6">
        <v>1.7610207092153871</v>
      </c>
      <c r="Q664" s="6">
        <v>1.7294201345268991</v>
      </c>
      <c r="R664" s="6">
        <v>18.101657423999693</v>
      </c>
      <c r="S664" s="6">
        <v>13.244235430831738</v>
      </c>
      <c r="T664" s="6">
        <v>8.4102897644042969</v>
      </c>
      <c r="U664" s="6" t="str">
        <f>_xll.BDP($A664,"TRAILING_12M_R&amp;D_%_SALES",$A$1,$A$2)</f>
        <v>#N/A N/A</v>
      </c>
      <c r="V664" s="6">
        <v>55</v>
      </c>
      <c r="W664" s="6">
        <v>551030</v>
      </c>
      <c r="X664" s="6">
        <v>55103010</v>
      </c>
      <c r="Y664" s="7" t="s">
        <v>154</v>
      </c>
      <c r="Z664" s="7" t="s">
        <v>703</v>
      </c>
      <c r="AA664" s="7" t="s">
        <v>703</v>
      </c>
      <c r="AB664" s="6">
        <v>62.277435302734375</v>
      </c>
      <c r="AC664" s="6">
        <v>0.65966986072895406</v>
      </c>
      <c r="AD664" s="6">
        <v>28.831850036878492</v>
      </c>
      <c r="AE664" s="6">
        <v>207393</v>
      </c>
      <c r="AF664" s="6">
        <v>164385</v>
      </c>
    </row>
    <row r="665" spans="1:32" s="4" customFormat="1" ht="12.75" x14ac:dyDescent="0.2">
      <c r="A665" s="7" t="s">
        <v>2158</v>
      </c>
      <c r="B665" s="7" t="s">
        <v>2159</v>
      </c>
      <c r="C665" s="7" t="s">
        <v>2160</v>
      </c>
      <c r="D665" s="6">
        <v>-0.56379729509353604</v>
      </c>
      <c r="E665" s="6">
        <v>-0.93870103359222412</v>
      </c>
      <c r="F665" s="6">
        <v>0.56745135784149203</v>
      </c>
      <c r="G665" s="6">
        <v>-0.86470282077789307</v>
      </c>
      <c r="H665" s="6">
        <v>1.061023354530334</v>
      </c>
      <c r="I665" s="6">
        <v>0.53034585714340199</v>
      </c>
      <c r="J665" s="6">
        <v>1.0281844139099121</v>
      </c>
      <c r="K665" s="6">
        <v>-0.22403965890407601</v>
      </c>
      <c r="L665" s="6">
        <v>1.210245609283447</v>
      </c>
      <c r="M665" s="6">
        <v>-0.6288316249847411</v>
      </c>
      <c r="N665" s="6">
        <v>0.43294754821701903</v>
      </c>
      <c r="O665" s="6"/>
      <c r="P665" s="6">
        <v>1.7610207092153871</v>
      </c>
      <c r="Q665" s="6"/>
      <c r="R665" s="6">
        <v>18.101657423999693</v>
      </c>
      <c r="S665" s="6"/>
      <c r="T665" s="6">
        <v>8.4102897644042969</v>
      </c>
      <c r="U665" s="6" t="str">
        <f>_xll.BDP($A665,"TRAILING_12M_R&amp;D_%_SALES",$A$1,$A$2)</f>
        <v>#N/A N/A</v>
      </c>
      <c r="V665" s="6">
        <v>55</v>
      </c>
      <c r="W665" s="6">
        <v>551030</v>
      </c>
      <c r="X665" s="6">
        <v>55103010</v>
      </c>
      <c r="Y665" s="7" t="s">
        <v>154</v>
      </c>
      <c r="Z665" s="7" t="s">
        <v>703</v>
      </c>
      <c r="AA665" s="7" t="s">
        <v>703</v>
      </c>
      <c r="AB665" s="6">
        <v>62.277435302734375</v>
      </c>
      <c r="AC665" s="6">
        <v>0.93109794625656506</v>
      </c>
      <c r="AD665" s="6">
        <v>26.459194725044565</v>
      </c>
      <c r="AE665" s="6">
        <v>207393</v>
      </c>
      <c r="AF665" s="6">
        <v>164385</v>
      </c>
    </row>
    <row r="666" spans="1:32" s="4" customFormat="1" ht="12.75" x14ac:dyDescent="0.2">
      <c r="A666" s="7" t="s">
        <v>2161</v>
      </c>
      <c r="B666" s="7" t="s">
        <v>2162</v>
      </c>
      <c r="C666" s="7" t="s">
        <v>2163</v>
      </c>
      <c r="D666" s="6">
        <v>0</v>
      </c>
      <c r="E666" s="6">
        <v>0</v>
      </c>
      <c r="F666" s="6">
        <v>0</v>
      </c>
      <c r="G666" s="6">
        <v>0</v>
      </c>
      <c r="H666" s="6">
        <v>0</v>
      </c>
      <c r="I666" s="6">
        <v>0</v>
      </c>
      <c r="J666" s="6">
        <v>0</v>
      </c>
      <c r="K666" s="6">
        <v>0</v>
      </c>
      <c r="L666" s="6">
        <v>0</v>
      </c>
      <c r="M666" s="6">
        <v>0</v>
      </c>
      <c r="N666" s="6"/>
      <c r="O666" s="6"/>
      <c r="P666" s="6"/>
      <c r="Q666" s="6"/>
      <c r="R666" s="6"/>
      <c r="S666" s="6"/>
      <c r="T666" s="6"/>
      <c r="U666" s="6" t="str">
        <f>_xll.BDP($A666,"TRAILING_12M_R&amp;D_%_SALES",$A$1,$A$2)</f>
        <v>#N/A Field Not Applicable</v>
      </c>
      <c r="V666" s="6"/>
      <c r="W666" s="6"/>
      <c r="X666" s="6"/>
      <c r="Y666" s="7" t="s">
        <v>918</v>
      </c>
      <c r="Z666" s="7" t="s">
        <v>918</v>
      </c>
      <c r="AA666" s="7" t="s">
        <v>918</v>
      </c>
      <c r="AB666" s="6"/>
      <c r="AC666" s="6">
        <v>-0.68216591517938907</v>
      </c>
      <c r="AD666" s="6">
        <v>-44.955636437667003</v>
      </c>
      <c r="AE666" s="6"/>
      <c r="AF666" s="6"/>
    </row>
    <row r="667" spans="1:32" s="4" customFormat="1" ht="12.75" x14ac:dyDescent="0.2">
      <c r="A667" s="7" t="s">
        <v>2164</v>
      </c>
      <c r="B667" s="7" t="s">
        <v>2165</v>
      </c>
      <c r="C667" s="7" t="s">
        <v>2166</v>
      </c>
      <c r="D667" s="6">
        <v>0</v>
      </c>
      <c r="E667" s="6">
        <v>0</v>
      </c>
      <c r="F667" s="6">
        <v>0</v>
      </c>
      <c r="G667" s="6">
        <v>0</v>
      </c>
      <c r="H667" s="6">
        <v>0</v>
      </c>
      <c r="I667" s="6">
        <v>0</v>
      </c>
      <c r="J667" s="6">
        <v>0</v>
      </c>
      <c r="K667" s="6">
        <v>0</v>
      </c>
      <c r="L667" s="6">
        <v>0</v>
      </c>
      <c r="M667" s="6">
        <v>0</v>
      </c>
      <c r="N667" s="6"/>
      <c r="O667" s="6"/>
      <c r="P667" s="6"/>
      <c r="Q667" s="6"/>
      <c r="R667" s="6"/>
      <c r="S667" s="6"/>
      <c r="T667" s="6"/>
      <c r="U667" s="6" t="str">
        <f>_xll.BDP($A667,"TRAILING_12M_R&amp;D_%_SALES",$A$1,$A$2)</f>
        <v>#N/A Field Not Applicable</v>
      </c>
      <c r="V667" s="6"/>
      <c r="W667" s="6"/>
      <c r="X667" s="6"/>
      <c r="Y667" s="7" t="s">
        <v>918</v>
      </c>
      <c r="Z667" s="7" t="s">
        <v>918</v>
      </c>
      <c r="AA667" s="7" t="s">
        <v>918</v>
      </c>
      <c r="AB667" s="6"/>
      <c r="AC667" s="6">
        <v>-1.741499782435977</v>
      </c>
      <c r="AD667" s="6">
        <v>-72.860892712560059</v>
      </c>
      <c r="AE667" s="6"/>
      <c r="AF667" s="6"/>
    </row>
    <row r="668" spans="1:32" s="4" customFormat="1" ht="12.75" x14ac:dyDescent="0.2">
      <c r="A668" s="7" t="s">
        <v>2167</v>
      </c>
      <c r="B668" s="7" t="s">
        <v>2168</v>
      </c>
      <c r="C668" s="7" t="s">
        <v>2169</v>
      </c>
      <c r="D668" s="6">
        <v>-8.4713838994503007E-2</v>
      </c>
      <c r="E668" s="6">
        <v>0.24891558289527901</v>
      </c>
      <c r="F668" s="6">
        <v>7.8387089073658003E-2</v>
      </c>
      <c r="G668" s="6">
        <v>0.85964083671569802</v>
      </c>
      <c r="H668" s="6">
        <v>-0.34080466628074602</v>
      </c>
      <c r="I668" s="6">
        <v>0.49297180771827703</v>
      </c>
      <c r="J668" s="6">
        <v>2.3539137840271001</v>
      </c>
      <c r="K668" s="6">
        <v>0.46981278061866805</v>
      </c>
      <c r="L668" s="6">
        <v>0.71489262580871604</v>
      </c>
      <c r="M668" s="6">
        <v>1.7691934108734131</v>
      </c>
      <c r="N668" s="6">
        <v>0.31322090388360002</v>
      </c>
      <c r="O668" s="6">
        <v>0.33033947458205404</v>
      </c>
      <c r="P668" s="6">
        <v>1.703908055907883</v>
      </c>
      <c r="Q668" s="6">
        <v>1.5506335449578672</v>
      </c>
      <c r="R668" s="6">
        <v>4.3881224399746319</v>
      </c>
      <c r="S668" s="6">
        <v>8.7588091761481834</v>
      </c>
      <c r="T668" s="6">
        <v>44.880657196044922</v>
      </c>
      <c r="U668" s="6">
        <f>_xll.BDP($A668,"TRAILING_12M_R&amp;D_%_SALES",$A$1,$A$2)</f>
        <v>0</v>
      </c>
      <c r="V668" s="6">
        <v>10</v>
      </c>
      <c r="W668" s="6">
        <v>101020</v>
      </c>
      <c r="X668" s="6">
        <v>10102030</v>
      </c>
      <c r="Y668" s="7" t="s">
        <v>387</v>
      </c>
      <c r="Z668" s="7" t="s">
        <v>516</v>
      </c>
      <c r="AA668" s="7" t="s">
        <v>1248</v>
      </c>
      <c r="AB668" s="6">
        <v>65.747909545898438</v>
      </c>
      <c r="AC668" s="6">
        <v>0.79579262437117804</v>
      </c>
      <c r="AD668" s="6">
        <v>6.3284529402793499</v>
      </c>
      <c r="AE668" s="6">
        <v>9743</v>
      </c>
      <c r="AF668" s="6">
        <v>10015</v>
      </c>
    </row>
    <row r="669" spans="1:32" s="4" customFormat="1" ht="12.75" x14ac:dyDescent="0.2">
      <c r="A669" s="7" t="s">
        <v>2170</v>
      </c>
      <c r="B669" s="7" t="s">
        <v>2171</v>
      </c>
      <c r="C669" s="7" t="s">
        <v>2172</v>
      </c>
      <c r="D669" s="6">
        <v>-0.36878255009651201</v>
      </c>
      <c r="E669" s="6">
        <v>-0.47059172391891502</v>
      </c>
      <c r="F669" s="6">
        <v>0.37795588374137901</v>
      </c>
      <c r="G669" s="6">
        <v>-0.93822878599166903</v>
      </c>
      <c r="H669" s="6">
        <v>0.33156284689903304</v>
      </c>
      <c r="I669" s="6">
        <v>0.74658095836639404</v>
      </c>
      <c r="J669" s="6">
        <v>0.66636949777603105</v>
      </c>
      <c r="K669" s="6">
        <v>-1.3707777261734011</v>
      </c>
      <c r="L669" s="6">
        <v>0.70171171426773105</v>
      </c>
      <c r="M669" s="6">
        <v>-0.61297148466110207</v>
      </c>
      <c r="N669" s="6">
        <v>0.98717521418795307</v>
      </c>
      <c r="O669" s="6"/>
      <c r="P669" s="6">
        <v>3.0589621863300329</v>
      </c>
      <c r="Q669" s="6"/>
      <c r="R669" s="6">
        <v>11.982601338622077</v>
      </c>
      <c r="S669" s="6"/>
      <c r="T669" s="6">
        <v>26.199554443359375</v>
      </c>
      <c r="U669" s="6">
        <f>_xll.BDP($A669,"TRAILING_12M_R&amp;D_%_SALES",$A$1,$A$2)</f>
        <v>5.8762229081010897</v>
      </c>
      <c r="V669" s="6">
        <v>20</v>
      </c>
      <c r="W669" s="6">
        <v>201060</v>
      </c>
      <c r="X669" s="6">
        <v>20106010</v>
      </c>
      <c r="Y669" s="7" t="s">
        <v>38</v>
      </c>
      <c r="Z669" s="7" t="s">
        <v>493</v>
      </c>
      <c r="AA669" s="7" t="s">
        <v>494</v>
      </c>
      <c r="AB669" s="6">
        <v>55.537670135498047</v>
      </c>
      <c r="AC669" s="6">
        <v>1.037870685692041</v>
      </c>
      <c r="AD669" s="6">
        <v>53.566033842064641</v>
      </c>
      <c r="AE669" s="6">
        <v>102155</v>
      </c>
      <c r="AF669" s="6">
        <v>99488</v>
      </c>
    </row>
    <row r="670" spans="1:32" s="4" customFormat="1" ht="12.75" x14ac:dyDescent="0.2">
      <c r="A670" s="7" t="s">
        <v>2173</v>
      </c>
      <c r="B670" s="7" t="s">
        <v>2174</v>
      </c>
      <c r="C670" s="7" t="s">
        <v>2175</v>
      </c>
      <c r="D670" s="6">
        <v>-0.92477041482925404</v>
      </c>
      <c r="E670" s="6">
        <v>-2.544133186340332</v>
      </c>
      <c r="F670" s="6">
        <v>1.0889735221862791</v>
      </c>
      <c r="G670" s="6">
        <v>-0.52354490756988503</v>
      </c>
      <c r="H670" s="6">
        <v>1.646314859390259</v>
      </c>
      <c r="I670" s="6">
        <v>-0.26790446043014504</v>
      </c>
      <c r="J670" s="6">
        <v>-0.44960927963256803</v>
      </c>
      <c r="K670" s="6">
        <v>-1.099173784255981</v>
      </c>
      <c r="L670" s="6">
        <v>1.017904996871948</v>
      </c>
      <c r="M670" s="6">
        <v>-0.51697540283203103</v>
      </c>
      <c r="N670" s="6">
        <v>3.5268645445335101</v>
      </c>
      <c r="O670" s="6">
        <v>4.8474799720275028</v>
      </c>
      <c r="P670" s="6">
        <v>0.8346934196737601</v>
      </c>
      <c r="Q670" s="6">
        <v>0.90985765693741605</v>
      </c>
      <c r="R670" s="6"/>
      <c r="S670" s="6">
        <v>14.308376459403432</v>
      </c>
      <c r="T670" s="6">
        <v>-19.790056228637695</v>
      </c>
      <c r="U670" s="6" t="str">
        <f>_xll.BDP($A670,"TRAILING_12M_R&amp;D_%_SALES",$A$1,$A$2)</f>
        <v>#N/A N/A</v>
      </c>
      <c r="V670" s="6">
        <v>60</v>
      </c>
      <c r="W670" s="6">
        <v>602010</v>
      </c>
      <c r="X670" s="6">
        <v>60201020</v>
      </c>
      <c r="Y670" s="7" t="s">
        <v>221</v>
      </c>
      <c r="Z670" s="7" t="s">
        <v>478</v>
      </c>
      <c r="AA670" s="7" t="s">
        <v>2176</v>
      </c>
      <c r="AB670" s="6">
        <v>63.253192901611328</v>
      </c>
      <c r="AC670" s="6">
        <v>0.85632833157395605</v>
      </c>
      <c r="AD670" s="6">
        <v>44.114459092876814</v>
      </c>
      <c r="AE670" s="6">
        <v>15915</v>
      </c>
      <c r="AF670" s="6">
        <v>8448</v>
      </c>
    </row>
    <row r="671" spans="1:32" s="4" customFormat="1" ht="12.75" x14ac:dyDescent="0.2">
      <c r="A671" s="7" t="s">
        <v>2177</v>
      </c>
      <c r="B671" s="7" t="s">
        <v>2178</v>
      </c>
      <c r="C671" s="7" t="s">
        <v>2179</v>
      </c>
      <c r="D671" s="6">
        <v>-0.27264094352722201</v>
      </c>
      <c r="E671" s="6">
        <v>-7.1447263471780004E-3</v>
      </c>
      <c r="F671" s="6">
        <v>0.98725801706314109</v>
      </c>
      <c r="G671" s="6">
        <v>-0.90232640504837003</v>
      </c>
      <c r="H671" s="6">
        <v>1.1560981273651121</v>
      </c>
      <c r="I671" s="6">
        <v>-1.133070230484009</v>
      </c>
      <c r="J671" s="6">
        <v>3.0000147819519039</v>
      </c>
      <c r="K671" s="6">
        <v>-0.90992772579193104</v>
      </c>
      <c r="L671" s="6">
        <v>3.0000102519989009</v>
      </c>
      <c r="M671" s="6">
        <v>-0.591036796569824</v>
      </c>
      <c r="N671" s="6">
        <v>0.48075763018825002</v>
      </c>
      <c r="O671" s="6">
        <v>0.49326283492433803</v>
      </c>
      <c r="P671" s="6">
        <v>0.35424693571104304</v>
      </c>
      <c r="Q671" s="6">
        <v>0.34020247552419502</v>
      </c>
      <c r="R671" s="6">
        <v>2.057577537117222</v>
      </c>
      <c r="S671" s="6">
        <v>8.8601332135569599</v>
      </c>
      <c r="T671" s="6">
        <v>18.199386596679688</v>
      </c>
      <c r="U671" s="6">
        <f>_xll.BDP($A671,"TRAILING_12M_R&amp;D_%_SALES",$A$1,$A$2)</f>
        <v>0</v>
      </c>
      <c r="V671" s="6">
        <v>50</v>
      </c>
      <c r="W671" s="6">
        <v>501020</v>
      </c>
      <c r="X671" s="6">
        <v>50102010</v>
      </c>
      <c r="Y671" s="7" t="s">
        <v>311</v>
      </c>
      <c r="Z671" s="7" t="s">
        <v>1264</v>
      </c>
      <c r="AA671" s="7" t="s">
        <v>1264</v>
      </c>
      <c r="AB671" s="6">
        <v>66.472183227539063</v>
      </c>
      <c r="AC671" s="6">
        <v>0.71825898033026903</v>
      </c>
      <c r="AD671" s="6">
        <v>-5.3065471849995323</v>
      </c>
      <c r="AE671" s="6">
        <v>98103</v>
      </c>
      <c r="AF671" s="6">
        <v>106135</v>
      </c>
    </row>
    <row r="672" spans="1:32" s="4" customFormat="1" ht="12.75" x14ac:dyDescent="0.2">
      <c r="A672" s="7" t="s">
        <v>2180</v>
      </c>
      <c r="B672" s="7" t="s">
        <v>2181</v>
      </c>
      <c r="C672" s="7" t="s">
        <v>2182</v>
      </c>
      <c r="D672" s="6">
        <v>-0.27264094352722201</v>
      </c>
      <c r="E672" s="6">
        <v>-7.1447263471780004E-3</v>
      </c>
      <c r="F672" s="6">
        <v>0.98725801706314109</v>
      </c>
      <c r="G672" s="6">
        <v>-0.90232640504837003</v>
      </c>
      <c r="H672" s="6">
        <v>1.1560981273651121</v>
      </c>
      <c r="I672" s="6">
        <v>-1.133070230484009</v>
      </c>
      <c r="J672" s="6">
        <v>3.0000147819519039</v>
      </c>
      <c r="K672" s="6">
        <v>-0.90992772579193104</v>
      </c>
      <c r="L672" s="6">
        <v>3.0000102519989009</v>
      </c>
      <c r="M672" s="6">
        <v>-0.591036796569824</v>
      </c>
      <c r="N672" s="6">
        <v>0.48075763018825002</v>
      </c>
      <c r="O672" s="6">
        <v>0.48192341251047205</v>
      </c>
      <c r="P672" s="6">
        <v>0.35424693571104304</v>
      </c>
      <c r="Q672" s="6">
        <v>0.332381755676872</v>
      </c>
      <c r="R672" s="6">
        <v>2.057577537117222</v>
      </c>
      <c r="S672" s="6">
        <v>8.656452324297458</v>
      </c>
      <c r="T672" s="6">
        <v>18.199386596679688</v>
      </c>
      <c r="U672" s="6">
        <f>_xll.BDP($A672,"TRAILING_12M_R&amp;D_%_SALES",$A$1,$A$2)</f>
        <v>0</v>
      </c>
      <c r="V672" s="6">
        <v>50</v>
      </c>
      <c r="W672" s="6">
        <v>501020</v>
      </c>
      <c r="X672" s="6">
        <v>50102010</v>
      </c>
      <c r="Y672" s="7" t="s">
        <v>311</v>
      </c>
      <c r="Z672" s="7" t="s">
        <v>1264</v>
      </c>
      <c r="AA672" s="7" t="s">
        <v>1264</v>
      </c>
      <c r="AB672" s="6">
        <v>66.472183227539063</v>
      </c>
      <c r="AC672" s="6">
        <v>0.34745679739469504</v>
      </c>
      <c r="AD672" s="6">
        <v>-6.4958497411833687</v>
      </c>
      <c r="AE672" s="6">
        <v>98103</v>
      </c>
      <c r="AF672" s="6">
        <v>106135</v>
      </c>
    </row>
    <row r="673" spans="1:32" s="4" customFormat="1" ht="12.75" x14ac:dyDescent="0.2">
      <c r="A673" s="7" t="s">
        <v>2183</v>
      </c>
      <c r="B673" s="7" t="s">
        <v>2184</v>
      </c>
      <c r="C673" s="7" t="s">
        <v>2185</v>
      </c>
      <c r="D673" s="6">
        <v>-0.36878255009651201</v>
      </c>
      <c r="E673" s="6">
        <v>-0.47059172391891502</v>
      </c>
      <c r="F673" s="6">
        <v>0.37795588374137901</v>
      </c>
      <c r="G673" s="6">
        <v>-0.93822878599166903</v>
      </c>
      <c r="H673" s="6">
        <v>0.33156284689903304</v>
      </c>
      <c r="I673" s="6">
        <v>0.74658095836639404</v>
      </c>
      <c r="J673" s="6">
        <v>0.66636949777603105</v>
      </c>
      <c r="K673" s="6">
        <v>-1.3707777261734011</v>
      </c>
      <c r="L673" s="6">
        <v>0.70171171426773105</v>
      </c>
      <c r="M673" s="6">
        <v>-0.61297148466110207</v>
      </c>
      <c r="N673" s="6">
        <v>0.98717521418795307</v>
      </c>
      <c r="O673" s="6">
        <v>1.071696335348213</v>
      </c>
      <c r="P673" s="6">
        <v>3.0589621863300329</v>
      </c>
      <c r="Q673" s="6">
        <v>2.7795291038834899</v>
      </c>
      <c r="R673" s="6">
        <v>11.982601338622077</v>
      </c>
      <c r="S673" s="6">
        <v>11.648966500992085</v>
      </c>
      <c r="T673" s="6">
        <v>26.199554443359375</v>
      </c>
      <c r="U673" s="6">
        <f>_xll.BDP($A673,"TRAILING_12M_R&amp;D_%_SALES",$A$1,$A$2)</f>
        <v>5.8762229081010897</v>
      </c>
      <c r="V673" s="6">
        <v>20</v>
      </c>
      <c r="W673" s="6">
        <v>201060</v>
      </c>
      <c r="X673" s="6">
        <v>20106010</v>
      </c>
      <c r="Y673" s="7" t="s">
        <v>38</v>
      </c>
      <c r="Z673" s="7" t="s">
        <v>493</v>
      </c>
      <c r="AA673" s="7" t="s">
        <v>494</v>
      </c>
      <c r="AB673" s="6">
        <v>55.537670135498047</v>
      </c>
      <c r="AC673" s="6">
        <v>0.35773913914590805</v>
      </c>
      <c r="AD673" s="6">
        <v>37.672882975625569</v>
      </c>
      <c r="AE673" s="6">
        <v>102155</v>
      </c>
      <c r="AF673" s="6">
        <v>99488</v>
      </c>
    </row>
    <row r="674" spans="1:32" s="4" customFormat="1" ht="12.75" x14ac:dyDescent="0.2">
      <c r="A674" s="7" t="s">
        <v>2186</v>
      </c>
      <c r="B674" s="7" t="s">
        <v>2187</v>
      </c>
      <c r="C674" s="7" t="s">
        <v>2188</v>
      </c>
      <c r="D674" s="6">
        <v>-0.36878255009651201</v>
      </c>
      <c r="E674" s="6">
        <v>-0.47059172391891502</v>
      </c>
      <c r="F674" s="6">
        <v>0.37795588374137901</v>
      </c>
      <c r="G674" s="6">
        <v>-0.93822878599166903</v>
      </c>
      <c r="H674" s="6">
        <v>0.33156284689903304</v>
      </c>
      <c r="I674" s="6">
        <v>0.74658095836639404</v>
      </c>
      <c r="J674" s="6">
        <v>0.66636949777603105</v>
      </c>
      <c r="K674" s="6">
        <v>-1.3707777261734011</v>
      </c>
      <c r="L674" s="6">
        <v>0.70171171426773105</v>
      </c>
      <c r="M674" s="6">
        <v>-0.61297148466110207</v>
      </c>
      <c r="N674" s="6">
        <v>0.98717521418795307</v>
      </c>
      <c r="O674" s="6">
        <v>1.071696335348213</v>
      </c>
      <c r="P674" s="6">
        <v>3.0589621863300329</v>
      </c>
      <c r="Q674" s="6">
        <v>2.7527550552178468</v>
      </c>
      <c r="R674" s="6">
        <v>11.982601338622077</v>
      </c>
      <c r="S674" s="6">
        <v>11.536756848081367</v>
      </c>
      <c r="T674" s="6">
        <v>26.199554443359375</v>
      </c>
      <c r="U674" s="6">
        <f>_xll.BDP($A674,"TRAILING_12M_R&amp;D_%_SALES",$A$1,$A$2)</f>
        <v>5.8762229081010897</v>
      </c>
      <c r="V674" s="6">
        <v>20</v>
      </c>
      <c r="W674" s="6">
        <v>201060</v>
      </c>
      <c r="X674" s="6">
        <v>20106010</v>
      </c>
      <c r="Y674" s="7" t="s">
        <v>38</v>
      </c>
      <c r="Z674" s="7" t="s">
        <v>493</v>
      </c>
      <c r="AA674" s="7" t="s">
        <v>494</v>
      </c>
      <c r="AB674" s="6">
        <v>55.537670135498047</v>
      </c>
      <c r="AC674" s="6">
        <v>0.71638344143661903</v>
      </c>
      <c r="AD674" s="6">
        <v>54.575327497897334</v>
      </c>
      <c r="AE674" s="6">
        <v>102155</v>
      </c>
      <c r="AF674" s="6">
        <v>99488</v>
      </c>
    </row>
    <row r="675" spans="1:32" s="4" customFormat="1" ht="12.75" x14ac:dyDescent="0.2">
      <c r="A675" s="7" t="s">
        <v>2189</v>
      </c>
      <c r="B675" s="7" t="s">
        <v>2190</v>
      </c>
      <c r="C675" s="7" t="s">
        <v>2191</v>
      </c>
      <c r="D675" s="6">
        <v>-0.92477041482925404</v>
      </c>
      <c r="E675" s="6">
        <v>-2.544133186340332</v>
      </c>
      <c r="F675" s="6">
        <v>1.0889735221862791</v>
      </c>
      <c r="G675" s="6">
        <v>-0.52354490756988503</v>
      </c>
      <c r="H675" s="6">
        <v>1.646314859390259</v>
      </c>
      <c r="I675" s="6">
        <v>-0.26790446043014504</v>
      </c>
      <c r="J675" s="6">
        <v>-0.44960927963256803</v>
      </c>
      <c r="K675" s="6">
        <v>-1.099173784255981</v>
      </c>
      <c r="L675" s="6">
        <v>1.017904996871948</v>
      </c>
      <c r="M675" s="6">
        <v>-0.51697540283203103</v>
      </c>
      <c r="N675" s="6">
        <v>3.5268645445335101</v>
      </c>
      <c r="O675" s="6"/>
      <c r="P675" s="6">
        <v>0.8346934196737601</v>
      </c>
      <c r="Q675" s="6"/>
      <c r="R675" s="6"/>
      <c r="S675" s="6"/>
      <c r="T675" s="6">
        <v>-19.790056228637695</v>
      </c>
      <c r="U675" s="6" t="str">
        <f>_xll.BDP($A675,"TRAILING_12M_R&amp;D_%_SALES",$A$1,$A$2)</f>
        <v>#N/A N/A</v>
      </c>
      <c r="V675" s="6">
        <v>60</v>
      </c>
      <c r="W675" s="6">
        <v>602010</v>
      </c>
      <c r="X675" s="6">
        <v>60201020</v>
      </c>
      <c r="Y675" s="7" t="s">
        <v>221</v>
      </c>
      <c r="Z675" s="7" t="s">
        <v>478</v>
      </c>
      <c r="AA675" s="7" t="s">
        <v>2176</v>
      </c>
      <c r="AB675" s="6">
        <v>63.253192901611328</v>
      </c>
      <c r="AC675" s="6">
        <v>1.3397365020534719</v>
      </c>
      <c r="AD675" s="6">
        <v>38.617545739856631</v>
      </c>
      <c r="AE675" s="6">
        <v>15915</v>
      </c>
      <c r="AF675" s="6">
        <v>8448</v>
      </c>
    </row>
    <row r="676" spans="1:32" s="4" customFormat="1" ht="12.75" x14ac:dyDescent="0.2">
      <c r="A676" s="7" t="s">
        <v>2192</v>
      </c>
      <c r="B676" s="7" t="s">
        <v>2193</v>
      </c>
      <c r="C676" s="7" t="s">
        <v>2194</v>
      </c>
      <c r="D676" s="6">
        <v>-0.78712010383606001</v>
      </c>
      <c r="E676" s="6">
        <v>0.15906625986099202</v>
      </c>
      <c r="F676" s="6">
        <v>-1.0398544073104861</v>
      </c>
      <c r="G676" s="6">
        <v>-0.35949760675430303</v>
      </c>
      <c r="H676" s="6">
        <v>-1.2319198846817021</v>
      </c>
      <c r="I676" s="6">
        <v>0.10362350940704301</v>
      </c>
      <c r="J676" s="6">
        <v>-0.27711558341980003</v>
      </c>
      <c r="K676" s="6">
        <v>0.644791960716248</v>
      </c>
      <c r="L676" s="6">
        <v>-0.72281217575073209</v>
      </c>
      <c r="M676" s="6">
        <v>0.70091712474823009</v>
      </c>
      <c r="N676" s="6">
        <v>10.853207149849112</v>
      </c>
      <c r="O676" s="6">
        <v>9.9335588429410979</v>
      </c>
      <c r="P676" s="6">
        <v>6.3531229741426447</v>
      </c>
      <c r="Q676" s="6">
        <v>5.0404462352375106</v>
      </c>
      <c r="R676" s="6">
        <v>27.161203938986347</v>
      </c>
      <c r="S676" s="6">
        <v>24.782409619491027</v>
      </c>
      <c r="T676" s="6">
        <v>23.489627838134766</v>
      </c>
      <c r="U676" s="6">
        <f>_xll.BDP($A676,"TRAILING_12M_R&amp;D_%_SALES",$A$1,$A$2)</f>
        <v>32.94253228192121</v>
      </c>
      <c r="V676" s="6">
        <v>35</v>
      </c>
      <c r="W676" s="6">
        <v>352010</v>
      </c>
      <c r="X676" s="6">
        <v>35201010</v>
      </c>
      <c r="Y676" s="7" t="s">
        <v>72</v>
      </c>
      <c r="Z676" s="7" t="s">
        <v>73</v>
      </c>
      <c r="AA676" s="7" t="s">
        <v>73</v>
      </c>
      <c r="AB676" s="6">
        <v>60.637763977050781</v>
      </c>
      <c r="AC676" s="6">
        <v>0.76482534311238703</v>
      </c>
      <c r="AD676" s="6">
        <v>40.753436262776745</v>
      </c>
      <c r="AE676" s="6">
        <v>4800</v>
      </c>
      <c r="AF676" s="6">
        <v>2300</v>
      </c>
    </row>
    <row r="677" spans="1:32" s="4" customFormat="1" ht="12.75" x14ac:dyDescent="0.2">
      <c r="A677" s="7" t="s">
        <v>2195</v>
      </c>
      <c r="B677" s="7" t="s">
        <v>2196</v>
      </c>
      <c r="C677" s="7" t="s">
        <v>2197</v>
      </c>
      <c r="D677" s="6">
        <v>0</v>
      </c>
      <c r="E677" s="6">
        <v>0</v>
      </c>
      <c r="F677" s="6">
        <v>0</v>
      </c>
      <c r="G677" s="6">
        <v>0</v>
      </c>
      <c r="H677" s="6">
        <v>0</v>
      </c>
      <c r="I677" s="6">
        <v>0</v>
      </c>
      <c r="J677" s="6">
        <v>0</v>
      </c>
      <c r="K677" s="6">
        <v>0</v>
      </c>
      <c r="L677" s="6">
        <v>0</v>
      </c>
      <c r="M677" s="6">
        <v>0</v>
      </c>
      <c r="N677" s="6"/>
      <c r="O677" s="6"/>
      <c r="P677" s="6"/>
      <c r="Q677" s="6"/>
      <c r="R677" s="6"/>
      <c r="S677" s="6"/>
      <c r="T677" s="6"/>
      <c r="U677" s="6" t="str">
        <f>_xll.BDP($A677,"TRAILING_12M_R&amp;D_%_SALES",$A$1,$A$2)</f>
        <v>#N/A Field Not Applicable</v>
      </c>
      <c r="V677" s="6"/>
      <c r="W677" s="6"/>
      <c r="X677" s="6"/>
      <c r="Y677" s="7" t="s">
        <v>918</v>
      </c>
      <c r="Z677" s="7" t="s">
        <v>918</v>
      </c>
      <c r="AA677" s="7" t="s">
        <v>918</v>
      </c>
      <c r="AB677" s="6"/>
      <c r="AC677" s="6">
        <v>-1.7399431853280922</v>
      </c>
      <c r="AD677" s="6">
        <v>-72.540692972284248</v>
      </c>
      <c r="AE677" s="6"/>
      <c r="AF677" s="6"/>
    </row>
    <row r="678" spans="1:32" s="4" customFormat="1" ht="12.75" x14ac:dyDescent="0.2">
      <c r="A678" s="7" t="s">
        <v>2198</v>
      </c>
      <c r="B678" s="7" t="s">
        <v>2199</v>
      </c>
      <c r="C678" s="7" t="s">
        <v>2200</v>
      </c>
      <c r="D678" s="6">
        <v>0</v>
      </c>
      <c r="E678" s="6">
        <v>0</v>
      </c>
      <c r="F678" s="6">
        <v>0</v>
      </c>
      <c r="G678" s="6">
        <v>0</v>
      </c>
      <c r="H678" s="6">
        <v>0</v>
      </c>
      <c r="I678" s="6">
        <v>0</v>
      </c>
      <c r="J678" s="6">
        <v>0</v>
      </c>
      <c r="K678" s="6">
        <v>0</v>
      </c>
      <c r="L678" s="6">
        <v>0</v>
      </c>
      <c r="M678" s="6">
        <v>0</v>
      </c>
      <c r="N678" s="6"/>
      <c r="O678" s="6"/>
      <c r="P678" s="6"/>
      <c r="Q678" s="6"/>
      <c r="R678" s="6"/>
      <c r="S678" s="6"/>
      <c r="T678" s="6"/>
      <c r="U678" s="6" t="str">
        <f>_xll.BDP($A678,"TRAILING_12M_R&amp;D_%_SALES",$A$1,$A$2)</f>
        <v>#N/A Field Not Applicable</v>
      </c>
      <c r="V678" s="6"/>
      <c r="W678" s="6"/>
      <c r="X678" s="6"/>
      <c r="Y678" s="7" t="s">
        <v>918</v>
      </c>
      <c r="Z678" s="7" t="s">
        <v>918</v>
      </c>
      <c r="AA678" s="7" t="s">
        <v>918</v>
      </c>
      <c r="AB678" s="6"/>
      <c r="AC678" s="6">
        <v>-0.68216139180298807</v>
      </c>
      <c r="AD678" s="6">
        <v>-43.941155303887605</v>
      </c>
      <c r="AE678" s="6"/>
      <c r="AF678" s="6"/>
    </row>
    <row r="679" spans="1:32" s="4" customFormat="1" ht="12.75" x14ac:dyDescent="0.2">
      <c r="A679" s="7" t="s">
        <v>2201</v>
      </c>
      <c r="B679" s="7" t="s">
        <v>2202</v>
      </c>
      <c r="C679" s="7" t="s">
        <v>2203</v>
      </c>
      <c r="D679" s="6">
        <v>0.7560760974884031</v>
      </c>
      <c r="E679" s="6">
        <v>-0.39676630496978804</v>
      </c>
      <c r="F679" s="6">
        <v>-0.36686083674430803</v>
      </c>
      <c r="G679" s="6">
        <v>-0.30316948890686002</v>
      </c>
      <c r="H679" s="6">
        <v>1.4092229604721069</v>
      </c>
      <c r="I679" s="6">
        <v>-1.036344647407532</v>
      </c>
      <c r="J679" s="6">
        <v>1.7443957328796391</v>
      </c>
      <c r="K679" s="6">
        <v>-0.91666477918624911</v>
      </c>
      <c r="L679" s="6">
        <v>3.0000102519989009</v>
      </c>
      <c r="M679" s="6">
        <v>-0.99620443582534812</v>
      </c>
      <c r="N679" s="6">
        <v>1.183037949295179</v>
      </c>
      <c r="O679" s="6">
        <v>1.170903243610941</v>
      </c>
      <c r="P679" s="6">
        <v>1.621577776698494</v>
      </c>
      <c r="Q679" s="6">
        <v>1.4542621632858741</v>
      </c>
      <c r="R679" s="6">
        <v>8.0383881768661034</v>
      </c>
      <c r="S679" s="6">
        <v>8.1764558177900355</v>
      </c>
      <c r="T679" s="6">
        <v>22.564777374267578</v>
      </c>
      <c r="U679" s="6" t="str">
        <f>_xll.BDP($A679,"TRAILING_12M_R&amp;D_%_SALES",$A$1,$A$2)</f>
        <v>#N/A N/A</v>
      </c>
      <c r="V679" s="6">
        <v>50</v>
      </c>
      <c r="W679" s="6">
        <v>501010</v>
      </c>
      <c r="X679" s="6">
        <v>50101020</v>
      </c>
      <c r="Y679" s="7" t="s">
        <v>311</v>
      </c>
      <c r="Z679" s="7" t="s">
        <v>346</v>
      </c>
      <c r="AA679" s="7" t="s">
        <v>347</v>
      </c>
      <c r="AB679" s="6">
        <v>57.559600830078125</v>
      </c>
      <c r="AC679" s="6">
        <v>0.63335390972373706</v>
      </c>
      <c r="AD679" s="6">
        <v>3.1314927892276412</v>
      </c>
      <c r="AE679" s="6">
        <v>117100</v>
      </c>
      <c r="AF679" s="6">
        <v>155400</v>
      </c>
    </row>
    <row r="680" spans="1:32" s="4" customFormat="1" ht="12.75" x14ac:dyDescent="0.2">
      <c r="A680" s="7" t="s">
        <v>2204</v>
      </c>
      <c r="B680" s="7" t="s">
        <v>2205</v>
      </c>
      <c r="C680" s="7" t="s">
        <v>2206</v>
      </c>
      <c r="D680" s="6">
        <v>-0.270467489957809</v>
      </c>
      <c r="E680" s="6">
        <v>-1.8479270935058589</v>
      </c>
      <c r="F680" s="6">
        <v>0.97775590419769309</v>
      </c>
      <c r="G680" s="6">
        <v>0.49452728033065801</v>
      </c>
      <c r="H680" s="6">
        <v>1.411761999130249</v>
      </c>
      <c r="I680" s="6">
        <v>-1.8287678956985469</v>
      </c>
      <c r="J680" s="6">
        <v>-1.6103595495224002E-2</v>
      </c>
      <c r="K680" s="6">
        <v>-0.9585130810737611</v>
      </c>
      <c r="L680" s="6">
        <v>3.0000102519989009</v>
      </c>
      <c r="M680" s="6">
        <v>-0.53101730346679699</v>
      </c>
      <c r="N680" s="6">
        <v>0.16208806679660101</v>
      </c>
      <c r="O680" s="6">
        <v>0.15546771523211803</v>
      </c>
      <c r="P680" s="6">
        <v>1.1276591818672479</v>
      </c>
      <c r="Q680" s="6">
        <v>0.82968741093163412</v>
      </c>
      <c r="R680" s="6">
        <v>9.1872215959263688</v>
      </c>
      <c r="S680" s="6">
        <v>7.5832219067359672</v>
      </c>
      <c r="T680" s="6">
        <v>-13.600034713745117</v>
      </c>
      <c r="U680" s="6" t="str">
        <f>_xll.BDP($A680,"TRAILING_12M_R&amp;D_%_SALES",$A$1,$A$2)</f>
        <v>#N/A N/A</v>
      </c>
      <c r="V680" s="6">
        <v>30</v>
      </c>
      <c r="W680" s="6">
        <v>301010</v>
      </c>
      <c r="X680" s="6">
        <v>30101010</v>
      </c>
      <c r="Y680" s="7" t="s">
        <v>106</v>
      </c>
      <c r="Z680" s="7" t="s">
        <v>107</v>
      </c>
      <c r="AA680" s="7" t="s">
        <v>2207</v>
      </c>
      <c r="AB680" s="6">
        <v>61.643699645996094</v>
      </c>
      <c r="AC680" s="6">
        <v>0.93410743776171812</v>
      </c>
      <c r="AD680" s="6">
        <v>-25.291694076855929</v>
      </c>
      <c r="AE680" s="6">
        <v>331000</v>
      </c>
      <c r="AF680" s="6">
        <v>354000</v>
      </c>
    </row>
    <row r="681" spans="1:32" s="4" customFormat="1" ht="12.75" x14ac:dyDescent="0.2">
      <c r="A681" s="7" t="s">
        <v>2208</v>
      </c>
      <c r="B681" s="7" t="s">
        <v>2209</v>
      </c>
      <c r="C681" s="7" t="s">
        <v>2210</v>
      </c>
      <c r="D681" s="6">
        <v>-0.37166094779968301</v>
      </c>
      <c r="E681" s="6">
        <v>-1.721006035804749</v>
      </c>
      <c r="F681" s="6">
        <v>1.118276953697205</v>
      </c>
      <c r="G681" s="6">
        <v>0.107907332479954</v>
      </c>
      <c r="H681" s="6">
        <v>1.1353218555450439</v>
      </c>
      <c r="I681" s="6">
        <v>-0.41847735643386802</v>
      </c>
      <c r="J681" s="6">
        <v>-0.24935649335384402</v>
      </c>
      <c r="K681" s="6">
        <v>1.052630543708801</v>
      </c>
      <c r="L681" s="6">
        <v>-0.72281217575073209</v>
      </c>
      <c r="M681" s="6">
        <v>0.92968147993087802</v>
      </c>
      <c r="N681" s="6">
        <v>0.65875564810692611</v>
      </c>
      <c r="O681" s="6">
        <v>0.66037511390665604</v>
      </c>
      <c r="P681" s="6">
        <v>0.61965516815205401</v>
      </c>
      <c r="Q681" s="6">
        <v>0.61281638672362104</v>
      </c>
      <c r="R681" s="6"/>
      <c r="S681" s="6"/>
      <c r="T681" s="6">
        <v>-10.348264694213867</v>
      </c>
      <c r="U681" s="6" t="str">
        <f>_xll.BDP($A681,"TRAILING_12M_R&amp;D_%_SALES",$A$1,$A$2)</f>
        <v>#N/A N/A</v>
      </c>
      <c r="V681" s="6">
        <v>50</v>
      </c>
      <c r="W681" s="6">
        <v>502020</v>
      </c>
      <c r="X681" s="6">
        <v>50202010</v>
      </c>
      <c r="Y681" s="7" t="s">
        <v>311</v>
      </c>
      <c r="Z681" s="7" t="s">
        <v>756</v>
      </c>
      <c r="AA681" s="7" t="s">
        <v>757</v>
      </c>
      <c r="AB681" s="6">
        <v>38.004226684570313</v>
      </c>
      <c r="AC681" s="6">
        <v>1.583551104577275</v>
      </c>
      <c r="AD681" s="6">
        <v>20.678682355872802</v>
      </c>
      <c r="AE681" s="6">
        <v>37500</v>
      </c>
      <c r="AF681" s="6">
        <v>7000</v>
      </c>
    </row>
    <row r="682" spans="1:32" s="4" customFormat="1" ht="12.75" x14ac:dyDescent="0.2">
      <c r="A682" s="7" t="s">
        <v>2211</v>
      </c>
      <c r="B682" s="7" t="s">
        <v>2212</v>
      </c>
      <c r="C682" s="7" t="s">
        <v>2213</v>
      </c>
      <c r="D682" s="6">
        <v>-0.61565285921096802</v>
      </c>
      <c r="E682" s="6">
        <v>5.1112696528435003E-2</v>
      </c>
      <c r="F682" s="6">
        <v>0.38807868957519503</v>
      </c>
      <c r="G682" s="6">
        <v>-0.72477072477340709</v>
      </c>
      <c r="H682" s="6">
        <v>-0.74102282524108909</v>
      </c>
      <c r="I682" s="6">
        <v>0.21053905785083801</v>
      </c>
      <c r="J682" s="6">
        <v>1.739545941352844</v>
      </c>
      <c r="K682" s="6">
        <v>0.61349672079086304</v>
      </c>
      <c r="L682" s="6">
        <v>3.0000102519989009</v>
      </c>
      <c r="M682" s="6">
        <v>1.4219459295272832</v>
      </c>
      <c r="N682" s="6">
        <v>2.186609933296904</v>
      </c>
      <c r="O682" s="6">
        <v>2.5327071849682943</v>
      </c>
      <c r="P682" s="6">
        <v>1.122546567463671</v>
      </c>
      <c r="Q682" s="6"/>
      <c r="R682" s="6">
        <v>6.1003635790142887</v>
      </c>
      <c r="S682" s="6"/>
      <c r="T682" s="6">
        <v>19.252147674560547</v>
      </c>
      <c r="U682" s="6">
        <f>_xll.BDP($A682,"TRAILING_12M_R&amp;D_%_SALES",$A$1,$A$2)</f>
        <v>0</v>
      </c>
      <c r="V682" s="6">
        <v>10</v>
      </c>
      <c r="W682" s="6">
        <v>101020</v>
      </c>
      <c r="X682" s="6">
        <v>10102020</v>
      </c>
      <c r="Y682" s="7" t="s">
        <v>387</v>
      </c>
      <c r="Z682" s="7" t="s">
        <v>516</v>
      </c>
      <c r="AA682" s="7" t="s">
        <v>603</v>
      </c>
      <c r="AB682" s="6">
        <v>66.482246398925781</v>
      </c>
      <c r="AC682" s="6">
        <v>0.93489807613542308</v>
      </c>
      <c r="AD682" s="6">
        <v>-3.205318211143982</v>
      </c>
      <c r="AE682" s="6"/>
      <c r="AF682" s="6">
        <v>3597</v>
      </c>
    </row>
    <row r="683" spans="1:32" s="4" customFormat="1" ht="12.75" x14ac:dyDescent="0.2">
      <c r="A683" s="7" t="s">
        <v>2214</v>
      </c>
      <c r="B683" s="7" t="s">
        <v>2215</v>
      </c>
      <c r="C683" s="7" t="s">
        <v>2216</v>
      </c>
      <c r="D683" s="6">
        <v>-0.95077073574066207</v>
      </c>
      <c r="E683" s="6">
        <v>-0.8683334589004521</v>
      </c>
      <c r="F683" s="6">
        <v>5.5539287626743004E-2</v>
      </c>
      <c r="G683" s="6">
        <v>-0.38553759455680803</v>
      </c>
      <c r="H683" s="6">
        <v>0.28252443671226501</v>
      </c>
      <c r="I683" s="6">
        <v>3.9141718298197001E-2</v>
      </c>
      <c r="J683" s="6">
        <v>-0.41049057245254505</v>
      </c>
      <c r="K683" s="6">
        <v>-0.5598980188369751</v>
      </c>
      <c r="L683" s="6">
        <v>0.63212925195694003</v>
      </c>
      <c r="M683" s="6">
        <v>-0.95176517963409413</v>
      </c>
      <c r="N683" s="6">
        <v>7.0247033602844304</v>
      </c>
      <c r="O683" s="6">
        <v>6.7092881748675683</v>
      </c>
      <c r="P683" s="6">
        <v>2.0909023923083532</v>
      </c>
      <c r="Q683" s="6">
        <v>2.075736671720438</v>
      </c>
      <c r="R683" s="6">
        <v>206.7232594245138</v>
      </c>
      <c r="S683" s="6">
        <v>72.384420982159128</v>
      </c>
      <c r="T683" s="6">
        <v>1.198647022247314</v>
      </c>
      <c r="U683" s="6" t="str">
        <f>_xll.BDP($A683,"TRAILING_12M_R&amp;D_%_SALES",$A$1,$A$2)</f>
        <v>#N/A N/A</v>
      </c>
      <c r="V683" s="6">
        <v>60</v>
      </c>
      <c r="W683" s="6">
        <v>601050</v>
      </c>
      <c r="X683" s="6">
        <v>60105010</v>
      </c>
      <c r="Y683" s="7" t="s">
        <v>221</v>
      </c>
      <c r="Z683" s="7" t="s">
        <v>2217</v>
      </c>
      <c r="AA683" s="7" t="s">
        <v>2217</v>
      </c>
      <c r="AB683" s="6">
        <v>68.021324157714844</v>
      </c>
      <c r="AC683" s="6">
        <v>0.95495223892694603</v>
      </c>
      <c r="AD683" s="6">
        <v>41.157764206607574</v>
      </c>
      <c r="AE683" s="6">
        <v>514</v>
      </c>
      <c r="AF683" s="6">
        <v>392</v>
      </c>
    </row>
    <row r="684" spans="1:32" s="4" customFormat="1" ht="12.75" x14ac:dyDescent="0.2">
      <c r="A684" s="7" t="s">
        <v>2218</v>
      </c>
      <c r="B684" s="7" t="s">
        <v>2219</v>
      </c>
      <c r="C684" s="7" t="s">
        <v>2220</v>
      </c>
      <c r="D684" s="6">
        <v>-0.7299252748489381</v>
      </c>
      <c r="E684" s="6">
        <v>-1.0147107839584351</v>
      </c>
      <c r="F684" s="6">
        <v>-1.275718212127686</v>
      </c>
      <c r="G684" s="6">
        <v>-0.7289292812347411</v>
      </c>
      <c r="H684" s="6">
        <v>1.062258839607239</v>
      </c>
      <c r="I684" s="6">
        <v>1.4031312428415E-2</v>
      </c>
      <c r="J684" s="6">
        <v>3.0000147819519039</v>
      </c>
      <c r="K684" s="6">
        <v>-0.96846908330917403</v>
      </c>
      <c r="L684" s="6">
        <v>3.0000102519989009</v>
      </c>
      <c r="M684" s="6">
        <v>-1.002404928207397</v>
      </c>
      <c r="N684" s="6">
        <v>0.40768133248095501</v>
      </c>
      <c r="O684" s="6"/>
      <c r="P684" s="6">
        <v>0.34744824425361004</v>
      </c>
      <c r="Q684" s="6"/>
      <c r="R684" s="6">
        <v>3.400256947752148</v>
      </c>
      <c r="S684" s="6"/>
      <c r="T684" s="6">
        <v>10.480748176574707</v>
      </c>
      <c r="U684" s="6" t="str">
        <f>_xll.BDP($A684,"TRAILING_12M_R&amp;D_%_SALES",$A$1,$A$2)</f>
        <v>#N/A N/A</v>
      </c>
      <c r="V684" s="6">
        <v>40</v>
      </c>
      <c r="W684" s="6">
        <v>401010</v>
      </c>
      <c r="X684" s="6">
        <v>40101010</v>
      </c>
      <c r="Y684" s="7" t="s">
        <v>43</v>
      </c>
      <c r="Z684" s="7" t="s">
        <v>67</v>
      </c>
      <c r="AA684" s="7" t="s">
        <v>68</v>
      </c>
      <c r="AB684" s="6">
        <v>63.80645751953125</v>
      </c>
      <c r="AC684" s="6">
        <v>0.90746814907921503</v>
      </c>
      <c r="AD684" s="6">
        <v>11.728256899107393</v>
      </c>
      <c r="AE684" s="6"/>
      <c r="AF684" s="6"/>
    </row>
    <row r="685" spans="1:32" s="4" customFormat="1" ht="12.75" x14ac:dyDescent="0.2">
      <c r="A685" s="7" t="s">
        <v>2221</v>
      </c>
      <c r="B685" s="7" t="s">
        <v>2222</v>
      </c>
      <c r="C685" s="7" t="s">
        <v>2223</v>
      </c>
      <c r="D685" s="6">
        <v>1.163322329521179</v>
      </c>
      <c r="E685" s="6">
        <v>-1.0338398218154909</v>
      </c>
      <c r="F685" s="6">
        <v>-0.267983198165894</v>
      </c>
      <c r="G685" s="6">
        <v>-0.296289592981339</v>
      </c>
      <c r="H685" s="6">
        <v>0.57158541679382302</v>
      </c>
      <c r="I685" s="6">
        <v>-0.43370893597602805</v>
      </c>
      <c r="J685" s="6">
        <v>1.4410538673400881</v>
      </c>
      <c r="K685" s="6">
        <v>-1.6001318693161011</v>
      </c>
      <c r="L685" s="6">
        <v>0.9060506224632261</v>
      </c>
      <c r="M685" s="6">
        <v>-0.95649123191833507</v>
      </c>
      <c r="N685" s="6">
        <v>1.686284320678757</v>
      </c>
      <c r="O685" s="6">
        <v>2.2146505432139838</v>
      </c>
      <c r="P685" s="6">
        <v>1.1156378754894911</v>
      </c>
      <c r="Q685" s="6">
        <v>0.9984522619022651</v>
      </c>
      <c r="R685" s="6">
        <v>10.851173443079068</v>
      </c>
      <c r="S685" s="6">
        <v>10.015016826425128</v>
      </c>
      <c r="T685" s="6">
        <v>11.206756591796875</v>
      </c>
      <c r="U685" s="6" t="str">
        <f>_xll.BDP($A685,"TRAILING_12M_R&amp;D_%_SALES",$A$1,$A$2)</f>
        <v>#N/A N/A</v>
      </c>
      <c r="V685" s="6">
        <v>40</v>
      </c>
      <c r="W685" s="6">
        <v>401010</v>
      </c>
      <c r="X685" s="6">
        <v>40101010</v>
      </c>
      <c r="Y685" s="7" t="s">
        <v>43</v>
      </c>
      <c r="Z685" s="7" t="s">
        <v>67</v>
      </c>
      <c r="AA685" s="7" t="s">
        <v>68</v>
      </c>
      <c r="AB685" s="6">
        <v>59.631828308105469</v>
      </c>
      <c r="AC685" s="6">
        <v>1.0817932025396291</v>
      </c>
      <c r="AD685" s="6">
        <v>22.814476365543879</v>
      </c>
      <c r="AE685" s="6">
        <v>238698</v>
      </c>
      <c r="AF685" s="6">
        <v>262700</v>
      </c>
    </row>
    <row r="686" spans="1:32" s="4" customFormat="1" ht="12.75" x14ac:dyDescent="0.2">
      <c r="A686" s="7" t="s">
        <v>2224</v>
      </c>
      <c r="B686" s="7" t="s">
        <v>2225</v>
      </c>
      <c r="C686" s="7" t="s">
        <v>2226</v>
      </c>
      <c r="D686" s="6">
        <v>-0.62389183044433605</v>
      </c>
      <c r="E686" s="6">
        <v>-0.30251768231391901</v>
      </c>
      <c r="F686" s="6">
        <v>-0.79180157184600808</v>
      </c>
      <c r="G686" s="6">
        <v>-0.5763719677925111</v>
      </c>
      <c r="H686" s="6">
        <v>0.81881952285766602</v>
      </c>
      <c r="I686" s="6">
        <v>-0.77878862619400002</v>
      </c>
      <c r="J686" s="6">
        <v>-0.12947927415370902</v>
      </c>
      <c r="K686" s="6">
        <v>-0.50890606641769409</v>
      </c>
      <c r="L686" s="6">
        <v>0.10177583992481201</v>
      </c>
      <c r="M686" s="6">
        <v>-0.73855084180831909</v>
      </c>
      <c r="N686" s="6">
        <v>3.612567010917302</v>
      </c>
      <c r="O686" s="6">
        <v>3.3393703286697609</v>
      </c>
      <c r="P686" s="6">
        <v>10.380730089363841</v>
      </c>
      <c r="Q686" s="6">
        <v>9.3559492937353088</v>
      </c>
      <c r="R686" s="6">
        <v>31.180943874146184</v>
      </c>
      <c r="S686" s="6">
        <v>26.59440313751702</v>
      </c>
      <c r="T686" s="6">
        <v>33.094554901123047</v>
      </c>
      <c r="U686" s="6" t="str">
        <f>_xll.BDP($A686,"TRAILING_12M_R&amp;D_%_SALES",$A$1,$A$2)</f>
        <v>#N/A N/A</v>
      </c>
      <c r="V686" s="6">
        <v>20</v>
      </c>
      <c r="W686" s="6">
        <v>202010</v>
      </c>
      <c r="X686" s="6">
        <v>20201050</v>
      </c>
      <c r="Y686" s="7" t="s">
        <v>38</v>
      </c>
      <c r="Z686" s="7" t="s">
        <v>1821</v>
      </c>
      <c r="AA686" s="7" t="s">
        <v>1822</v>
      </c>
      <c r="AB686" s="6">
        <v>71.019012451171875</v>
      </c>
      <c r="AC686" s="6">
        <v>0.534197012448831</v>
      </c>
      <c r="AD686" s="6">
        <v>14.719779237568552</v>
      </c>
      <c r="AE686" s="6">
        <v>49500</v>
      </c>
      <c r="AF686" s="6">
        <v>42300</v>
      </c>
    </row>
    <row r="687" spans="1:32" s="4" customFormat="1" ht="12.75" x14ac:dyDescent="0.2">
      <c r="A687" s="7" t="s">
        <v>2227</v>
      </c>
      <c r="B687" s="7" t="s">
        <v>2228</v>
      </c>
      <c r="C687" s="7" t="s">
        <v>2229</v>
      </c>
      <c r="D687" s="6">
        <v>-0.77448689937591608</v>
      </c>
      <c r="E687" s="6">
        <v>-0.29163664579391502</v>
      </c>
      <c r="F687" s="6">
        <v>-0.36958134174346902</v>
      </c>
      <c r="G687" s="6">
        <v>-0.19412663578987102</v>
      </c>
      <c r="H687" s="6">
        <v>1.139625191688538</v>
      </c>
      <c r="I687" s="6">
        <v>-0.32209718227386502</v>
      </c>
      <c r="J687" s="6">
        <v>0.33055165410041804</v>
      </c>
      <c r="K687" s="6">
        <v>-0.715742528438568</v>
      </c>
      <c r="L687" s="6">
        <v>1.741797566413879</v>
      </c>
      <c r="M687" s="6">
        <v>-0.7051118016242981</v>
      </c>
      <c r="N687" s="6">
        <v>3.8057327843269921</v>
      </c>
      <c r="O687" s="6">
        <v>4.2458413623029196</v>
      </c>
      <c r="P687" s="6">
        <v>3.589171017441557</v>
      </c>
      <c r="Q687" s="6">
        <v>3.5595301353291653</v>
      </c>
      <c r="R687" s="6">
        <v>17.841821954665839</v>
      </c>
      <c r="S687" s="6">
        <v>18.599510757024156</v>
      </c>
      <c r="T687" s="6">
        <v>24.283363342285156</v>
      </c>
      <c r="U687" s="6">
        <f>_xll.BDP($A687,"TRAILING_12M_R&amp;D_%_SALES",$A$1,$A$2)</f>
        <v>0</v>
      </c>
      <c r="V687" s="6">
        <v>10</v>
      </c>
      <c r="W687" s="6">
        <v>101020</v>
      </c>
      <c r="X687" s="6">
        <v>10102040</v>
      </c>
      <c r="Y687" s="7" t="s">
        <v>387</v>
      </c>
      <c r="Z687" s="7" t="s">
        <v>516</v>
      </c>
      <c r="AA687" s="7" t="s">
        <v>849</v>
      </c>
      <c r="AB687" s="6">
        <v>69.047378540039063</v>
      </c>
      <c r="AC687" s="6">
        <v>0.81008384075249307</v>
      </c>
      <c r="AD687" s="6">
        <v>11.710408860804101</v>
      </c>
      <c r="AE687" s="6">
        <v>5043</v>
      </c>
      <c r="AF687" s="6">
        <v>5425</v>
      </c>
    </row>
    <row r="688" spans="1:32" s="4" customFormat="1" ht="12.75" x14ac:dyDescent="0.2">
      <c r="A688" s="7" t="s">
        <v>2230</v>
      </c>
      <c r="B688" s="7" t="s">
        <v>2231</v>
      </c>
      <c r="C688" s="7" t="s">
        <v>2232</v>
      </c>
      <c r="D688" s="6">
        <v>1.390133261680603</v>
      </c>
      <c r="E688" s="6">
        <v>-0.75517523288726807</v>
      </c>
      <c r="F688" s="6">
        <v>-3.4557547420263006E-2</v>
      </c>
      <c r="G688" s="6">
        <v>-0.88331234455108609</v>
      </c>
      <c r="H688" s="6">
        <v>-0.20095507800579102</v>
      </c>
      <c r="I688" s="6">
        <v>6.0899127274752003E-2</v>
      </c>
      <c r="J688" s="6">
        <v>7.3420293629170002E-3</v>
      </c>
      <c r="K688" s="6">
        <v>-0.47834751009941101</v>
      </c>
      <c r="L688" s="6">
        <v>-8.0722227692604009E-2</v>
      </c>
      <c r="M688" s="6">
        <v>-0.32408609986305204</v>
      </c>
      <c r="N688" s="6">
        <v>0.66487220190029206</v>
      </c>
      <c r="O688" s="6">
        <v>0.63820747043233805</v>
      </c>
      <c r="P688" s="6">
        <v>5.3432267131598632</v>
      </c>
      <c r="Q688" s="6">
        <v>4.6350323355276641</v>
      </c>
      <c r="R688" s="6">
        <v>23.958965481501082</v>
      </c>
      <c r="S688" s="6">
        <v>22.37586561709875</v>
      </c>
      <c r="T688" s="6">
        <v>21.477960586547852</v>
      </c>
      <c r="U688" s="6">
        <f>_xll.BDP($A688,"TRAILING_12M_R&amp;D_%_SALES",$A$1,$A$2)</f>
        <v>0</v>
      </c>
      <c r="V688" s="6">
        <v>30</v>
      </c>
      <c r="W688" s="6">
        <v>301010</v>
      </c>
      <c r="X688" s="6">
        <v>30101040</v>
      </c>
      <c r="Y688" s="7" t="s">
        <v>106</v>
      </c>
      <c r="Z688" s="7" t="s">
        <v>107</v>
      </c>
      <c r="AA688" s="7" t="s">
        <v>243</v>
      </c>
      <c r="AB688" s="6">
        <v>54.471382141113281</v>
      </c>
      <c r="AC688" s="6">
        <v>0.59121274118463807</v>
      </c>
      <c r="AD688" s="6">
        <v>12.599971402489896</v>
      </c>
      <c r="AE688" s="6">
        <v>2100000</v>
      </c>
      <c r="AF688" s="6">
        <v>2300000</v>
      </c>
    </row>
    <row r="689" spans="1:32" s="4" customFormat="1" ht="12.75" x14ac:dyDescent="0.2">
      <c r="A689" s="7" t="s">
        <v>2233</v>
      </c>
      <c r="B689" s="7" t="s">
        <v>2234</v>
      </c>
      <c r="C689" s="7" t="s">
        <v>2235</v>
      </c>
      <c r="D689" s="6">
        <v>-0.13261318206787101</v>
      </c>
      <c r="E689" s="6">
        <v>5.4030451923609002E-2</v>
      </c>
      <c r="F689" s="6">
        <v>1.3779658079147341</v>
      </c>
      <c r="G689" s="6">
        <v>-0.72752201557159402</v>
      </c>
      <c r="H689" s="6">
        <v>-0.58115971088409402</v>
      </c>
      <c r="I689" s="6">
        <v>-1.1725766658782959</v>
      </c>
      <c r="J689" s="6">
        <v>0.93082571029663108</v>
      </c>
      <c r="K689" s="6">
        <v>-0.8684167861938481</v>
      </c>
      <c r="L689" s="6">
        <v>1.882869601249695</v>
      </c>
      <c r="M689" s="6">
        <v>-0.32315877079963701</v>
      </c>
      <c r="N689" s="6">
        <v>0.70262257239905501</v>
      </c>
      <c r="O689" s="6"/>
      <c r="P689" s="6">
        <v>7.0329712095892249</v>
      </c>
      <c r="Q689" s="6"/>
      <c r="R689" s="6">
        <v>28.446108120401984</v>
      </c>
      <c r="S689" s="6"/>
      <c r="T689" s="6">
        <v>26.08625602722168</v>
      </c>
      <c r="U689" s="6">
        <f>_xll.BDP($A689,"TRAILING_12M_R&amp;D_%_SALES",$A$1,$A$2)</f>
        <v>0</v>
      </c>
      <c r="V689" s="6">
        <v>30</v>
      </c>
      <c r="W689" s="6">
        <v>301010</v>
      </c>
      <c r="X689" s="6">
        <v>30101030</v>
      </c>
      <c r="Y689" s="7" t="s">
        <v>106</v>
      </c>
      <c r="Z689" s="7" t="s">
        <v>107</v>
      </c>
      <c r="AA689" s="7" t="s">
        <v>108</v>
      </c>
      <c r="AB689" s="6">
        <v>55.507495880126953</v>
      </c>
      <c r="AC689" s="6"/>
      <c r="AD689" s="6"/>
      <c r="AE689" s="6">
        <v>200364</v>
      </c>
      <c r="AF689" s="6">
        <v>202000</v>
      </c>
    </row>
    <row r="690" spans="1:32" s="4" customFormat="1" ht="12.75" x14ac:dyDescent="0.2">
      <c r="A690" s="7" t="s">
        <v>2236</v>
      </c>
      <c r="B690" s="7" t="s">
        <v>2237</v>
      </c>
      <c r="C690" s="7" t="s">
        <v>2238</v>
      </c>
      <c r="D690" s="6">
        <v>-0.61565285921096802</v>
      </c>
      <c r="E690" s="6">
        <v>5.1112696528435003E-2</v>
      </c>
      <c r="F690" s="6">
        <v>0.38807868957519503</v>
      </c>
      <c r="G690" s="6">
        <v>-0.72477072477340709</v>
      </c>
      <c r="H690" s="6">
        <v>-0.74102282524108909</v>
      </c>
      <c r="I690" s="6">
        <v>0.21053905785083801</v>
      </c>
      <c r="J690" s="6">
        <v>1.739545941352844</v>
      </c>
      <c r="K690" s="6">
        <v>0.61349672079086304</v>
      </c>
      <c r="L690" s="6">
        <v>3.0000102519989009</v>
      </c>
      <c r="M690" s="6">
        <v>1.4219459295272832</v>
      </c>
      <c r="N690" s="6">
        <v>2.186609933296904</v>
      </c>
      <c r="O690" s="6">
        <v>2.8418643947811688</v>
      </c>
      <c r="P690" s="6">
        <v>1.122546567463671</v>
      </c>
      <c r="Q690" s="6">
        <v>1.1158325629383761</v>
      </c>
      <c r="R690" s="6">
        <v>6.1003635790142887</v>
      </c>
      <c r="S690" s="6">
        <v>14.030263286970291</v>
      </c>
      <c r="T690" s="6">
        <v>19.252147674560547</v>
      </c>
      <c r="U690" s="6">
        <f>_xll.BDP($A690,"TRAILING_12M_R&amp;D_%_SALES",$A$1,$A$2)</f>
        <v>0</v>
      </c>
      <c r="V690" s="6">
        <v>10</v>
      </c>
      <c r="W690" s="6">
        <v>101020</v>
      </c>
      <c r="X690" s="6">
        <v>10102020</v>
      </c>
      <c r="Y690" s="7" t="s">
        <v>387</v>
      </c>
      <c r="Z690" s="7" t="s">
        <v>516</v>
      </c>
      <c r="AA690" s="7" t="s">
        <v>603</v>
      </c>
      <c r="AB690" s="6">
        <v>66.482246398925781</v>
      </c>
      <c r="AC690" s="6">
        <v>0.60554124879046101</v>
      </c>
      <c r="AD690" s="6">
        <v>-3.0908162332077271</v>
      </c>
      <c r="AE690" s="6"/>
      <c r="AF690" s="6">
        <v>3597</v>
      </c>
    </row>
    <row r="691" spans="1:32" s="4" customFormat="1" ht="12.75" x14ac:dyDescent="0.2">
      <c r="A691" s="7" t="s">
        <v>2239</v>
      </c>
      <c r="B691" s="7" t="s">
        <v>2240</v>
      </c>
      <c r="C691" s="7" t="s">
        <v>2241</v>
      </c>
      <c r="D691" s="6">
        <v>-0.73111754655838002</v>
      </c>
      <c r="E691" s="6">
        <v>-0.78576910495758101</v>
      </c>
      <c r="F691" s="6">
        <v>-0.22698384523391701</v>
      </c>
      <c r="G691" s="6">
        <v>-0.11082042753696401</v>
      </c>
      <c r="H691" s="6">
        <v>1.1153790950775151</v>
      </c>
      <c r="I691" s="6">
        <v>-1.180553674697876</v>
      </c>
      <c r="J691" s="6">
        <v>0.43411675095558205</v>
      </c>
      <c r="K691" s="6">
        <v>-0.8385706543922421</v>
      </c>
      <c r="L691" s="6">
        <v>0.94253057241439808</v>
      </c>
      <c r="M691" s="6">
        <v>-0.91383749246597312</v>
      </c>
      <c r="N691" s="6">
        <v>2.3009853242728742</v>
      </c>
      <c r="O691" s="6">
        <v>2.1728284922455261</v>
      </c>
      <c r="P691" s="6">
        <v>1.9731609930087299</v>
      </c>
      <c r="Q691" s="6">
        <v>1.829383652800993</v>
      </c>
      <c r="R691" s="6">
        <v>19.304255218985393</v>
      </c>
      <c r="S691" s="6">
        <v>17.309397018632829</v>
      </c>
      <c r="T691" s="6">
        <v>10.334490776062012</v>
      </c>
      <c r="U691" s="6" t="str">
        <f>_xll.BDP($A691,"TRAILING_12M_R&amp;D_%_SALES",$A$1,$A$2)</f>
        <v>#N/A N/A</v>
      </c>
      <c r="V691" s="6">
        <v>55</v>
      </c>
      <c r="W691" s="6">
        <v>551010</v>
      </c>
      <c r="X691" s="6">
        <v>55101010</v>
      </c>
      <c r="Y691" s="7" t="s">
        <v>154</v>
      </c>
      <c r="Z691" s="7" t="s">
        <v>155</v>
      </c>
      <c r="AA691" s="7" t="s">
        <v>155</v>
      </c>
      <c r="AB691" s="6">
        <v>71.884117126464844</v>
      </c>
      <c r="AC691" s="6">
        <v>0.67363745821508203</v>
      </c>
      <c r="AD691" s="6">
        <v>-9.9265707745866401</v>
      </c>
      <c r="AE691" s="6">
        <v>11982</v>
      </c>
      <c r="AF691" s="6">
        <v>11075</v>
      </c>
    </row>
    <row r="692" spans="1:32" s="4" customFormat="1" ht="12.75" x14ac:dyDescent="0.2">
      <c r="A692" s="7" t="s">
        <v>2242</v>
      </c>
      <c r="B692" s="7" t="s">
        <v>2243</v>
      </c>
      <c r="C692" s="7" t="s">
        <v>2244</v>
      </c>
      <c r="D692" s="6">
        <v>-0.58101332187652599</v>
      </c>
      <c r="E692" s="6">
        <v>-0.98709279298782304</v>
      </c>
      <c r="F692" s="6">
        <v>7.0063278079033009E-2</v>
      </c>
      <c r="G692" s="6">
        <v>-0.62126064300537109</v>
      </c>
      <c r="H692" s="6">
        <v>-0.91101217269897505</v>
      </c>
      <c r="I692" s="6">
        <v>-4.8533704131842006E-2</v>
      </c>
      <c r="J692" s="6">
        <v>0.17729990184307101</v>
      </c>
      <c r="K692" s="6">
        <v>0.13317355513572701</v>
      </c>
      <c r="L692" s="6">
        <v>-0.72281217575073209</v>
      </c>
      <c r="M692" s="6">
        <v>0.276909589767456</v>
      </c>
      <c r="N692" s="6">
        <v>1.269000203229153</v>
      </c>
      <c r="O692" s="6">
        <v>1.1677139205810061</v>
      </c>
      <c r="P692" s="6">
        <v>1.8151637562006862</v>
      </c>
      <c r="Q692" s="6">
        <v>1.9887925285639332</v>
      </c>
      <c r="R692" s="6">
        <v>21.055708308184673</v>
      </c>
      <c r="S692" s="6">
        <v>21.423497011644788</v>
      </c>
      <c r="T692" s="6">
        <v>10.553278923034668</v>
      </c>
      <c r="U692" s="6">
        <f>_xll.BDP($A692,"TRAILING_12M_R&amp;D_%_SALES",$A$1,$A$2)</f>
        <v>6.6871296425201523</v>
      </c>
      <c r="V692" s="6">
        <v>45</v>
      </c>
      <c r="W692" s="6">
        <v>452020</v>
      </c>
      <c r="X692" s="6">
        <v>45202030</v>
      </c>
      <c r="Y692" s="7" t="s">
        <v>56</v>
      </c>
      <c r="Z692" s="7" t="s">
        <v>57</v>
      </c>
      <c r="AA692" s="7" t="s">
        <v>57</v>
      </c>
      <c r="AB692" s="6">
        <v>56.312240600585938</v>
      </c>
      <c r="AC692" s="6">
        <v>0.8031309735745531</v>
      </c>
      <c r="AD692" s="6">
        <v>44.285715380493507</v>
      </c>
      <c r="AE692" s="6">
        <v>32543</v>
      </c>
      <c r="AF692" s="6"/>
    </row>
    <row r="693" spans="1:32" s="4" customFormat="1" ht="12.75" x14ac:dyDescent="0.2">
      <c r="A693" s="7" t="s">
        <v>2245</v>
      </c>
      <c r="B693" s="7" t="s">
        <v>2246</v>
      </c>
      <c r="C693" s="7" t="s">
        <v>2247</v>
      </c>
      <c r="D693" s="6">
        <v>-0.58101332187652599</v>
      </c>
      <c r="E693" s="6">
        <v>-0.98709279298782304</v>
      </c>
      <c r="F693" s="6">
        <v>7.0063278079033009E-2</v>
      </c>
      <c r="G693" s="6">
        <v>-0.62126064300537109</v>
      </c>
      <c r="H693" s="6">
        <v>-0.91101217269897505</v>
      </c>
      <c r="I693" s="6">
        <v>-4.8533704131842006E-2</v>
      </c>
      <c r="J693" s="6">
        <v>0.17729990184307101</v>
      </c>
      <c r="K693" s="6">
        <v>0.13317355513572701</v>
      </c>
      <c r="L693" s="6">
        <v>-0.72281217575073209</v>
      </c>
      <c r="M693" s="6">
        <v>0.276909589767456</v>
      </c>
      <c r="N693" s="6">
        <v>1.269000203229153</v>
      </c>
      <c r="O693" s="6"/>
      <c r="P693" s="6">
        <v>1.8151637562006862</v>
      </c>
      <c r="Q693" s="6"/>
      <c r="R693" s="6">
        <v>21.055708308184673</v>
      </c>
      <c r="S693" s="6"/>
      <c r="T693" s="6">
        <v>10.553278923034668</v>
      </c>
      <c r="U693" s="6">
        <f>_xll.BDP($A693,"TRAILING_12M_R&amp;D_%_SALES",$A$1,$A$2)</f>
        <v>6.6871296425201523</v>
      </c>
      <c r="V693" s="6">
        <v>45</v>
      </c>
      <c r="W693" s="6">
        <v>452020</v>
      </c>
      <c r="X693" s="6">
        <v>45202030</v>
      </c>
      <c r="Y693" s="7" t="s">
        <v>56</v>
      </c>
      <c r="Z693" s="7" t="s">
        <v>57</v>
      </c>
      <c r="AA693" s="7" t="s">
        <v>57</v>
      </c>
      <c r="AB693" s="6">
        <v>56.312240600585938</v>
      </c>
      <c r="AC693" s="6">
        <v>0.93185811270404606</v>
      </c>
      <c r="AD693" s="6">
        <v>43.965523029384812</v>
      </c>
      <c r="AE693" s="6">
        <v>32543</v>
      </c>
      <c r="AF693" s="6"/>
    </row>
    <row r="694" spans="1:32" s="4" customFormat="1" ht="12.75" x14ac:dyDescent="0.2">
      <c r="A694" s="7" t="s">
        <v>2248</v>
      </c>
      <c r="B694" s="7" t="s">
        <v>2249</v>
      </c>
      <c r="C694" s="7" t="s">
        <v>2250</v>
      </c>
      <c r="D694" s="6">
        <v>1.375565648078918</v>
      </c>
      <c r="E694" s="6">
        <v>-8.0957800149918005E-2</v>
      </c>
      <c r="F694" s="6">
        <v>0.20209696888923601</v>
      </c>
      <c r="G694" s="6">
        <v>-0.45722866058349604</v>
      </c>
      <c r="H694" s="6">
        <v>-0.82603484392166104</v>
      </c>
      <c r="I694" s="6">
        <v>0.13101923465728801</v>
      </c>
      <c r="J694" s="6">
        <v>0.96799182891845703</v>
      </c>
      <c r="K694" s="6">
        <v>-0.49821323156356806</v>
      </c>
      <c r="L694" s="6">
        <v>0.75736403465271007</v>
      </c>
      <c r="M694" s="6">
        <v>0.51911562681198109</v>
      </c>
      <c r="N694" s="6">
        <v>1.179271812032523</v>
      </c>
      <c r="O694" s="6">
        <v>1.146779008131581</v>
      </c>
      <c r="P694" s="6">
        <v>1.984050026616345</v>
      </c>
      <c r="Q694" s="6">
        <v>1.7308567923914882</v>
      </c>
      <c r="R694" s="6">
        <v>9.5902358675549895</v>
      </c>
      <c r="S694" s="6">
        <v>10.817642776009404</v>
      </c>
      <c r="T694" s="6">
        <v>21.321762084960938</v>
      </c>
      <c r="U694" s="6" t="str">
        <f>_xll.BDP($A694,"TRAILING_12M_R&amp;D_%_SALES",$A$1,$A$2)</f>
        <v>#N/A N/A</v>
      </c>
      <c r="V694" s="6">
        <v>10</v>
      </c>
      <c r="W694" s="6">
        <v>101020</v>
      </c>
      <c r="X694" s="6">
        <v>10102010</v>
      </c>
      <c r="Y694" s="7" t="s">
        <v>387</v>
      </c>
      <c r="Z694" s="7" t="s">
        <v>516</v>
      </c>
      <c r="AA694" s="7" t="s">
        <v>693</v>
      </c>
      <c r="AB694" s="6">
        <v>66.230758666992188</v>
      </c>
      <c r="AC694" s="6">
        <v>0.69674233719186007</v>
      </c>
      <c r="AD694" s="6">
        <v>-5.299010366351764</v>
      </c>
      <c r="AE694" s="6">
        <v>62000</v>
      </c>
      <c r="AF694" s="6">
        <v>69600</v>
      </c>
    </row>
    <row r="695" spans="1:32" s="4" customFormat="1" ht="12.75" x14ac:dyDescent="0.2">
      <c r="A695" s="7" t="s">
        <v>2251</v>
      </c>
      <c r="B695" s="7" t="s">
        <v>2252</v>
      </c>
      <c r="C695" s="7" t="s">
        <v>2253</v>
      </c>
      <c r="D695" s="6">
        <v>-0.9329586029052731</v>
      </c>
      <c r="E695" s="6">
        <v>-1.413630604743958</v>
      </c>
      <c r="F695" s="6">
        <v>-6.6629417240620006E-2</v>
      </c>
      <c r="G695" s="6">
        <v>3.0002281665802002</v>
      </c>
      <c r="H695" s="6">
        <v>-0.56633245944976807</v>
      </c>
      <c r="I695" s="6">
        <v>-1.311342716217041</v>
      </c>
      <c r="J695" s="6">
        <v>-0.24953024089336401</v>
      </c>
      <c r="K695" s="6">
        <v>1.817979097366333</v>
      </c>
      <c r="L695" s="6">
        <v>-0.72281217575073209</v>
      </c>
      <c r="M695" s="6">
        <v>0.57009458541870106</v>
      </c>
      <c r="N695" s="6">
        <v>2.2334613000749779</v>
      </c>
      <c r="O695" s="6">
        <v>1.926434465870031</v>
      </c>
      <c r="P695" s="6">
        <v>2.6612112079136923</v>
      </c>
      <c r="Q695" s="6">
        <v>2.4217888930167373</v>
      </c>
      <c r="R695" s="6"/>
      <c r="S695" s="6">
        <v>24.559298061384201</v>
      </c>
      <c r="T695" s="6">
        <v>-0.97327601909637507</v>
      </c>
      <c r="U695" s="6">
        <f>_xll.BDP($A695,"TRAILING_12M_R&amp;D_%_SALES",$A$1,$A$2)</f>
        <v>12.082453448446051</v>
      </c>
      <c r="V695" s="6">
        <v>40</v>
      </c>
      <c r="W695" s="6">
        <v>402010</v>
      </c>
      <c r="X695" s="6">
        <v>40201060</v>
      </c>
      <c r="Y695" s="7" t="s">
        <v>43</v>
      </c>
      <c r="Z695" s="7" t="s">
        <v>255</v>
      </c>
      <c r="AA695" s="7" t="s">
        <v>445</v>
      </c>
      <c r="AB695" s="6">
        <v>45.991348266601563</v>
      </c>
      <c r="AC695" s="6">
        <v>1.7773739810040781</v>
      </c>
      <c r="AD695" s="6">
        <v>22.933885449948765</v>
      </c>
      <c r="AE695" s="6">
        <v>12428</v>
      </c>
      <c r="AF695" s="6">
        <v>2338</v>
      </c>
    </row>
    <row r="696" spans="1:32" s="4" customFormat="1" ht="12.75" x14ac:dyDescent="0.2">
      <c r="A696" s="7" t="s">
        <v>2254</v>
      </c>
      <c r="B696" s="7" t="s">
        <v>2255</v>
      </c>
      <c r="C696" s="7" t="s">
        <v>2256</v>
      </c>
      <c r="D696" s="6">
        <v>-0.93139219284057606</v>
      </c>
      <c r="E696" s="6">
        <v>-0.7751468420028691</v>
      </c>
      <c r="F696" s="6">
        <v>-0.43386876583099404</v>
      </c>
      <c r="G696" s="6">
        <v>-0.89861911535263106</v>
      </c>
      <c r="H696" s="6">
        <v>0.25500586628913902</v>
      </c>
      <c r="I696" s="6">
        <v>-0.14867512881755801</v>
      </c>
      <c r="J696" s="6">
        <v>0.37935832142829901</v>
      </c>
      <c r="K696" s="6">
        <v>-0.19267387688159901</v>
      </c>
      <c r="L696" s="6">
        <v>-9.3993224203587009E-2</v>
      </c>
      <c r="M696" s="6">
        <v>-0.87050151824951205</v>
      </c>
      <c r="N696" s="6">
        <v>2.1294368883624162</v>
      </c>
      <c r="O696" s="6">
        <v>1.8849273959876309</v>
      </c>
      <c r="P696" s="6">
        <v>1.2462451868712849</v>
      </c>
      <c r="Q696" s="6">
        <v>1.191211271525028</v>
      </c>
      <c r="R696" s="6">
        <v>16.129761729789841</v>
      </c>
      <c r="S696" s="6">
        <v>29.629994598110553</v>
      </c>
      <c r="T696" s="6">
        <v>8.0474042892456055</v>
      </c>
      <c r="U696" s="6" t="str">
        <f>_xll.BDP($A696,"TRAILING_12M_R&amp;D_%_SALES",$A$1,$A$2)</f>
        <v>#N/A N/A</v>
      </c>
      <c r="V696" s="6">
        <v>50</v>
      </c>
      <c r="W696" s="6">
        <v>502030</v>
      </c>
      <c r="X696" s="6">
        <v>50203010</v>
      </c>
      <c r="Y696" s="7" t="s">
        <v>311</v>
      </c>
      <c r="Z696" s="7" t="s">
        <v>312</v>
      </c>
      <c r="AA696" s="7" t="s">
        <v>312</v>
      </c>
      <c r="AB696" s="6">
        <v>65.46624755859375</v>
      </c>
      <c r="AC696" s="6">
        <v>0.45020103333284506</v>
      </c>
      <c r="AD696" s="6">
        <v>32.132351967624253</v>
      </c>
      <c r="AE696" s="6">
        <v>28385</v>
      </c>
      <c r="AF696" s="6">
        <v>12244</v>
      </c>
    </row>
    <row r="697" spans="1:32" s="4" customFormat="1" ht="12.75" x14ac:dyDescent="0.2">
      <c r="A697" s="7" t="s">
        <v>2257</v>
      </c>
      <c r="B697" s="7" t="s">
        <v>2258</v>
      </c>
      <c r="C697" s="7" t="s">
        <v>2259</v>
      </c>
      <c r="D697" s="6">
        <v>-0.93139219284057606</v>
      </c>
      <c r="E697" s="6">
        <v>-0.7751468420028691</v>
      </c>
      <c r="F697" s="6">
        <v>-0.43386876583099404</v>
      </c>
      <c r="G697" s="6">
        <v>-0.89861911535263106</v>
      </c>
      <c r="H697" s="6">
        <v>0.25500586628913902</v>
      </c>
      <c r="I697" s="6">
        <v>-0.14867512881755801</v>
      </c>
      <c r="J697" s="6">
        <v>0.37935832142829901</v>
      </c>
      <c r="K697" s="6">
        <v>-0.19267387688159901</v>
      </c>
      <c r="L697" s="6">
        <v>-9.3993224203587009E-2</v>
      </c>
      <c r="M697" s="6">
        <v>-0.87050151824951205</v>
      </c>
      <c r="N697" s="6">
        <v>2.1294368883624162</v>
      </c>
      <c r="O697" s="6"/>
      <c r="P697" s="6">
        <v>1.2462451868712849</v>
      </c>
      <c r="Q697" s="6"/>
      <c r="R697" s="6">
        <v>16.129761729789841</v>
      </c>
      <c r="S697" s="6"/>
      <c r="T697" s="6">
        <v>8.0474042892456055</v>
      </c>
      <c r="U697" s="6" t="str">
        <f>_xll.BDP($A697,"TRAILING_12M_R&amp;D_%_SALES",$A$1,$A$2)</f>
        <v>#N/A N/A</v>
      </c>
      <c r="V697" s="6">
        <v>50</v>
      </c>
      <c r="W697" s="6">
        <v>502030</v>
      </c>
      <c r="X697" s="6">
        <v>50203010</v>
      </c>
      <c r="Y697" s="7" t="s">
        <v>311</v>
      </c>
      <c r="Z697" s="7" t="s">
        <v>312</v>
      </c>
      <c r="AA697" s="7" t="s">
        <v>312</v>
      </c>
      <c r="AB697" s="6">
        <v>65.46624755859375</v>
      </c>
      <c r="AC697" s="6">
        <v>0.7240051026830141</v>
      </c>
      <c r="AD697" s="6">
        <v>43.774061320216973</v>
      </c>
      <c r="AE697" s="6">
        <v>28385</v>
      </c>
      <c r="AF697" s="6">
        <v>12244</v>
      </c>
    </row>
    <row r="698" spans="1:32" s="4" customFormat="1" ht="12.75" x14ac:dyDescent="0.2">
      <c r="A698" s="7" t="s">
        <v>2260</v>
      </c>
      <c r="B698" s="7" t="s">
        <v>2261</v>
      </c>
      <c r="C698" s="7" t="s">
        <v>2262</v>
      </c>
      <c r="D698" s="6">
        <v>-0.90143877267837502</v>
      </c>
      <c r="E698" s="6">
        <v>1.0135162621737E-2</v>
      </c>
      <c r="F698" s="6">
        <v>2.2323648929595952</v>
      </c>
      <c r="G698" s="6">
        <v>0.185673043131828</v>
      </c>
      <c r="H698" s="6">
        <v>0.331226587295532</v>
      </c>
      <c r="I698" s="6">
        <v>-0.74813735485076904</v>
      </c>
      <c r="J698" s="6">
        <v>2.8384017944335942</v>
      </c>
      <c r="K698" s="6">
        <v>-0.86334747076034501</v>
      </c>
      <c r="L698" s="6">
        <v>3.0000102519989009</v>
      </c>
      <c r="M698" s="6">
        <v>-0.19060906767845201</v>
      </c>
      <c r="N698" s="6">
        <v>0.5433573254474281</v>
      </c>
      <c r="O698" s="6"/>
      <c r="P698" s="6">
        <v>1.9217677785669181</v>
      </c>
      <c r="Q698" s="6"/>
      <c r="R698" s="6">
        <v>5.1262389350068656</v>
      </c>
      <c r="S698" s="6"/>
      <c r="T698" s="6">
        <v>32.298446655273438</v>
      </c>
      <c r="U698" s="6">
        <f>_xll.BDP($A698,"TRAILING_12M_R&amp;D_%_SALES",$A$1,$A$2)</f>
        <v>2.6463278425997263</v>
      </c>
      <c r="V698" s="6">
        <v>10</v>
      </c>
      <c r="W698" s="6">
        <v>101020</v>
      </c>
      <c r="X698" s="6">
        <v>10102050</v>
      </c>
      <c r="Y698" s="7" t="s">
        <v>387</v>
      </c>
      <c r="Z698" s="7" t="s">
        <v>516</v>
      </c>
      <c r="AA698" s="7" t="s">
        <v>517</v>
      </c>
      <c r="AB698" s="6">
        <v>56.141231536865234</v>
      </c>
      <c r="AC698" s="6">
        <v>0.84091267067476705</v>
      </c>
      <c r="AD698" s="6">
        <v>17.867883791522686</v>
      </c>
      <c r="AE698" s="6">
        <v>64279</v>
      </c>
      <c r="AF698" s="6">
        <v>68030</v>
      </c>
    </row>
    <row r="699" spans="1:32" s="4" customFormat="1" ht="12.75" x14ac:dyDescent="0.2">
      <c r="A699" s="7" t="s">
        <v>2263</v>
      </c>
      <c r="B699" s="7" t="s">
        <v>2264</v>
      </c>
      <c r="C699" s="7" t="s">
        <v>2265</v>
      </c>
      <c r="D699" s="6">
        <v>-0.91648238897323608</v>
      </c>
      <c r="E699" s="6">
        <v>1.3853371143341E-2</v>
      </c>
      <c r="F699" s="6">
        <v>2.541892528533936</v>
      </c>
      <c r="G699" s="6">
        <v>0.22858308255672502</v>
      </c>
      <c r="H699" s="6">
        <v>0.29998180270195002</v>
      </c>
      <c r="I699" s="6">
        <v>-0.89391988515853904</v>
      </c>
      <c r="J699" s="6">
        <v>3.0000088214874272</v>
      </c>
      <c r="K699" s="6">
        <v>-0.79261207580566406</v>
      </c>
      <c r="L699" s="6">
        <v>3.0000078678131099</v>
      </c>
      <c r="M699" s="6">
        <v>-0.18993540108203902</v>
      </c>
      <c r="N699" s="6">
        <v>0.5433573254474281</v>
      </c>
      <c r="O699" s="6">
        <v>0.75087390367988105</v>
      </c>
      <c r="P699" s="6">
        <v>1.9217677785669181</v>
      </c>
      <c r="Q699" s="6">
        <v>0.87665968724210608</v>
      </c>
      <c r="R699" s="6">
        <v>5.1262389350068656</v>
      </c>
      <c r="S699" s="6">
        <v>4.5934893386307492</v>
      </c>
      <c r="T699" s="6">
        <v>32.298446655273438</v>
      </c>
      <c r="U699" s="6">
        <f>_xll.BDP($A699,"TRAILING_12M_R&amp;D_%_SALES",$A$1,$A$2)</f>
        <v>2.6463278425997263</v>
      </c>
      <c r="V699" s="6">
        <v>10</v>
      </c>
      <c r="W699" s="6">
        <v>101020</v>
      </c>
      <c r="X699" s="6">
        <v>10102050</v>
      </c>
      <c r="Y699" s="7" t="s">
        <v>387</v>
      </c>
      <c r="Z699" s="7" t="s">
        <v>516</v>
      </c>
      <c r="AA699" s="7" t="s">
        <v>517</v>
      </c>
      <c r="AB699" s="6">
        <v>56.141231536865234</v>
      </c>
      <c r="AC699" s="6">
        <v>0.38738774459347503</v>
      </c>
      <c r="AD699" s="6">
        <v>0.23532705722095801</v>
      </c>
      <c r="AE699" s="6">
        <v>64279</v>
      </c>
      <c r="AF699" s="6">
        <v>68030</v>
      </c>
    </row>
    <row r="700" spans="1:32" s="4" customFormat="1" ht="12.75" x14ac:dyDescent="0.2">
      <c r="A700" s="7" t="s">
        <v>2266</v>
      </c>
      <c r="B700" s="7" t="s">
        <v>2267</v>
      </c>
      <c r="C700" s="7" t="s">
        <v>2268</v>
      </c>
      <c r="D700" s="6">
        <v>0.30870565772056602</v>
      </c>
      <c r="E700" s="6">
        <v>-0.72617322206497203</v>
      </c>
      <c r="F700" s="6">
        <v>0.38082608580589306</v>
      </c>
      <c r="G700" s="6">
        <v>-0.96120387315750111</v>
      </c>
      <c r="H700" s="6">
        <v>-0.43795236945152305</v>
      </c>
      <c r="I700" s="6">
        <v>-0.23506630957126601</v>
      </c>
      <c r="J700" s="6">
        <v>0.48718953132629406</v>
      </c>
      <c r="K700" s="6">
        <v>-1.238200187683105</v>
      </c>
      <c r="L700" s="6">
        <v>1.9325647354125981</v>
      </c>
      <c r="M700" s="6">
        <v>-0.45629706978797901</v>
      </c>
      <c r="N700" s="6">
        <v>1.3117713918716021</v>
      </c>
      <c r="O700" s="6">
        <v>1.212740621968682</v>
      </c>
      <c r="P700" s="6">
        <v>3.305619304813936</v>
      </c>
      <c r="Q700" s="6">
        <v>2.6769422140868819</v>
      </c>
      <c r="R700" s="6">
        <v>15.764182897138943</v>
      </c>
      <c r="S700" s="6">
        <v>12.7373322514674</v>
      </c>
      <c r="T700" s="6">
        <v>15.930575370788574</v>
      </c>
      <c r="U700" s="6" t="str">
        <f>_xll.BDP($A700,"TRAILING_12M_R&amp;D_%_SALES",$A$1,$A$2)</f>
        <v>#N/A N/A</v>
      </c>
      <c r="V700" s="6">
        <v>40</v>
      </c>
      <c r="W700" s="6">
        <v>403010</v>
      </c>
      <c r="X700" s="6">
        <v>40301030</v>
      </c>
      <c r="Y700" s="7" t="s">
        <v>43</v>
      </c>
      <c r="Z700" s="7" t="s">
        <v>44</v>
      </c>
      <c r="AA700" s="7" t="s">
        <v>165</v>
      </c>
      <c r="AB700" s="6">
        <v>62.770343780517578</v>
      </c>
      <c r="AC700" s="6">
        <v>0.49809537089749606</v>
      </c>
      <c r="AD700" s="6">
        <v>12.889018678225694</v>
      </c>
      <c r="AE700" s="6">
        <v>60000</v>
      </c>
      <c r="AF700" s="6">
        <v>51633</v>
      </c>
    </row>
    <row r="701" spans="1:32" s="4" customFormat="1" ht="12.75" x14ac:dyDescent="0.2">
      <c r="A701" s="7" t="s">
        <v>2269</v>
      </c>
      <c r="B701" s="7" t="s">
        <v>2270</v>
      </c>
      <c r="C701" s="7" t="s">
        <v>2271</v>
      </c>
      <c r="D701" s="6">
        <v>-0.48976382613182101</v>
      </c>
      <c r="E701" s="6">
        <v>-0.55783087015152</v>
      </c>
      <c r="F701" s="6">
        <v>0.73957556486129805</v>
      </c>
      <c r="G701" s="6">
        <v>-0.38290703296661405</v>
      </c>
      <c r="H701" s="6">
        <v>0.45550370216369601</v>
      </c>
      <c r="I701" s="6">
        <v>0.94845908880233809</v>
      </c>
      <c r="J701" s="6">
        <v>0.50493901968002308</v>
      </c>
      <c r="K701" s="6">
        <v>1.2336633205413821</v>
      </c>
      <c r="L701" s="6">
        <v>-0.29613330960273704</v>
      </c>
      <c r="M701" s="6">
        <v>0.47547864913940402</v>
      </c>
      <c r="N701" s="6">
        <v>1.0429408398483251</v>
      </c>
      <c r="O701" s="6">
        <v>0.99339407873473407</v>
      </c>
      <c r="P701" s="6">
        <v>2.937542695186647</v>
      </c>
      <c r="Q701" s="6">
        <v>2.213360853013544</v>
      </c>
      <c r="R701" s="6">
        <v>15.541887428335501</v>
      </c>
      <c r="S701" s="6">
        <v>10.651799739390144</v>
      </c>
      <c r="T701" s="6">
        <v>20.832513809204102</v>
      </c>
      <c r="U701" s="6">
        <f>_xll.BDP($A701,"TRAILING_12M_R&amp;D_%_SALES",$A$1,$A$2)</f>
        <v>0.53194174007680806</v>
      </c>
      <c r="V701" s="6">
        <v>15</v>
      </c>
      <c r="W701" s="6">
        <v>151040</v>
      </c>
      <c r="X701" s="6">
        <v>15104030</v>
      </c>
      <c r="Y701" s="7" t="s">
        <v>61</v>
      </c>
      <c r="Z701" s="7" t="s">
        <v>62</v>
      </c>
      <c r="AA701" s="7" t="s">
        <v>1010</v>
      </c>
      <c r="AB701" s="6">
        <v>69.32904052734375</v>
      </c>
      <c r="AC701" s="6">
        <v>0.54291030982923205</v>
      </c>
      <c r="AD701" s="6">
        <v>15.952750653297221</v>
      </c>
      <c r="AE701" s="6">
        <v>48836</v>
      </c>
      <c r="AF701" s="6">
        <v>18072</v>
      </c>
    </row>
    <row r="702" spans="1:32" s="4" customFormat="1" ht="12.75" x14ac:dyDescent="0.2">
      <c r="A702" s="7" t="s">
        <v>2272</v>
      </c>
      <c r="B702" s="7" t="s">
        <v>2273</v>
      </c>
      <c r="C702" s="7" t="s">
        <v>2274</v>
      </c>
      <c r="D702" s="6">
        <v>-0.48976382613182101</v>
      </c>
      <c r="E702" s="6">
        <v>-0.55783087015152</v>
      </c>
      <c r="F702" s="6">
        <v>0.73957556486129805</v>
      </c>
      <c r="G702" s="6">
        <v>-0.38290703296661405</v>
      </c>
      <c r="H702" s="6">
        <v>0.45550370216369601</v>
      </c>
      <c r="I702" s="6">
        <v>0.94845908880233809</v>
      </c>
      <c r="J702" s="6">
        <v>0.50493901968002308</v>
      </c>
      <c r="K702" s="6">
        <v>1.2336633205413821</v>
      </c>
      <c r="L702" s="6">
        <v>-0.29613330960273704</v>
      </c>
      <c r="M702" s="6">
        <v>0.47547864913940402</v>
      </c>
      <c r="N702" s="6">
        <v>1.0429408398483251</v>
      </c>
      <c r="O702" s="6"/>
      <c r="P702" s="6">
        <v>2.937542695186647</v>
      </c>
      <c r="Q702" s="6"/>
      <c r="R702" s="6">
        <v>15.541887428335501</v>
      </c>
      <c r="S702" s="6"/>
      <c r="T702" s="6">
        <v>20.832513809204102</v>
      </c>
      <c r="U702" s="6">
        <f>_xll.BDP($A702,"TRAILING_12M_R&amp;D_%_SALES",$A$1,$A$2)</f>
        <v>0.53194174007680806</v>
      </c>
      <c r="V702" s="6">
        <v>15</v>
      </c>
      <c r="W702" s="6">
        <v>151040</v>
      </c>
      <c r="X702" s="6">
        <v>15104030</v>
      </c>
      <c r="Y702" s="7" t="s">
        <v>61</v>
      </c>
      <c r="Z702" s="7" t="s">
        <v>62</v>
      </c>
      <c r="AA702" s="7" t="s">
        <v>1010</v>
      </c>
      <c r="AB702" s="6">
        <v>69.32904052734375</v>
      </c>
      <c r="AC702" s="6">
        <v>0.24386728238907801</v>
      </c>
      <c r="AD702" s="6">
        <v>17.14660796258385</v>
      </c>
      <c r="AE702" s="6">
        <v>48836</v>
      </c>
      <c r="AF702" s="6">
        <v>18072</v>
      </c>
    </row>
    <row r="703" spans="1:32" s="4" customFormat="1" ht="12.75" x14ac:dyDescent="0.2">
      <c r="A703" s="7" t="s">
        <v>2275</v>
      </c>
      <c r="B703" s="7" t="s">
        <v>2276</v>
      </c>
      <c r="C703" s="7" t="s">
        <v>2277</v>
      </c>
      <c r="D703" s="6">
        <v>-0.97884118556976307</v>
      </c>
      <c r="E703" s="6">
        <v>0.44094017148017906</v>
      </c>
      <c r="F703" s="6">
        <v>0.55443578958511408</v>
      </c>
      <c r="G703" s="6">
        <v>-0.51449674367904707</v>
      </c>
      <c r="H703" s="6">
        <v>0.47660976648330705</v>
      </c>
      <c r="I703" s="6">
        <v>-8.7966777384281006E-2</v>
      </c>
      <c r="J703" s="6">
        <v>-0.45843908190727206</v>
      </c>
      <c r="K703" s="6">
        <v>-0.35157266259193404</v>
      </c>
      <c r="L703" s="6">
        <v>-0.32506468892097501</v>
      </c>
      <c r="M703" s="6">
        <v>-0.68626505136489901</v>
      </c>
      <c r="N703" s="6">
        <v>10.910982630862041</v>
      </c>
      <c r="O703" s="6">
        <v>9.8593554969978427</v>
      </c>
      <c r="P703" s="6">
        <v>17.860652907453559</v>
      </c>
      <c r="Q703" s="6">
        <v>14.556811833084423</v>
      </c>
      <c r="R703" s="6">
        <v>38.908403309031812</v>
      </c>
      <c r="S703" s="6">
        <v>32.657848549247554</v>
      </c>
      <c r="T703" s="6">
        <v>46.812442779541016</v>
      </c>
      <c r="U703" s="6">
        <f>_xll.BDP($A703,"TRAILING_12M_R&amp;D_%_SALES",$A$1,$A$2)</f>
        <v>7.4114088159031972</v>
      </c>
      <c r="V703" s="6">
        <v>35</v>
      </c>
      <c r="W703" s="6">
        <v>352020</v>
      </c>
      <c r="X703" s="6">
        <v>35202010</v>
      </c>
      <c r="Y703" s="7" t="s">
        <v>72</v>
      </c>
      <c r="Z703" s="7" t="s">
        <v>325</v>
      </c>
      <c r="AA703" s="7" t="s">
        <v>325</v>
      </c>
      <c r="AB703" s="6">
        <v>54.551856994628906</v>
      </c>
      <c r="AC703" s="6">
        <v>1.004428358491088</v>
      </c>
      <c r="AD703" s="6">
        <v>34.431440987764759</v>
      </c>
      <c r="AE703" s="6">
        <v>13800</v>
      </c>
      <c r="AF703" s="6">
        <v>9200</v>
      </c>
    </row>
    <row r="704" spans="1:32" s="4" customFormat="1" ht="12.75" x14ac:dyDescent="0.2">
      <c r="A704" s="7" t="s">
        <v>2278</v>
      </c>
      <c r="B704" s="7" t="s">
        <v>2279</v>
      </c>
      <c r="C704" s="7" t="s">
        <v>2280</v>
      </c>
      <c r="D704" s="6">
        <v>0.30870565772056602</v>
      </c>
      <c r="E704" s="6">
        <v>-0.72617322206497203</v>
      </c>
      <c r="F704" s="6">
        <v>0.38082608580589306</v>
      </c>
      <c r="G704" s="6">
        <v>-0.96120387315750111</v>
      </c>
      <c r="H704" s="6">
        <v>-0.43795236945152305</v>
      </c>
      <c r="I704" s="6">
        <v>-0.23506630957126601</v>
      </c>
      <c r="J704" s="6">
        <v>0.48718953132629406</v>
      </c>
      <c r="K704" s="6">
        <v>-1.238200187683105</v>
      </c>
      <c r="L704" s="6">
        <v>1.9325647354125981</v>
      </c>
      <c r="M704" s="6">
        <v>-0.45629706978797901</v>
      </c>
      <c r="N704" s="6">
        <v>1.3117713918716021</v>
      </c>
      <c r="O704" s="6">
        <v>1.2386626372781211</v>
      </c>
      <c r="P704" s="6">
        <v>3.305619304813936</v>
      </c>
      <c r="Q704" s="6"/>
      <c r="R704" s="6">
        <v>15.764182897138943</v>
      </c>
      <c r="S704" s="6">
        <v>13.203282662562335</v>
      </c>
      <c r="T704" s="6">
        <v>15.930575370788574</v>
      </c>
      <c r="U704" s="6" t="str">
        <f>_xll.BDP($A704,"TRAILING_12M_R&amp;D_%_SALES",$A$1,$A$2)</f>
        <v>#N/A N/A</v>
      </c>
      <c r="V704" s="6">
        <v>40</v>
      </c>
      <c r="W704" s="6">
        <v>403010</v>
      </c>
      <c r="X704" s="6">
        <v>40301030</v>
      </c>
      <c r="Y704" s="7" t="s">
        <v>43</v>
      </c>
      <c r="Z704" s="7" t="s">
        <v>44</v>
      </c>
      <c r="AA704" s="7" t="s">
        <v>165</v>
      </c>
      <c r="AB704" s="6">
        <v>62.770343780517578</v>
      </c>
      <c r="AC704" s="6">
        <v>0.68225062059653308</v>
      </c>
      <c r="AD704" s="6">
        <v>13.664768107253655</v>
      </c>
      <c r="AE704" s="6">
        <v>60000</v>
      </c>
      <c r="AF704" s="6">
        <v>51633</v>
      </c>
    </row>
    <row r="706" spans="1:32" ht="30" customHeight="1" x14ac:dyDescent="0.2">
      <c r="A706" s="9" t="s">
        <v>2281</v>
      </c>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row>
  </sheetData>
  <mergeCells count="1">
    <mergeCell ref="A706:AF70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Bloomberg L.P.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Bloomberg EREP Reporting platform</dc:creator>
  <cp:keywords>Erep request id:67c124608e480000 on NXPGR-OB-672</cp:keywords>
  <cp:lastModifiedBy>Berry Cox</cp:lastModifiedBy>
  <dcterms:created xsi:type="dcterms:W3CDTF">2025-02-28T02:50:36Z</dcterms:created>
  <dcterms:modified xsi:type="dcterms:W3CDTF">2025-02-28T02:50:36Z</dcterms:modified>
</cp:coreProperties>
</file>